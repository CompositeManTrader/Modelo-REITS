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  <sheet xmlns:r="http://schemas.openxmlformats.org/officeDocument/2006/relationships" name="Conclusiones" sheetId="2" state="visible" r:id="rId2"/>
    <sheet xmlns:r="http://schemas.openxmlformats.org/officeDocument/2006/relationships" name="Mi plan" sheetId="3" state="visible" r:id="rId3"/>
    <sheet xmlns:r="http://schemas.openxmlformats.org/officeDocument/2006/relationships" name="Cuándo entrar" sheetId="4" state="visible" r:id="rId4"/>
    <sheet xmlns:r="http://schemas.openxmlformats.org/officeDocument/2006/relationships" name="En cuáles" sheetId="5" state="visible" r:id="rId5"/>
    <sheet xmlns:r="http://schemas.openxmlformats.org/officeDocument/2006/relationships" name="Retorno esperado" sheetId="6" state="visible" r:id="rId6"/>
    <sheet xmlns:r="http://schemas.openxmlformats.org/officeDocument/2006/relationships" name="ETFs" sheetId="7" state="visible" r:id="rId7"/>
    <sheet xmlns:r="http://schemas.openxmlformats.org/officeDocument/2006/relationships" name="Satélite" sheetId="8" state="visible" r:id="rId8"/>
    <sheet xmlns:r="http://schemas.openxmlformats.org/officeDocument/2006/relationships" name="Edges" sheetId="9" state="visible" r:id="rId9"/>
    <sheet xmlns:r="http://schemas.openxmlformats.org/officeDocument/2006/relationships" name="Impuestos" sheetId="10" state="visible" r:id="rId10"/>
    <sheet xmlns:r="http://schemas.openxmlformats.org/officeDocument/2006/relationships" name="Glosari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&quot; meses&quot;"/>
    <numFmt numFmtId="166" formatCode="0.0"/>
    <numFmt numFmtId="167" formatCode="0.0&quot; años&quot;"/>
    <numFmt numFmtId="168" formatCode="+#,##0;&quot;−&quot;#,##0;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color rgb="FF000000"/>
      <sz val="11"/>
    </font>
    <font>
      <name val="Calibri"/>
      <b val="1"/>
      <color rgb="FF0000FF"/>
      <sz val="11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3" fontId="4" fillId="3" borderId="0" pivotButton="0" quotePrefix="0" xfId="0"/>
    <xf numFmtId="1" fontId="4" fillId="3" borderId="0" pivotButton="0" quotePrefix="0" xfId="0"/>
    <xf numFmtId="164" fontId="4" fillId="3" borderId="0" pivotButton="0" quotePrefix="0" xfId="0"/>
    <xf numFmtId="4" fontId="4" fillId="3" borderId="0" pivotButton="0" quotePrefix="0" xfId="0"/>
    <xf numFmtId="3" fontId="3" fillId="0" borderId="0" pivotButton="0" quotePrefix="0" xfId="0"/>
    <xf numFmtId="165" fontId="3" fillId="0" borderId="0" pivotButton="0" quotePrefix="0" xfId="0"/>
    <xf numFmtId="49" fontId="3" fillId="0" borderId="0" pivotButton="0" quotePrefix="0" xfId="0"/>
    <xf numFmtId="4" fontId="3" fillId="0" borderId="0" pivotButton="0" quotePrefix="0" xfId="0"/>
    <xf numFmtId="166" fontId="3" fillId="0" borderId="0" pivotButton="0" quotePrefix="0" xfId="0"/>
    <xf numFmtId="164" fontId="3" fillId="0" borderId="0" pivotButton="0" quotePrefix="0" xfId="0"/>
    <xf numFmtId="167" fontId="3" fillId="0" borderId="0" pivotButton="0" quotePrefix="0" xfId="0"/>
    <xf numFmtId="168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1" fontId="3" fillId="0" borderId="0" applyAlignment="1" pivotButton="0" quotePrefix="0" xfId="0">
      <alignment vertical="top"/>
    </xf>
    <xf numFmtId="10" fontId="3" fillId="0" borderId="0" applyAlignment="1" pivotButton="0" quotePrefix="0" xfId="0">
      <alignment vertical="top"/>
    </xf>
    <xf numFmtId="2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70" customWidth="1" min="3" max="3"/>
    <col width="34" customWidth="1" min="4" max="4"/>
  </cols>
  <sheetData>
    <row r="1">
      <c r="A1" s="1" t="inlineStr">
        <is>
          <t>Compilado del análisis de REITs</t>
        </is>
      </c>
    </row>
    <row r="2">
      <c r="A2" s="2" t="inlineStr">
        <is>
          <t>Cada pregunta que se hizo, su respuesta corta y qué documento la explica. Generado el 17-10-2026. Herramienta de análisis, no asesoría de inversión ni fiscal.</t>
        </is>
      </c>
    </row>
    <row r="4">
      <c r="A4" s="3" t="inlineStr">
        <is>
          <t>Tema</t>
        </is>
      </c>
      <c r="B4" s="3" t="inlineStr">
        <is>
          <t>La pregunta</t>
        </is>
      </c>
      <c r="C4" s="3" t="inlineStr">
        <is>
          <t>Respuesta corta</t>
        </is>
      </c>
      <c r="D4" s="3" t="inlineStr">
        <is>
          <t>Documento</t>
        </is>
      </c>
    </row>
    <row r="5">
      <c r="A5" s="4" t="inlineStr">
        <is>
          <t>Valuación</t>
        </is>
      </c>
      <c r="B5" s="5" t="inlineStr">
        <is>
          <t>¿Por qué no hiciste modelos de DCF, DDM, NAV para valuar las REITs y con base en esos modelos tomar decisiones?</t>
        </is>
      </c>
      <c r="C5" s="5" t="inlineStr">
        <is>
          <t>Se agregaron y se probaron. Ninguno supera a los métodos simples, y ninguno le gana a aportar siempre cuando se usa para decidir cuándo comprar.</t>
        </is>
      </c>
      <c r="D5" s="4" t="inlineStr">
        <is>
          <t>01</t>
        </is>
      </c>
    </row>
    <row r="6">
      <c r="A6" s="4" t="inlineStr">
        <is>
          <t>Valuación</t>
        </is>
      </c>
      <c r="B6" s="5" t="inlineStr">
        <is>
          <t>¿Cómo es que ningún método de valoración le gana a la compra simple? ¿De qué sirven entonces?</t>
        </is>
      </c>
      <c r="C6" s="5" t="inlineStr">
        <is>
          <t>Sirven para saber cuánto esperar ganar y para escoger entre REITs de calidad; no para decidir cuándo comprar, porque esperar en efectivo cuesta más de lo que se gana comprando más barato.</t>
        </is>
      </c>
      <c r="D6" s="4" t="inlineStr">
        <is>
          <t>01</t>
        </is>
      </c>
    </row>
    <row r="7">
      <c r="A7" s="4" t="inlineStr">
        <is>
          <t>Valuación</t>
        </is>
      </c>
      <c r="B7" s="5" t="inlineStr">
        <is>
          <t>¿Contra quién compararíamos estos modelos para saber si son buenos?</t>
        </is>
      </c>
      <c r="C7" s="5" t="inlineStr">
        <is>
          <t>Contra aportar lo mismo al mismo papel cada mes, sin reglas, con los mismos impuestos.</t>
        </is>
      </c>
      <c r="D7" s="4" t="inlineStr">
        <is>
          <t>01</t>
        </is>
      </c>
    </row>
    <row r="8">
      <c r="A8" s="4" t="inlineStr">
        <is>
          <t>Cuándo entrar</t>
        </is>
      </c>
      <c r="B8" s="5" t="inlineStr">
        <is>
          <t>Debe existir un modelo óptimo que nos diga de forma eficiente cuándo entrar en el mercado: arma un plan de investigación completo.</t>
        </is>
      </c>
      <c r="C8" s="5" t="inlineStr">
        <is>
          <t>Se hizo, con 54 años de datos y 8 mercados más. No se encontró: ninguna regla ni modelo le ganó a aportar siempre.</t>
        </is>
      </c>
      <c r="D8" s="4" t="inlineStr">
        <is>
          <t>02</t>
        </is>
      </c>
    </row>
    <row r="9">
      <c r="A9" s="4" t="inlineStr">
        <is>
          <t>Cuándo entrar</t>
        </is>
      </c>
      <c r="B9" s="5" t="inlineStr">
        <is>
          <t>Esa conclusión hace inválida la valuación de las REITs, ya que no importa realmente.</t>
        </is>
      </c>
      <c r="C9" s="5" t="inlineStr">
        <is>
          <t>No la invalida: la valuación sí predice cuánto vas a ganar (barato ~20% al año, caro ~8%); lo que no hace es decirte cuándo esperar.</t>
        </is>
      </c>
      <c r="D9" s="4" t="inlineStr">
        <is>
          <t>02</t>
        </is>
      </c>
    </row>
    <row r="10">
      <c r="A10" s="4" t="inlineStr">
        <is>
          <t>Cuándo entrar</t>
        </is>
      </c>
      <c r="B10" s="5" t="inlineStr">
        <is>
          <t>Hay personas que dedican su vida a la valuación... siento que es como tirar una moneda al aire para saber cuál acción se va a desempeñar mejor.</t>
        </is>
      </c>
      <c r="C10" s="5" t="inlineStr">
        <is>
          <t>Escoger UNA es como una moneda; tener muchas la elimina. Y en los extremos la valuación sí dice algo, aunque no cuándo salir.</t>
        </is>
      </c>
      <c r="D10" s="4" t="inlineStr">
        <is>
          <t>02</t>
        </is>
      </c>
    </row>
    <row r="11">
      <c r="A11" s="4" t="inlineStr">
        <is>
          <t>En cuáles</t>
        </is>
      </c>
      <c r="B11" s="5" t="inlineStr">
        <is>
          <t>¿La estrategia que mejor funciona es simplemente comprar cada mes en el REIT que yo quiera y ya?</t>
        </is>
      </c>
      <c r="C11" s="5" t="inlineStr">
        <is>
          <t>Cada mes sí; «el que yo quiera» no: ninguna regla le ganó a tener a todos, y uno solo trae mucho más riesgo.</t>
        </is>
      </c>
      <c r="D11" s="4" t="inlineStr">
        <is>
          <t>03</t>
        </is>
      </c>
    </row>
    <row r="12">
      <c r="A12" s="4" t="inlineStr">
        <is>
          <t>En cuáles</t>
        </is>
      </c>
      <c r="B12" s="5" t="inlineStr">
        <is>
          <t>¿Cómo haríamos una estrategia de over y unders contra SCHH para ganarle de forma consistente?</t>
        </is>
      </c>
      <c r="C12" s="5" t="inlineStr">
        <is>
          <t>Con un núcleo de SCHH y un satélite. En la historia ningún satélite le ganó; la prueba limpia corre en papel desde noviembre de 2026.</t>
        </is>
      </c>
      <c r="D12" s="4" t="inlineStr">
        <is>
          <t>03</t>
        </is>
      </c>
    </row>
    <row r="13">
      <c r="A13" s="4" t="inlineStr">
        <is>
          <t>En cuáles</t>
        </is>
      </c>
      <c r="B13" s="5" t="inlineStr">
        <is>
          <t>Quiero que busques alguna estrategia que le gane.</t>
        </is>
      </c>
      <c r="C13" s="5" t="inlineStr">
        <is>
          <t>Se buscó en seis familias: 14 ideas, 9 muertas, 3 en el catálogo. Ninguna de selección llega con margen a +50 pb; lo único fuerte es fiscal.</t>
        </is>
      </c>
      <c r="D13" s="4" t="inlineStr">
        <is>
          <t>03</t>
        </is>
      </c>
    </row>
    <row r="14">
      <c r="A14" s="4" t="inlineStr">
        <is>
          <t>Impuestos</t>
        </is>
      </c>
      <c r="B14" s="5" t="inlineStr">
        <is>
          <t>Yo no voy a operar por el SIC; voy directo con broker estadounidense.</t>
        </is>
      </c>
      <c r="C14" s="5" t="inlineStr">
        <is>
          <t>Con broker el dividendo paga 39% a 44% y aportar rinde menos, pero ningún veredicto cambia. Además, el 20% que el modelo le daba al SIC probablemente está mal.</t>
        </is>
      </c>
      <c r="D14" s="4" t="inlineStr">
        <is>
          <t>04</t>
        </is>
      </c>
    </row>
    <row r="15">
      <c r="A15" s="4" t="inlineStr">
        <is>
          <t>Qué comprar</t>
        </is>
      </c>
      <c r="B15" s="5" t="inlineStr">
        <is>
          <t>¿No existe algún ETF que tenga a todos los REITs juntos y me dé la distribución mensual?</t>
        </is>
      </c>
      <c r="C15" s="5" t="inlineStr">
        <is>
          <t>Sí existen ETFs amplios (SCHH, USRT, VNQ), pero pagan cada trimestre. Los que pagan cada mes escogen por yield alto, que es la trampa.</t>
        </is>
      </c>
      <c r="D15" s="4" t="inlineStr">
        <is>
          <t>05</t>
        </is>
      </c>
    </row>
    <row r="16">
      <c r="A16" s="4" t="inlineStr">
        <is>
          <t>Qué comprar</t>
        </is>
      </c>
      <c r="B16" s="5" t="inlineStr">
        <is>
          <t>¿Cuánto debería comprar de SCHH cada mes?</t>
        </is>
      </c>
      <c r="C16" s="5" t="inlineStr">
        <is>
          <t>Primero el fondo de emergencia. Después, unos 800 de cada 4,000 pesos de ahorro (~20%) a SCHH y el resto a acciones amplias.</t>
        </is>
      </c>
      <c r="D16" s="4" t="inlineStr">
        <is>
          <t>05</t>
        </is>
      </c>
    </row>
    <row r="17">
      <c r="A17" s="4" t="inlineStr">
        <is>
          <t>Qué comprar</t>
        </is>
      </c>
      <c r="B17" s="5" t="inlineStr">
        <is>
          <t>¿La valuación solo sirve para value investing? Si el objetivo es ganar de las distribuciones, ¿no nos interesa?</t>
        </is>
      </c>
      <c r="C17" s="5" t="inlineStr">
        <is>
          <t>Al revés: el precio al que compras decide cuánta renta te da cada peso. Lo que no funcionó fue escoger «lo barato» para ganarle al mercado.</t>
        </is>
      </c>
      <c r="D17" s="4" t="inlineStr">
        <is>
          <t>05</t>
        </is>
      </c>
    </row>
    <row r="18">
      <c r="A18" s="4" t="inlineStr">
        <is>
          <t>Qué comprar</t>
        </is>
      </c>
      <c r="B18" s="5" t="inlineStr">
        <is>
          <t>¿No hay una incongruencia: desconfiar de una renta demasiado alta, pero la valuación dice que comprando más barato la renta porcentual es más alta?</t>
        </is>
      </c>
      <c r="C18" s="5" t="inlineStr">
        <is>
          <t>No: la misma renta alta puede venir de un precio que bajó con la renta segura (bueno) o de una renta a punto de caerse (trampa). Se distinguen comparando contra su propia historia y exigiendo calidad.</t>
        </is>
      </c>
      <c r="D18" s="4" t="inlineStr">
        <is>
          <t>05</t>
        </is>
      </c>
    </row>
    <row r="20">
      <c r="A20" s="6" t="inlineStr">
        <is>
          <t>Los documentos del compilado (en docs/compilado/)</t>
        </is>
      </c>
    </row>
    <row r="21">
      <c r="A21" s="3" t="inlineStr">
        <is>
          <t>#</t>
        </is>
      </c>
      <c r="B21" s="3" t="inlineStr">
        <is>
          <t>Documento</t>
        </is>
      </c>
      <c r="C21" s="3" t="inlineStr">
        <is>
          <t>Archivo</t>
        </is>
      </c>
      <c r="D21" s="3" t="inlineStr">
        <is>
          <t>Qué responde</t>
        </is>
      </c>
    </row>
    <row r="22">
      <c r="A22" s="4" t="inlineStr">
        <is>
          <t>00</t>
        </is>
      </c>
      <c r="B22" s="4" t="inlineStr">
        <is>
          <t>Mapa del análisis</t>
        </is>
      </c>
      <c r="C22" s="4" t="inlineStr">
        <is>
          <t>00_mapa_del_analisis.pdf</t>
        </is>
      </c>
      <c r="D22" s="5" t="inlineStr">
        <is>
          <t>Este documento: todas las preguntas, las conclusiones y qué hacer.</t>
        </is>
      </c>
    </row>
    <row r="23">
      <c r="A23" s="4" t="inlineStr">
        <is>
          <t>01</t>
        </is>
      </c>
      <c r="B23" s="4" t="inlineStr">
        <is>
          <t>La plataforma y la valuación</t>
        </is>
      </c>
      <c r="C23" s="4" t="inlineStr">
        <is>
          <t>01_plataforma_y_valuacion.pdf</t>
        </is>
      </c>
      <c r="D23" s="5" t="inlineStr">
        <is>
          <t>Qué construimos, los métodos de valuación (DCF, DDM, NAV y simples), los estudios de O, NNN y WPC y el retorno esperado por tramo.</t>
        </is>
      </c>
    </row>
    <row r="24">
      <c r="A24" s="4" t="inlineStr">
        <is>
          <t>02</t>
        </is>
      </c>
      <c r="B24" s="4" t="inlineStr">
        <is>
          <t>¿Cuándo entrar?</t>
        </is>
      </c>
      <c r="C24" s="4" t="inlineStr">
        <is>
          <t>02_cuando_entrar.pdf</t>
        </is>
      </c>
      <c r="D24" s="5" t="inlineStr">
        <is>
          <t>La investigación pre-registrada de timing: fases, resultados, extremos y qué tan finas eran las pruebas.</t>
        </is>
      </c>
    </row>
    <row r="25">
      <c r="A25" s="4" t="inlineStr">
        <is>
          <t>03</t>
        </is>
      </c>
      <c r="B25" s="4" t="inlineStr">
        <is>
          <t>¿En cuáles REITs?</t>
        </is>
      </c>
      <c r="C25" s="4" t="inlineStr">
        <is>
          <t>03_en_cuales_reits.pdf</t>
        </is>
      </c>
      <c r="D25" s="5" t="inlineStr">
        <is>
          <t>Selección entre REITs, el núcleo y satélite contra SCHH y la búsqueda de estrategias que le ganen.</t>
        </is>
      </c>
    </row>
    <row r="26">
      <c r="A26" s="4" t="inlineStr">
        <is>
          <t>04</t>
        </is>
      </c>
      <c r="B26" s="4" t="inlineStr">
        <is>
          <t>Impuestos y canal</t>
        </is>
      </c>
      <c r="C26" s="4" t="inlineStr">
        <is>
          <t>04_impuestos_y_canal.pdf</t>
        </is>
      </c>
      <c r="D26" s="5" t="inlineStr">
        <is>
          <t>Broker contra SIC, lo que cambia con la ley, el ETF irlandés y las preguntas para el contador.</t>
        </is>
      </c>
    </row>
    <row r="27">
      <c r="A27" s="4" t="inlineStr">
        <is>
          <t>05</t>
        </is>
      </c>
      <c r="B27" s="4" t="inlineStr">
        <is>
          <t>Qué comprar y cuánto</t>
        </is>
      </c>
      <c r="C27" s="4" t="inlineStr">
        <is>
          <t>05_que_comprar_y_cuanto.pdf</t>
        </is>
      </c>
      <c r="D27" s="5" t="inlineStr">
        <is>
          <t>Los ETFs, cuánto aportar, la valuación y las distribuciones, y el calendario de cada trimestre.</t>
        </is>
      </c>
    </row>
    <row r="28">
      <c r="A28" s="4" t="inlineStr">
        <is>
          <t>XL</t>
        </is>
      </c>
      <c r="B28" s="4" t="inlineStr">
        <is>
          <t>Cifras y calculadora</t>
        </is>
      </c>
      <c r="C28" s="4" t="inlineStr">
        <is>
          <t>compilado_cifras.xlsx</t>
        </is>
      </c>
      <c r="D28" s="5" t="inlineStr">
        <is>
          <t>Las preguntas, las cifras de cada análisis y una calculadora de tu plan con fórmulas vivas.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110" customWidth="1" min="2" max="2"/>
    <col width="14" customWidth="1" min="3" max="3"/>
  </cols>
  <sheetData>
    <row r="1">
      <c r="A1" s="1" t="inlineStr">
        <is>
          <t>Las conclusiones</t>
        </is>
      </c>
    </row>
    <row r="2">
      <c r="A2" s="2" t="inlineStr">
        <is>
          <t>Lo que se encontró, en orden. Favorable = la evidencia apoya usarlo.</t>
        </is>
      </c>
    </row>
    <row r="4">
      <c r="A4" s="3" t="inlineStr">
        <is>
          <t>Conclusión</t>
        </is>
      </c>
      <c r="B4" s="3" t="inlineStr">
        <is>
          <t>Por qué</t>
        </is>
      </c>
      <c r="C4" s="3" t="inlineStr">
        <is>
          <t>Tono</t>
        </is>
      </c>
    </row>
    <row r="5">
      <c r="A5" s="4" t="inlineStr">
        <is>
          <t>No hay regla para saber cuándo entrar</t>
        </is>
      </c>
      <c r="B5" s="5" t="inlineStr">
        <is>
          <t>Ninguna de 22 reglas ni 5 modelos le ganó a aportar siempre en 54 años, y la mejor protección contra caídas (salir bajo la tendencia de 10 meses) costó 127 pb al año en 8 mercados.</t>
        </is>
      </c>
      <c r="C5" s="4" t="inlineStr">
        <is>
          <t>Desfavorable</t>
        </is>
      </c>
    </row>
    <row r="6">
      <c r="A6" s="4" t="inlineStr">
        <is>
          <t>Esperar no paga</t>
        </is>
      </c>
      <c r="B6" s="5" t="inlineStr">
        <is>
          <t>El efectivo le ganó a los REITs solo en 27% de los periodos de 12 meses y en 16% de los de 5 años (1972-2015). Mientras esperas, dejas de cobrar.</t>
        </is>
      </c>
      <c r="C6" s="4" t="inlineStr">
        <is>
          <t>Desfavorable</t>
        </is>
      </c>
    </row>
    <row r="7">
      <c r="A7" s="4" t="inlineStr">
        <is>
          <t>Tampoco hay regla para escoger en cuáles</t>
        </is>
      </c>
      <c r="B7" s="5" t="inlineStr">
        <is>
          <t>Ninguna de 16 reglas de selección le ganó a repartir entre todos por +50 pb. Momentum fue lo más cercano: +38 pb en la prueba final.</t>
        </is>
      </c>
      <c r="C7" s="4" t="inlineStr">
        <is>
          <t>Desfavorable</t>
        </is>
      </c>
    </row>
    <row r="8">
      <c r="A8" s="4" t="inlineStr">
        <is>
          <t>Lo barato es trampa si no hay calidad</t>
        </is>
      </c>
      <c r="B8" s="5" t="inlineStr">
        <is>
          <t>El yield alto recortó el dividendo el doble de veces (21% contra 10%) y perdió 86 pb al año. «Barato entre los de calidad» fue la peor regla: −211 pb.</t>
        </is>
      </c>
      <c r="C8" s="4" t="inlineStr">
        <is>
          <t>Desfavorable</t>
        </is>
      </c>
    </row>
    <row r="9">
      <c r="A9" s="5" t="inlineStr">
        <is>
          <t>La valuación sí dice cuánto esperar ganar</t>
        </is>
      </c>
      <c r="B9" s="5" t="inlineStr">
        <is>
          <t>En O, NNN y WPC, desde «barato» se rindió ~20% al año a 5 años y desde «caro» ~8%. En su 10% más barato, 19.4%; en su 10% más caro, 4.7%.</t>
        </is>
      </c>
      <c r="C9" s="4" t="inlineStr">
        <is>
          <t>Favorable</t>
        </is>
      </c>
    </row>
    <row r="10">
      <c r="A10" s="5" t="inlineStr">
        <is>
          <t>La valuación sí ayuda a repartir entre REITs de calidad</t>
        </is>
      </c>
      <c r="B10" s="5" t="inlineStr">
        <is>
          <t>Mandar la aportación del mes al más barato contra su propia historia ganó +72 pb al año entre O, NNN y WPC, más que cada una de 500 elecciones al azar. Inconcluso por sesgo de supervivencia.</t>
        </is>
      </c>
      <c r="C10" s="4" t="inlineStr">
        <is>
          <t>Favorable</t>
        </is>
      </c>
    </row>
    <row r="11">
      <c r="A11" s="4" t="inlineStr">
        <is>
          <t>Con broker de EE. UU. nada cambia</t>
        </is>
      </c>
      <c r="B11" s="5" t="inlineStr">
        <is>
          <t>El dividendo paga 39% a 44% y aportar rinde 145 a 184 pb menos que el SIC modelado, pero ningún veredicto se mueve. Esa ventaja del SIC probablemente es un error del modelo.</t>
        </is>
      </c>
      <c r="C11" s="4" t="inlineStr">
        <is>
          <t>Neutral</t>
        </is>
      </c>
    </row>
    <row r="12">
      <c r="A12" s="5" t="inlineStr">
        <is>
          <t>Un ETF amplio resuelve la diversificación</t>
        </is>
      </c>
      <c r="B12" s="5" t="inlineStr">
        <is>
          <t>SCHH se desvía solo 0.43% al año del índice de la investigación desde 2020 y cuesta 0.07%. Paga cada trimestre; ninguno quita las caídas (el sector cayó 68% en 2007-2009).</t>
        </is>
      </c>
      <c r="C12" s="4" t="inlineStr">
        <is>
          <t>Favorable</t>
        </is>
      </c>
    </row>
    <row r="13">
      <c r="A13" s="5" t="inlineStr">
        <is>
          <t>No encontramos cómo ganarle a SCHH escogiendo REITs</t>
        </is>
      </c>
      <c r="B13" s="5" t="inlineStr">
        <is>
          <t>Ningún satélite le ganó en la historia, y de 14 ideas nuevas ninguna de selección llega con margen a +50 pb. Lo único con mecanismo sólido es fiscal (ETF irlandés de acumulación), sujeto a confirmar con un contador.</t>
        </is>
      </c>
      <c r="C13" s="4" t="inlineStr">
        <is>
          <t>Neutral</t>
        </is>
      </c>
    </row>
    <row r="14">
      <c r="A14" s="4" t="inlineStr">
        <is>
          <t>Qué tan sólido es</t>
        </is>
      </c>
      <c r="B14" s="5" t="inlineStr">
        <is>
          <t>Todo se pre-registró en un commit antes de correrlo, con datos separados antes de verlos y la cuenta de cada intento. Límites: pocas crisis en la muestra, sesgo de supervivencia en los estudios de tres emisores y supuestos fiscales por confirmar.</t>
        </is>
      </c>
      <c r="C14" s="4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70" customWidth="1" min="3" max="3"/>
    <col width="26" customWidth="1" min="4" max="4"/>
    <col width="30" customWidth="1" min="5" max="5"/>
  </cols>
  <sheetData>
    <row r="1">
      <c r="A1" s="1" t="inlineStr">
        <is>
          <t>Mi plan de aportación</t>
        </is>
      </c>
    </row>
    <row r="2">
      <c r="A2" s="2" t="inlineStr">
        <is>
          <t>Cambia solo las celdas azules sobre fondo amarillo: todo lo demás se recalcula. Los valores que trae son un ejemplo con lo que nos dijiste (menos de 5,000 pesos de ahorro y sin fondo de emergencia).</t>
        </is>
      </c>
    </row>
    <row r="4">
      <c r="A4" s="6" t="inlineStr">
        <is>
          <t>Tus números</t>
        </is>
      </c>
    </row>
    <row r="5">
      <c r="A5" s="7" t="inlineStr">
        <is>
          <t>Ahorro mensual (pesos)</t>
        </is>
      </c>
      <c r="B5" s="8" t="n">
        <v>4000</v>
      </c>
      <c r="C5" t="inlineStr">
        <is>
          <t>Lo que te queda cada mes después de gastos. Tú dijiste: menos de 5,000.</t>
        </is>
      </c>
    </row>
    <row r="6">
      <c r="A6" s="7" t="inlineStr">
        <is>
          <t>Gastos mensuales (pesos)</t>
        </is>
      </c>
      <c r="B6" s="8" t="n">
        <v>15000</v>
      </c>
      <c r="C6" t="inlineStr">
        <is>
          <t>Lo que gastas en un mes normal (ejemplo).</t>
        </is>
      </c>
    </row>
    <row r="7">
      <c r="A7" s="7" t="inlineStr">
        <is>
          <t>Meses de gastos del fondo de emergencia</t>
        </is>
      </c>
      <c r="B7" s="9" t="n">
        <v>3</v>
      </c>
      <c r="C7" t="inlineStr">
        <is>
          <t>Entre 3 y 6; 3 es el mínimo razonable.</t>
        </is>
      </c>
    </row>
    <row r="8">
      <c r="A8" s="7" t="inlineStr">
        <is>
          <t>Fondo de emergencia que ya tienes (pesos)</t>
        </is>
      </c>
      <c r="B8" s="8" t="n">
        <v>0</v>
      </c>
      <c r="C8" t="inlineStr">
        <is>
          <t>Lo que ya tienes en CETES o similar.</t>
        </is>
      </c>
    </row>
    <row r="9">
      <c r="A9" s="7" t="inlineStr">
        <is>
          <t>A inversión mientras juntas el fondo (pesos)</t>
        </is>
      </c>
      <c r="B9" s="8" t="n">
        <v>1000</v>
      </c>
      <c r="C9" t="inlineStr">
        <is>
          <t>Opcional, para mantener el hábito. 0 = todo al fondo.</t>
        </is>
      </c>
    </row>
    <row r="10">
      <c r="A10" s="7" t="inlineStr">
        <is>
          <t>Parte del dinero invertido que va a REITs (SCHH)</t>
        </is>
      </c>
      <c r="B10" s="10" t="n">
        <v>0.2</v>
      </c>
      <c r="C10" t="inlineStr">
        <is>
          <t>Entre 10% y 25% es defendible; es criterio, no resultado.</t>
        </is>
      </c>
    </row>
    <row r="11">
      <c r="A11" s="7" t="inlineStr">
        <is>
          <t>Tipo de cambio (pesos por dólar)</t>
        </is>
      </c>
      <c r="B11" s="11" t="n">
        <v>18.5</v>
      </c>
      <c r="C11" t="inlineStr">
        <is>
          <t>Ejemplo: pon el del día que compres.</t>
        </is>
      </c>
    </row>
    <row r="12">
      <c r="A12" s="7" t="inlineStr">
        <is>
          <t>Precio de SCHH (dólares)</t>
        </is>
      </c>
      <c r="B12" s="11" t="n">
        <v>22.4</v>
      </c>
      <c r="C12" t="inlineStr">
        <is>
          <t>Último cierre de los datos versionados; actualízalo.</t>
        </is>
      </c>
    </row>
    <row r="13">
      <c r="A13" s="7" t="inlineStr">
        <is>
          <t>Rendimiento anual esperado en dólares</t>
        </is>
      </c>
      <c r="B13" s="10" t="n">
        <v>0.07000000000000001</v>
      </c>
      <c r="C13" t="inlineStr">
        <is>
          <t>Supuesto para proyectar; la historia de REITs y acciones ronda 7% a 10%.</t>
        </is>
      </c>
    </row>
    <row r="14">
      <c r="A14" s="7" t="inlineStr">
        <is>
          <t>Tu tasa marginal de ISR</t>
        </is>
      </c>
      <c r="B14" s="10" t="n">
        <v>0.35</v>
      </c>
      <c r="C14" t="inlineStr">
        <is>
          <t>No la sabías: se usaron 30% y 35%.</t>
        </is>
      </c>
    </row>
    <row r="15">
      <c r="A15" s="7" t="inlineStr">
        <is>
          <t>Umbral del impuesto sucesorio de EE. UU. (dólares)</t>
        </is>
      </c>
      <c r="B15" s="8" t="n">
        <v>60000</v>
      </c>
      <c r="C15" t="inlineStr">
        <is>
          <t>Activos de EE. UU. arriba de esto pagan hasta 40% al heredarse.</t>
        </is>
      </c>
    </row>
    <row r="17">
      <c r="A17" s="6" t="inlineStr">
        <is>
          <t>Lo que sale</t>
        </is>
      </c>
    </row>
    <row r="18">
      <c r="A18" s="7" t="inlineStr">
        <is>
          <t>Meta del fondo de emergencia (pesos)</t>
        </is>
      </c>
      <c r="B18" s="12">
        <f>$B$6*$B$7</f>
        <v/>
      </c>
      <c r="C18" t="inlineStr">
        <is>
          <t>Gastos × meses.</t>
        </is>
      </c>
    </row>
    <row r="19">
      <c r="A19" s="7" t="inlineStr">
        <is>
          <t>Lo que falta del fondo (pesos)</t>
        </is>
      </c>
      <c r="B19" s="12">
        <f>MAX(0,$B$6*$B$7-$B$8)</f>
        <v/>
      </c>
      <c r="C19" t="inlineStr"/>
    </row>
    <row r="20">
      <c r="A20" s="7" t="inlineStr">
        <is>
          <t>Meses para completar el fondo</t>
        </is>
      </c>
      <c r="B20" s="13">
        <f>IF($B$19=0,0,IF($B$5-$B$9&lt;=0,"nunca: baja lo que va a inversión",ROUNDUP($B$19/($B$5-$B$9),0)))</f>
        <v/>
      </c>
      <c r="C20" t="inlineStr">
        <is>
          <t>Con el ahorro menos lo que mandas a inversión mientras.</t>
        </is>
      </c>
    </row>
    <row r="21">
      <c r="A21" s="7" t="inlineStr">
        <is>
          <t>Etapa</t>
        </is>
      </c>
      <c r="B21" s="14">
        <f>IF($B$19=0,"Invierte todo el ahorro","Primero el fondo de emergencia")</f>
        <v/>
      </c>
      <c r="C21" t="inlineStr"/>
    </row>
    <row r="22">
      <c r="A22" s="7" t="inlineStr">
        <is>
          <t>Con el fondo completo: a SCHH cada mes (pesos)</t>
        </is>
      </c>
      <c r="B22" s="12">
        <f>$B$5*$B$10</f>
        <v/>
      </c>
      <c r="C22" t="inlineStr">
        <is>
          <t>Ahorro × parte a REITs.</t>
        </is>
      </c>
    </row>
    <row r="23">
      <c r="A23" s="7" t="inlineStr">
        <is>
          <t>Con el fondo completo: a acciones amplias (pesos)</t>
        </is>
      </c>
      <c r="B23" s="12">
        <f>$B$5*(1-$B$10)</f>
        <v/>
      </c>
      <c r="C23" t="inlineStr">
        <is>
          <t>El resto.</t>
        </is>
      </c>
    </row>
    <row r="24">
      <c r="A24" s="7" t="inlineStr">
        <is>
          <t>SCHH cada mes (dólares)</t>
        </is>
      </c>
      <c r="B24" s="15">
        <f>$B$5*$B$10/$B$11</f>
        <v/>
      </c>
      <c r="C24" t="inlineStr">
        <is>
          <t>Pesos ÷ tipo de cambio.</t>
        </is>
      </c>
    </row>
    <row r="25">
      <c r="A25" s="7" t="inlineStr">
        <is>
          <t>Acciones de SCHH cada mes</t>
        </is>
      </c>
      <c r="B25" s="16">
        <f>$B$5*$B$10/$B$11/$B$12</f>
        <v/>
      </c>
      <c r="C25" t="inlineStr">
        <is>
          <t>Si es menos de 1 y tu broker no vende fracciones, junta 2 o 3 meses.</t>
        </is>
      </c>
    </row>
    <row r="26">
      <c r="A26" s="7" t="inlineStr">
        <is>
          <t>Tasa del dividendo con broker de EE. UU.</t>
        </is>
      </c>
      <c r="B26" s="17">
        <f>$B$14+0.09</f>
        <v/>
      </c>
      <c r="C26" t="inlineStr">
        <is>
          <t>Marginal + 9 puntos (10% adicional menos el crédito; modelo del repo, por confirmar).</t>
        </is>
      </c>
    </row>
    <row r="27">
      <c r="A27" s="7" t="inlineStr">
        <is>
          <t>Años para que todo lo invertido llegue al umbral sucesorio</t>
        </is>
      </c>
      <c r="B27" s="18">
        <f>NPER(((1+$B$13)^(1/12)-1),-$B$5/$B$11,0,$B$15)/12</f>
        <v/>
      </c>
      <c r="C27" t="inlineStr">
        <is>
          <t>Si todo el ahorro va a activos de EE. UU. (SCHH y acciones de EE. UU.).</t>
        </is>
      </c>
    </row>
    <row r="28">
      <c r="A28" s="7" t="inlineStr">
        <is>
          <t>Años para que solo SCHH llegue al umbral</t>
        </is>
      </c>
      <c r="B28" s="18">
        <f>NPER(((1+$B$13)^(1/12)-1),-$B$5*$B$10/$B$11,0,$B$15)/12</f>
        <v/>
      </c>
      <c r="C28" t="inlineStr"/>
    </row>
    <row r="30">
      <c r="A30" s="6" t="inlineStr">
        <is>
          <t>Proyección (con el fondo completo, aportando cada mes y reinvirtiendo)</t>
        </is>
      </c>
    </row>
    <row r="31">
      <c r="A31" s="6" t="inlineStr">
        <is>
          <t>Años</t>
        </is>
      </c>
      <c r="B31" s="6" t="inlineStr">
        <is>
          <t>Aportado a SCHH (dólares)</t>
        </is>
      </c>
      <c r="C31" s="6" t="inlineStr">
        <is>
          <t>Valor de SCHH (dólares)</t>
        </is>
      </c>
      <c r="D31" s="6" t="inlineStr">
        <is>
          <t>Todo lo invertido (dólares)</t>
        </is>
      </c>
      <c r="E31" s="6" t="inlineStr">
        <is>
          <t>Dividendo de SCHH al año (dólares)</t>
        </is>
      </c>
    </row>
    <row r="32">
      <c r="A32" s="7" t="n">
        <v>1</v>
      </c>
      <c r="B32" s="12">
        <f>$B$5*$B$10/$B$11*12*A32</f>
        <v/>
      </c>
      <c r="C32" s="12">
        <f>FV(((1+$B$13)^(1/12)-1),12*A32,-$B$5*$B$10/$B$11,0)</f>
        <v/>
      </c>
      <c r="D32" s="12">
        <f>FV(((1+$B$13)^(1/12)-1),12*A32,-$B$5/$B$11,0)</f>
        <v/>
      </c>
      <c r="E32" s="12">
        <f>C32*0.031</f>
        <v/>
      </c>
    </row>
    <row r="33">
      <c r="A33" s="7" t="n">
        <v>2</v>
      </c>
      <c r="B33" s="12">
        <f>$B$5*$B$10/$B$11*12*A33</f>
        <v/>
      </c>
      <c r="C33" s="12">
        <f>FV(((1+$B$13)^(1/12)-1),12*A33,-$B$5*$B$10/$B$11,0)</f>
        <v/>
      </c>
      <c r="D33" s="12">
        <f>FV(((1+$B$13)^(1/12)-1),12*A33,-$B$5/$B$11,0)</f>
        <v/>
      </c>
      <c r="E33" s="12">
        <f>C33*0.031</f>
        <v/>
      </c>
    </row>
    <row r="34">
      <c r="A34" s="7" t="n">
        <v>3</v>
      </c>
      <c r="B34" s="12">
        <f>$B$5*$B$10/$B$11*12*A34</f>
        <v/>
      </c>
      <c r="C34" s="12">
        <f>FV(((1+$B$13)^(1/12)-1),12*A34,-$B$5*$B$10/$B$11,0)</f>
        <v/>
      </c>
      <c r="D34" s="12">
        <f>FV(((1+$B$13)^(1/12)-1),12*A34,-$B$5/$B$11,0)</f>
        <v/>
      </c>
      <c r="E34" s="12">
        <f>C34*0.031</f>
        <v/>
      </c>
    </row>
    <row r="35">
      <c r="A35" s="7" t="n">
        <v>5</v>
      </c>
      <c r="B35" s="12">
        <f>$B$5*$B$10/$B$11*12*A35</f>
        <v/>
      </c>
      <c r="C35" s="12">
        <f>FV(((1+$B$13)^(1/12)-1),12*A35,-$B$5*$B$10/$B$11,0)</f>
        <v/>
      </c>
      <c r="D35" s="12">
        <f>FV(((1+$B$13)^(1/12)-1),12*A35,-$B$5/$B$11,0)</f>
        <v/>
      </c>
      <c r="E35" s="12">
        <f>C35*0.031</f>
        <v/>
      </c>
    </row>
    <row r="36">
      <c r="A36" s="7" t="n">
        <v>10</v>
      </c>
      <c r="B36" s="12">
        <f>$B$5*$B$10/$B$11*12*A36</f>
        <v/>
      </c>
      <c r="C36" s="12">
        <f>FV(((1+$B$13)^(1/12)-1),12*A36,-$B$5*$B$10/$B$11,0)</f>
        <v/>
      </c>
      <c r="D36" s="12">
        <f>FV(((1+$B$13)^(1/12)-1),12*A36,-$B$5/$B$11,0)</f>
        <v/>
      </c>
      <c r="E36" s="12">
        <f>C36*0.031</f>
        <v/>
      </c>
    </row>
    <row r="37">
      <c r="A37" s="7" t="n">
        <v>15</v>
      </c>
      <c r="B37" s="12">
        <f>$B$5*$B$10/$B$11*12*A37</f>
        <v/>
      </c>
      <c r="C37" s="12">
        <f>FV(((1+$B$13)^(1/12)-1),12*A37,-$B$5*$B$10/$B$11,0)</f>
        <v/>
      </c>
      <c r="D37" s="12">
        <f>FV(((1+$B$13)^(1/12)-1),12*A37,-$B$5/$B$11,0)</f>
        <v/>
      </c>
      <c r="E37" s="12">
        <f>C37*0.031</f>
        <v/>
      </c>
    </row>
    <row r="38">
      <c r="A38" s="7" t="n">
        <v>20</v>
      </c>
      <c r="B38" s="12">
        <f>$B$5*$B$10/$B$11*12*A38</f>
        <v/>
      </c>
      <c r="C38" s="12">
        <f>FV(((1+$B$13)^(1/12)-1),12*A38,-$B$5*$B$10/$B$11,0)</f>
        <v/>
      </c>
      <c r="D38" s="12">
        <f>FV(((1+$B$13)^(1/12)-1),12*A38,-$B$5/$B$11,0)</f>
        <v/>
      </c>
      <c r="E38" s="12">
        <f>C38*0.031</f>
        <v/>
      </c>
    </row>
    <row r="39">
      <c r="A39" s="7" t="n">
        <v>25</v>
      </c>
      <c r="B39" s="12">
        <f>$B$5*$B$10/$B$11*12*A39</f>
        <v/>
      </c>
      <c r="C39" s="12">
        <f>FV(((1+$B$13)^(1/12)-1),12*A39,-$B$5*$B$10/$B$11,0)</f>
        <v/>
      </c>
      <c r="D39" s="12">
        <f>FV(((1+$B$13)^(1/12)-1),12*A39,-$B$5/$B$11,0)</f>
        <v/>
      </c>
      <c r="E39" s="12">
        <f>C39*0.031</f>
        <v/>
      </c>
    </row>
    <row r="40">
      <c r="A40" s="7" t="n">
        <v>30</v>
      </c>
      <c r="B40" s="12">
        <f>$B$5*$B$10/$B$11*12*A40</f>
        <v/>
      </c>
      <c r="C40" s="12">
        <f>FV(((1+$B$13)^(1/12)-1),12*A40,-$B$5*$B$10/$B$11,0)</f>
        <v/>
      </c>
      <c r="D40" s="12">
        <f>FV(((1+$B$13)^(1/12)-1),12*A40,-$B$5/$B$11,0)</f>
        <v/>
      </c>
      <c r="E40" s="12">
        <f>C40*0.031</f>
        <v/>
      </c>
    </row>
    <row r="42">
      <c r="A42" t="inlineStr">
        <is>
          <t>El dividendo usa el yield de 12 meses de SCHH (3.1%) antes de impuestos. La proyección supone el rendimiento de arriba cada año; en la realidad hubo años de −68%.</t>
        </is>
      </c>
    </row>
    <row r="43">
      <c r="A43" t="inlineStr">
        <is>
          <t>Herramienta de análisis, no asesoría de inversión ni fiscal.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0" customWidth="1" min="3" max="3"/>
    <col width="14" customWidth="1" min="4" max="4"/>
    <col width="18" customWidth="1" min="5" max="5"/>
    <col width="16" customWidth="1" min="6" max="6"/>
    <col width="16" customWidth="1" min="7" max="7"/>
    <col width="14" customWidth="1" min="8" max="8"/>
    <col width="8" customWidth="1" min="9" max="9"/>
  </cols>
  <sheetData>
    <row r="1">
      <c r="A1" s="1" t="inlineStr">
        <is>
          <t>¿Cuándo entrar? La investigación de timing</t>
        </is>
      </c>
    </row>
    <row r="2">
      <c r="A2" s="2" t="inlineStr">
        <is>
          <t>Desarrollo 1972-2015, FTSE Nareit All Equity, perfil SIC del modelo. Mejora = TIR de la regla menos la de aportar siempre, en pb al año. Criterio: +50 pb robusto.</t>
        </is>
      </c>
    </row>
    <row r="4">
      <c r="A4" s="6" t="inlineStr">
        <is>
          <t>Las 22 reglas de entrada (fase 5)</t>
        </is>
      </c>
    </row>
    <row r="5">
      <c r="A5" s="3" t="inlineStr">
        <is>
          <t>Señal</t>
        </is>
      </c>
      <c r="B5" s="3" t="inlineStr">
        <is>
          <t>Familia</t>
        </is>
      </c>
      <c r="C5" s="3" t="inlineStr">
        <is>
          <t>Regla</t>
        </is>
      </c>
      <c r="D5" s="3" t="inlineStr">
        <is>
          <t>Mejora (pb)</t>
        </is>
      </c>
      <c r="E5" s="3" t="inlineStr">
        <is>
          <t>Ejecutando un mes tarde (pb)</t>
        </is>
      </c>
      <c r="F5" s="3" t="inlineStr">
        <is>
          <t>Con doble comisión (pb)</t>
        </is>
      </c>
      <c r="G5" s="3" t="inlineStr">
        <is>
          <t>Solo el dinero nuevo (pb)</t>
        </is>
      </c>
      <c r="H5" s="3" t="inlineStr">
        <is>
          <t>Caída máxima</t>
        </is>
      </c>
      <c r="I5" s="3" t="inlineStr">
        <is>
          <t>Pasa</t>
        </is>
      </c>
    </row>
    <row r="6">
      <c r="A6" s="4" t="inlineStr">
        <is>
          <t>condiciones financieras</t>
        </is>
      </c>
      <c r="B6" s="4" t="inlineStr">
        <is>
          <t>credito</t>
        </is>
      </c>
      <c r="C6" s="4" t="inlineStr">
        <is>
          <t>fuera en el quintil peor (20%)</t>
        </is>
      </c>
      <c r="D6" s="19" t="n">
        <v>92</v>
      </c>
      <c r="E6" s="19" t="n">
        <v>55</v>
      </c>
      <c r="F6" s="19" t="n">
        <v>80</v>
      </c>
      <c r="G6" s="19" t="n">
        <v>-2</v>
      </c>
      <c r="H6" s="20" t="n">
        <v>-0.3941788395</v>
      </c>
      <c r="I6" s="4" t="inlineStr">
        <is>
          <t>No</t>
        </is>
      </c>
    </row>
    <row r="7">
      <c r="A7" s="4" t="inlineStr">
        <is>
          <t>tendencia de 10 meses</t>
        </is>
      </c>
      <c r="B7" s="4" t="inlineStr">
        <is>
          <t>tendencia</t>
        </is>
      </c>
      <c r="C7" s="4" t="inlineStr">
        <is>
          <t>signo</t>
        </is>
      </c>
      <c r="D7" s="19" t="n">
        <v>15</v>
      </c>
      <c r="E7" s="19" t="n">
        <v>-110</v>
      </c>
      <c r="F7" s="19" t="n">
        <v>-20</v>
      </c>
      <c r="G7" s="19" t="n">
        <v>7</v>
      </c>
      <c r="H7" s="20" t="n">
        <v>-0.2066799774</v>
      </c>
      <c r="I7" s="4" t="inlineStr">
        <is>
          <t>No</t>
        </is>
      </c>
    </row>
    <row r="8">
      <c r="A8" s="4" t="inlineStr">
        <is>
          <t>momentum contra el efectivo</t>
        </is>
      </c>
      <c r="B8" s="4" t="inlineStr">
        <is>
          <t>tendencia</t>
        </is>
      </c>
      <c r="C8" s="4" t="inlineStr">
        <is>
          <t>signo</t>
        </is>
      </c>
      <c r="D8" s="19" t="n">
        <v>2</v>
      </c>
      <c r="E8" s="19" t="n">
        <v>-118</v>
      </c>
      <c r="F8" s="19" t="n">
        <v>-19</v>
      </c>
      <c r="G8" s="19" t="n">
        <v>-5</v>
      </c>
      <c r="H8" s="20" t="n">
        <v>-0.2026571989</v>
      </c>
      <c r="I8" s="4" t="inlineStr">
        <is>
          <t>No</t>
        </is>
      </c>
    </row>
    <row r="9">
      <c r="A9" s="4" t="inlineStr">
        <is>
          <t>compuesto de cuatro familias</t>
        </is>
      </c>
      <c r="B9" s="4" t="inlineStr">
        <is>
          <t>combinada</t>
        </is>
      </c>
      <c r="C9" s="4" t="inlineStr">
        <is>
          <t>continua con piso de 50%</t>
        </is>
      </c>
      <c r="D9" s="19" t="n">
        <v>0</v>
      </c>
      <c r="E9" s="19" t="n">
        <v>-15</v>
      </c>
      <c r="F9" s="19" t="n">
        <v>-11</v>
      </c>
      <c r="G9" s="19" t="n">
        <v>0</v>
      </c>
      <c r="H9" s="20" t="n">
        <v>-0.4510191751</v>
      </c>
      <c r="I9" s="4" t="inlineStr">
        <is>
          <t>No</t>
        </is>
      </c>
    </row>
    <row r="10">
      <c r="A10" s="4" t="inlineStr">
        <is>
          <t>caro y con tendencia negativa</t>
        </is>
      </c>
      <c r="B10" s="4" t="inlineStr">
        <is>
          <t>combinada</t>
        </is>
      </c>
      <c r="C10" s="4" t="inlineStr">
        <is>
          <t>fuera si caro y a la baja</t>
        </is>
      </c>
      <c r="D10" s="19" t="n">
        <v>-11</v>
      </c>
      <c r="E10" s="19" t="n">
        <v>-56</v>
      </c>
      <c r="F10" s="19" t="n">
        <v>-18</v>
      </c>
      <c r="G10" s="19" t="n">
        <v>1</v>
      </c>
      <c r="H10" s="20" t="n">
        <v>-0.6894232228</v>
      </c>
      <c r="I10" s="4" t="inlineStr">
        <is>
          <t>No</t>
        </is>
      </c>
    </row>
    <row r="11">
      <c r="A11" s="4" t="inlineStr">
        <is>
          <t>crédito bancario a inmuebles</t>
        </is>
      </c>
      <c r="B11" s="4" t="inlineStr">
        <is>
          <t>credito</t>
        </is>
      </c>
      <c r="C11" s="4" t="inlineStr">
        <is>
          <t>fuera en el quintil peor (20%)</t>
        </is>
      </c>
      <c r="D11" s="19" t="n">
        <v>-15</v>
      </c>
      <c r="E11" s="19" t="n">
        <v>46</v>
      </c>
      <c r="F11" s="19" t="n">
        <v>-25</v>
      </c>
      <c r="G11" s="19" t="n">
        <v>-6</v>
      </c>
      <c r="H11" s="20" t="n">
        <v>-0.3941788395</v>
      </c>
      <c r="I11" s="4" t="inlineStr">
        <is>
          <t>No</t>
        </is>
      </c>
    </row>
    <row r="12">
      <c r="A12" s="4" t="inlineStr">
        <is>
          <t>yield contra el Treasury</t>
        </is>
      </c>
      <c r="B12" s="4" t="inlineStr">
        <is>
          <t>valuacion</t>
        </is>
      </c>
      <c r="C12" s="4" t="inlineStr">
        <is>
          <t>fuera en el quintil peor (20%)</t>
        </is>
      </c>
      <c r="D12" s="19" t="n">
        <v>-43</v>
      </c>
      <c r="E12" s="19" t="n">
        <v>-72</v>
      </c>
      <c r="F12" s="19" t="n">
        <v>-51</v>
      </c>
      <c r="G12" s="19" t="n">
        <v>0</v>
      </c>
      <c r="H12" s="20" t="n">
        <v>-0.6821621056</v>
      </c>
      <c r="I12" s="4" t="inlineStr">
        <is>
          <t>No</t>
        </is>
      </c>
    </row>
    <row r="13">
      <c r="A13" s="4" t="inlineStr">
        <is>
          <t>condiciones financieras</t>
        </is>
      </c>
      <c r="B13" s="4" t="inlineStr">
        <is>
          <t>credito</t>
        </is>
      </c>
      <c r="C13" s="4" t="inlineStr">
        <is>
          <t>continua con piso de 50%</t>
        </is>
      </c>
      <c r="D13" s="19" t="n">
        <v>-50</v>
      </c>
      <c r="E13" s="19" t="n">
        <v>-74</v>
      </c>
      <c r="F13" s="19" t="n">
        <v>-57</v>
      </c>
      <c r="G13" s="19" t="n">
        <v>-1</v>
      </c>
      <c r="H13" s="20" t="n">
        <v>-0.4745039598</v>
      </c>
      <c r="I13" s="4" t="inlineStr">
        <is>
          <t>No</t>
        </is>
      </c>
    </row>
    <row r="14">
      <c r="A14" s="4" t="inlineStr">
        <is>
          <t>crédito bancario a inmuebles</t>
        </is>
      </c>
      <c r="B14" s="4" t="inlineStr">
        <is>
          <t>credito</t>
        </is>
      </c>
      <c r="C14" s="4" t="inlineStr">
        <is>
          <t>continua con piso de 50%</t>
        </is>
      </c>
      <c r="D14" s="19" t="n">
        <v>-59</v>
      </c>
      <c r="E14" s="19" t="n">
        <v>-56</v>
      </c>
      <c r="F14" s="19" t="n">
        <v>-65</v>
      </c>
      <c r="G14" s="19" t="n">
        <v>0</v>
      </c>
      <c r="H14" s="20" t="n">
        <v>-0.4273664578</v>
      </c>
      <c r="I14" s="4" t="inlineStr">
        <is>
          <t>No</t>
        </is>
      </c>
    </row>
    <row r="15">
      <c r="A15" s="4" t="inlineStr">
        <is>
          <t>yield contra bonos Baa</t>
        </is>
      </c>
      <c r="B15" s="4" t="inlineStr">
        <is>
          <t>valuacion</t>
        </is>
      </c>
      <c r="C15" s="4" t="inlineStr">
        <is>
          <t>fuera en el quintil peor (20%)</t>
        </is>
      </c>
      <c r="D15" s="19" t="n">
        <v>-93</v>
      </c>
      <c r="E15" s="19" t="n">
        <v>-103</v>
      </c>
      <c r="F15" s="19" t="n">
        <v>-100</v>
      </c>
      <c r="G15" s="19" t="n">
        <v>-14</v>
      </c>
      <c r="H15" s="20" t="n">
        <v>-0.6894232228</v>
      </c>
      <c r="I15" s="4" t="inlineStr">
        <is>
          <t>No</t>
        </is>
      </c>
    </row>
    <row r="16">
      <c r="A16" s="4" t="inlineStr">
        <is>
          <t>bolsa del mes</t>
        </is>
      </c>
      <c r="B16" s="4" t="inlineStr">
        <is>
          <t>bolsa</t>
        </is>
      </c>
      <c r="C16" s="4" t="inlineStr">
        <is>
          <t>continua con piso de 50%</t>
        </is>
      </c>
      <c r="D16" s="19" t="n">
        <v>-104</v>
      </c>
      <c r="E16" s="19" t="n">
        <v>-272</v>
      </c>
      <c r="F16" s="19" t="n">
        <v>-153</v>
      </c>
      <c r="G16" s="19" t="n">
        <v>0</v>
      </c>
      <c r="H16" s="20" t="n">
        <v>-0.4900099232</v>
      </c>
      <c r="I16" s="4" t="inlineStr">
        <is>
          <t>No</t>
        </is>
      </c>
    </row>
    <row r="17">
      <c r="A17" s="4" t="inlineStr">
        <is>
          <t>cambio del spread de crédito</t>
        </is>
      </c>
      <c r="B17" s="4" t="inlineStr">
        <is>
          <t>credito</t>
        </is>
      </c>
      <c r="C17" s="4" t="inlineStr">
        <is>
          <t>fuera en el quintil peor (20%)</t>
        </is>
      </c>
      <c r="D17" s="19" t="n">
        <v>-117</v>
      </c>
      <c r="E17" s="19" t="n">
        <v>10</v>
      </c>
      <c r="F17" s="19" t="n">
        <v>-141</v>
      </c>
      <c r="G17" s="19" t="n">
        <v>-3</v>
      </c>
      <c r="H17" s="20" t="n">
        <v>-0.3941788395</v>
      </c>
      <c r="I17" s="4" t="inlineStr">
        <is>
          <t>No</t>
        </is>
      </c>
    </row>
    <row r="18">
      <c r="A18" s="4" t="inlineStr">
        <is>
          <t>cambio del spread de crédito</t>
        </is>
      </c>
      <c r="B18" s="4" t="inlineStr">
        <is>
          <t>credito</t>
        </is>
      </c>
      <c r="C18" s="4" t="inlineStr">
        <is>
          <t>continua con piso de 50%</t>
        </is>
      </c>
      <c r="D18" s="19" t="n">
        <v>-119</v>
      </c>
      <c r="E18" s="19" t="n">
        <v>-115</v>
      </c>
      <c r="F18" s="19" t="n">
        <v>-131</v>
      </c>
      <c r="G18" s="19" t="n">
        <v>-2</v>
      </c>
      <c r="H18" s="20" t="n">
        <v>-0.4417805255</v>
      </c>
      <c r="I18" s="4" t="inlineStr">
        <is>
          <t>No</t>
        </is>
      </c>
    </row>
    <row r="19">
      <c r="A19" s="4" t="inlineStr">
        <is>
          <t>bolsa del mes</t>
        </is>
      </c>
      <c r="B19" s="4" t="inlineStr">
        <is>
          <t>bolsa</t>
        </is>
      </c>
      <c r="C19" s="4" t="inlineStr">
        <is>
          <t>fuera en el quintil peor (20%)</t>
        </is>
      </c>
      <c r="D19" s="19" t="n">
        <v>-119</v>
      </c>
      <c r="E19" s="19" t="n">
        <v>-493</v>
      </c>
      <c r="F19" s="19" t="n">
        <v>-210</v>
      </c>
      <c r="G19" s="19" t="n">
        <v>0</v>
      </c>
      <c r="H19" s="20" t="n">
        <v>-0.3941788395</v>
      </c>
      <c r="I19" s="4" t="inlineStr">
        <is>
          <t>No</t>
        </is>
      </c>
    </row>
    <row r="20">
      <c r="A20" s="4" t="inlineStr">
        <is>
          <t>yield contra el Treasury</t>
        </is>
      </c>
      <c r="B20" s="4" t="inlineStr">
        <is>
          <t>valuacion</t>
        </is>
      </c>
      <c r="C20" s="4" t="inlineStr">
        <is>
          <t>continua con piso de 50%</t>
        </is>
      </c>
      <c r="D20" s="19" t="n">
        <v>-137</v>
      </c>
      <c r="E20" s="19" t="n">
        <v>-130</v>
      </c>
      <c r="F20" s="19" t="n">
        <v>-146</v>
      </c>
      <c r="G20" s="19" t="n">
        <v>-2</v>
      </c>
      <c r="H20" s="20" t="n">
        <v>-0.6327522972</v>
      </c>
      <c r="I20" s="4" t="inlineStr">
        <is>
          <t>No</t>
        </is>
      </c>
    </row>
    <row r="21">
      <c r="A21" s="4" t="inlineStr">
        <is>
          <t>yield contra bonos Baa</t>
        </is>
      </c>
      <c r="B21" s="4" t="inlineStr">
        <is>
          <t>valuacion</t>
        </is>
      </c>
      <c r="C21" s="4" t="inlineStr">
        <is>
          <t>continua con piso de 50%</t>
        </is>
      </c>
      <c r="D21" s="19" t="n">
        <v>-150</v>
      </c>
      <c r="E21" s="19" t="n">
        <v>-127</v>
      </c>
      <c r="F21" s="19" t="n">
        <v>-160</v>
      </c>
      <c r="G21" s="19" t="n">
        <v>-2</v>
      </c>
      <c r="H21" s="20" t="n">
        <v>-0.5746146137</v>
      </c>
      <c r="I21" s="4" t="inlineStr">
        <is>
          <t>No</t>
        </is>
      </c>
    </row>
    <row r="22">
      <c r="A22" s="4" t="inlineStr">
        <is>
          <t>spread de default</t>
        </is>
      </c>
      <c r="B22" s="4" t="inlineStr">
        <is>
          <t>credito</t>
        </is>
      </c>
      <c r="C22" s="4" t="inlineStr">
        <is>
          <t>continua con piso de 50%</t>
        </is>
      </c>
      <c r="D22" s="19" t="n">
        <v>-199</v>
      </c>
      <c r="E22" s="19" t="n">
        <v>-214</v>
      </c>
      <c r="F22" s="19" t="n">
        <v>-208</v>
      </c>
      <c r="G22" s="19" t="n">
        <v>-1</v>
      </c>
      <c r="H22" s="20" t="n">
        <v>-0.6441265092</v>
      </c>
      <c r="I22" s="4" t="inlineStr">
        <is>
          <t>No</t>
        </is>
      </c>
    </row>
    <row r="23">
      <c r="A23" s="4" t="inlineStr">
        <is>
          <t>yield contra la tasa real</t>
        </is>
      </c>
      <c r="B23" s="4" t="inlineStr">
        <is>
          <t>valuacion</t>
        </is>
      </c>
      <c r="C23" s="4" t="inlineStr">
        <is>
          <t>fuera en el quintil peor (20%)</t>
        </is>
      </c>
      <c r="D23" s="19" t="n">
        <v>-225</v>
      </c>
      <c r="E23" s="19" t="n">
        <v>-204</v>
      </c>
      <c r="F23" s="19" t="n">
        <v>-251</v>
      </c>
      <c r="G23" s="19" t="n">
        <v>-19</v>
      </c>
      <c r="H23" s="20" t="n">
        <v>-0.6265164539</v>
      </c>
      <c r="I23" s="4" t="inlineStr">
        <is>
          <t>No</t>
        </is>
      </c>
    </row>
    <row r="24">
      <c r="A24" s="4" t="inlineStr">
        <is>
          <t>yield contra la tasa real</t>
        </is>
      </c>
      <c r="B24" s="4" t="inlineStr">
        <is>
          <t>valuacion</t>
        </is>
      </c>
      <c r="C24" s="4" t="inlineStr">
        <is>
          <t>continua con piso de 50%</t>
        </is>
      </c>
      <c r="D24" s="19" t="n">
        <v>-239</v>
      </c>
      <c r="E24" s="19" t="n">
        <v>-237</v>
      </c>
      <c r="F24" s="19" t="n">
        <v>-249</v>
      </c>
      <c r="G24" s="19" t="n">
        <v>-2</v>
      </c>
      <c r="H24" s="20" t="n">
        <v>-0.6159786742</v>
      </c>
      <c r="I24" s="4" t="inlineStr">
        <is>
          <t>No</t>
        </is>
      </c>
    </row>
    <row r="25">
      <c r="A25" s="4" t="inlineStr">
        <is>
          <t>yield de los REITs</t>
        </is>
      </c>
      <c r="B25" s="4" t="inlineStr">
        <is>
          <t>valuacion</t>
        </is>
      </c>
      <c r="C25" s="4" t="inlineStr">
        <is>
          <t>continua con piso de 50%</t>
        </is>
      </c>
      <c r="D25" s="19" t="n">
        <v>-247</v>
      </c>
      <c r="E25" s="19" t="n">
        <v>-234</v>
      </c>
      <c r="F25" s="19" t="n">
        <v>-259</v>
      </c>
      <c r="G25" s="19" t="n">
        <v>-2</v>
      </c>
      <c r="H25" s="20" t="n">
        <v>-0.5017970698000001</v>
      </c>
      <c r="I25" s="4" t="inlineStr">
        <is>
          <t>No</t>
        </is>
      </c>
    </row>
    <row r="26">
      <c r="A26" s="4" t="inlineStr">
        <is>
          <t>spread de default</t>
        </is>
      </c>
      <c r="B26" s="4" t="inlineStr">
        <is>
          <t>credito</t>
        </is>
      </c>
      <c r="C26" s="4" t="inlineStr">
        <is>
          <t>fuera en el quintil peor (20%)</t>
        </is>
      </c>
      <c r="D26" s="19" t="n">
        <v>-254</v>
      </c>
      <c r="E26" s="19" t="n">
        <v>-318</v>
      </c>
      <c r="F26" s="19" t="n">
        <v>-270</v>
      </c>
      <c r="G26" s="19" t="n">
        <v>-15</v>
      </c>
      <c r="H26" s="20" t="n">
        <v>-0.6894232228</v>
      </c>
      <c r="I26" s="4" t="inlineStr">
        <is>
          <t>No</t>
        </is>
      </c>
    </row>
    <row r="27">
      <c r="A27" s="4" t="inlineStr">
        <is>
          <t>yield de los REITs</t>
        </is>
      </c>
      <c r="B27" s="4" t="inlineStr">
        <is>
          <t>valuacion</t>
        </is>
      </c>
      <c r="C27" s="4" t="inlineStr">
        <is>
          <t>fuera en el quintil peor (20%)</t>
        </is>
      </c>
      <c r="D27" s="19" t="n">
        <v>-490</v>
      </c>
      <c r="E27" s="19" t="n">
        <v>-437</v>
      </c>
      <c r="F27" s="19" t="n">
        <v>-515</v>
      </c>
      <c r="G27" s="19" t="n">
        <v>6</v>
      </c>
      <c r="H27" s="20" t="n">
        <v>-0.4165009488</v>
      </c>
      <c r="I27" s="4" t="inlineStr">
        <is>
          <t>No</t>
        </is>
      </c>
    </row>
    <row r="29">
      <c r="A29" s="6" t="inlineStr">
        <is>
          <t>Qué tan seguido gana esperar en efectivo (fase 3)</t>
        </is>
      </c>
    </row>
    <row r="30">
      <c r="A30" s="3" t="inlineStr">
        <is>
          <t>Horizonte (meses)</t>
        </is>
      </c>
      <c r="B30" s="3" t="inlineStr">
        <is>
          <t>Ventanas independientes</t>
        </is>
      </c>
      <c r="C30" s="3" t="inlineStr">
        <is>
          <t>El efectivo ganó</t>
        </is>
      </c>
      <c r="D30" s="3" t="inlineStr">
        <is>
          <t>REITs (mediana anual)</t>
        </is>
      </c>
      <c r="E30" s="3" t="inlineStr">
        <is>
          <t>Efectivo (mediana anual)</t>
        </is>
      </c>
    </row>
    <row r="31">
      <c r="A31" s="21" t="n">
        <v>1</v>
      </c>
      <c r="B31" s="21" t="n">
        <v>527</v>
      </c>
      <c r="C31" s="20" t="n">
        <v>0.4117647059</v>
      </c>
      <c r="D31" s="20" t="n">
        <v>0.1654383566</v>
      </c>
      <c r="E31" s="20" t="n">
        <v>0.05116189788</v>
      </c>
    </row>
    <row r="32">
      <c r="A32" s="21" t="n">
        <v>3</v>
      </c>
      <c r="B32" s="21" t="n">
        <v>175</v>
      </c>
      <c r="C32" s="20" t="n">
        <v>0.3828571429</v>
      </c>
      <c r="D32" s="20" t="n">
        <v>0.1550614336</v>
      </c>
      <c r="E32" s="20" t="n">
        <v>0.05137124547</v>
      </c>
    </row>
    <row r="33">
      <c r="A33" s="21" t="n">
        <v>12</v>
      </c>
      <c r="B33" s="21" t="n">
        <v>43</v>
      </c>
      <c r="C33" s="20" t="n">
        <v>0.273255814</v>
      </c>
      <c r="D33" s="20" t="n">
        <v>0.157142278</v>
      </c>
      <c r="E33" s="20" t="n">
        <v>0.05155885517</v>
      </c>
    </row>
    <row r="34">
      <c r="A34" s="21" t="n">
        <v>36</v>
      </c>
      <c r="B34" s="21" t="n">
        <v>13</v>
      </c>
      <c r="C34" s="20" t="n">
        <v>0.2174796748</v>
      </c>
      <c r="D34" s="20" t="n">
        <v>0.1428414147</v>
      </c>
      <c r="E34" s="20" t="n">
        <v>0.05140903343</v>
      </c>
    </row>
    <row r="35">
      <c r="A35" s="21" t="n">
        <v>60</v>
      </c>
      <c r="B35" s="21" t="n">
        <v>7</v>
      </c>
      <c r="C35" s="20" t="n">
        <v>0.1623931624</v>
      </c>
      <c r="D35" s="20" t="n">
        <v>0.1320062854</v>
      </c>
      <c r="E35" s="20" t="n">
        <v>0.05100426167</v>
      </c>
    </row>
    <row r="37">
      <c r="A37" s="6" t="inlineStr">
        <is>
          <t>El techo: qué ganaría un oráculo (fase 3)</t>
        </is>
      </c>
    </row>
    <row r="38">
      <c r="A38" s="3" t="inlineStr">
        <is>
          <t>Regla con información perfecta</t>
        </is>
      </c>
      <c r="B38" s="3" t="inlineStr">
        <is>
          <t>Modo</t>
        </is>
      </c>
      <c r="C38" s="3" t="inlineStr">
        <is>
          <t>TIR</t>
        </is>
      </c>
      <c r="D38" s="3" t="inlineStr">
        <is>
          <t>Contra aportar siempre (pb)</t>
        </is>
      </c>
      <c r="E38" s="3" t="inlineStr">
        <is>
          <t>Caída máxima</t>
        </is>
      </c>
    </row>
    <row r="39">
      <c r="A39" s="4" t="inlineStr">
        <is>
          <t>aportar siempre</t>
        </is>
      </c>
      <c r="B39" s="4" t="inlineStr">
        <is>
          <t>nunca vende</t>
        </is>
      </c>
      <c r="C39" s="22" t="n">
        <v>0.1065330866</v>
      </c>
      <c r="D39" s="19" t="n">
        <v>0</v>
      </c>
      <c r="E39" s="20" t="n">
        <v>-0.6894232228</v>
      </c>
    </row>
    <row r="40">
      <c r="A40" s="4" t="inlineStr">
        <is>
          <t>oráculo del mes siguiente</t>
        </is>
      </c>
      <c r="B40" s="4" t="inlineStr">
        <is>
          <t>nunca vende</t>
        </is>
      </c>
      <c r="C40" s="22" t="n">
        <v>0.1094649286</v>
      </c>
      <c r="D40" s="19" t="n">
        <v>29</v>
      </c>
      <c r="E40" s="20" t="n">
        <v>-0.6842130662</v>
      </c>
    </row>
    <row r="41">
      <c r="A41" s="4" t="inlineStr">
        <is>
          <t>oráculo del mes siguiente</t>
        </is>
      </c>
      <c r="B41" s="4" t="inlineStr">
        <is>
          <t>rebalancea</t>
        </is>
      </c>
      <c r="C41" s="22" t="n">
        <v>0.279439026</v>
      </c>
      <c r="D41" s="19" t="n">
        <v>1729</v>
      </c>
      <c r="E41" s="20" t="n">
        <v>0</v>
      </c>
    </row>
    <row r="42">
      <c r="A42" s="4" t="inlineStr">
        <is>
          <t>oráculo de los 12 meses siguientes</t>
        </is>
      </c>
      <c r="B42" s="4" t="inlineStr">
        <is>
          <t>nunca vende</t>
        </is>
      </c>
      <c r="C42" s="22" t="n">
        <v>0.1123688704</v>
      </c>
      <c r="D42" s="19" t="n">
        <v>58</v>
      </c>
      <c r="E42" s="20" t="n">
        <v>-0.6647899021</v>
      </c>
    </row>
    <row r="43">
      <c r="A43" s="4" t="inlineStr">
        <is>
          <t>oráculo de los 12 meses siguientes</t>
        </is>
      </c>
      <c r="B43" s="4" t="inlineStr">
        <is>
          <t>rebalancea</t>
        </is>
      </c>
      <c r="C43" s="22" t="n">
        <v>0.1444630037</v>
      </c>
      <c r="D43" s="19" t="n">
        <v>379</v>
      </c>
      <c r="E43" s="20" t="n">
        <v>-0.346367786</v>
      </c>
    </row>
    <row r="44">
      <c r="A44" s="5" t="inlineStr">
        <is>
          <t>fuera en cada caída de 20% o más (del máximo al mínimo)</t>
        </is>
      </c>
      <c r="B44" s="4" t="inlineStr">
        <is>
          <t>nunca vende</t>
        </is>
      </c>
      <c r="C44" s="22" t="n">
        <v>0.1144035233</v>
      </c>
      <c r="D44" s="19" t="n">
        <v>79</v>
      </c>
      <c r="E44" s="20" t="n">
        <v>-0.6535286380000001</v>
      </c>
    </row>
    <row r="45">
      <c r="A45" s="5" t="inlineStr">
        <is>
          <t>fuera en cada caída de 20% o más (del máximo al mínimo)</t>
        </is>
      </c>
      <c r="B45" s="4" t="inlineStr">
        <is>
          <t>rebalancea</t>
        </is>
      </c>
      <c r="C45" s="22" t="n">
        <v>0.1654421701</v>
      </c>
      <c r="D45" s="19" t="n">
        <v>589</v>
      </c>
      <c r="E45" s="20" t="n">
        <v>-0.1831754437</v>
      </c>
    </row>
    <row r="46">
      <c r="A46" s="4" t="inlineStr">
        <is>
          <t>anti-oráculo de 12 meses</t>
        </is>
      </c>
      <c r="B46" s="4" t="inlineStr">
        <is>
          <t>nunca vende</t>
        </is>
      </c>
      <c r="C46" s="22" t="n">
        <v>0.08772318266</v>
      </c>
      <c r="D46" s="19" t="n">
        <v>-188</v>
      </c>
      <c r="E46" s="20" t="n">
        <v>-0.6873559317</v>
      </c>
    </row>
    <row r="47">
      <c r="A47" s="4" t="inlineStr">
        <is>
          <t>anti-oráculo de 12 meses</t>
        </is>
      </c>
      <c r="B47" s="4" t="inlineStr">
        <is>
          <t>rebalancea</t>
        </is>
      </c>
      <c r="C47" s="22" t="n">
        <v>-0.01924779099</v>
      </c>
      <c r="D47" s="19" t="n">
        <v>-1258</v>
      </c>
      <c r="E47" s="20" t="n">
        <v>-0.6357681053999999</v>
      </c>
    </row>
    <row r="49">
      <c r="A49" s="6" t="inlineStr">
        <is>
          <t>Análisis de poder (docs/investigacion/poder_resultados.md)</t>
        </is>
      </c>
    </row>
    <row r="50">
      <c r="A50" s="3" t="inlineStr">
        <is>
          <t>Pregunta</t>
        </is>
      </c>
      <c r="B50" s="3" t="inlineStr">
        <is>
          <t>Mínimo detectable (pb al año)</t>
        </is>
      </c>
      <c r="C50" s="3" t="inlineStr">
        <is>
          <t>Qué se vio</t>
        </is>
      </c>
    </row>
    <row r="51">
      <c r="A51" s="4" t="inlineStr">
        <is>
          <t>Cuándo entrar</t>
        </is>
      </c>
      <c r="B51" s="4" t="inlineStr">
        <is>
          <t>195 a 432</t>
        </is>
      </c>
      <c r="C51" s="5" t="inlineStr">
        <is>
          <t>Una ventaja de 100 pb pasaría inadvertida 45% a 82% de las veces</t>
        </is>
      </c>
    </row>
    <row r="52">
      <c r="A52" s="4" t="inlineStr">
        <is>
          <t>En cuáles REITs</t>
        </is>
      </c>
      <c r="B52" s="4" t="inlineStr">
        <is>
          <t>59 a 110</t>
        </is>
      </c>
      <c r="C52" s="5" t="inlineStr">
        <is>
          <t>Momentum se distingue del azar, pero queda corto</t>
        </is>
      </c>
    </row>
    <row r="53">
      <c r="A53" s="4" t="inlineStr">
        <is>
          <t>Escoger entre O, NNN y WPC</t>
        </is>
      </c>
      <c r="B53" s="4" t="inlineStr">
        <is>
          <t>54</t>
        </is>
      </c>
      <c r="C53" s="5" t="inlineStr">
        <is>
          <t>+72 pb observado; más que 500 elecciones al azar</t>
        </is>
      </c>
    </row>
    <row r="54">
      <c r="A54" s="4" t="inlineStr">
        <is>
          <t>Salirse a ciegas</t>
        </is>
      </c>
      <c r="B54" s="4" t="inlineStr">
        <is>
          <t>cuesta 86 a 302</t>
        </is>
      </c>
      <c r="C54" s="5" t="inlineStr">
        <is>
          <t>Lo que una regla tiene que ganar solo para empatar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12" customWidth="1" min="4" max="4"/>
    <col width="12" customWidth="1" min="5" max="5"/>
    <col width="16" customWidth="1" min="6" max="6"/>
    <col width="14" customWidth="1" min="7" max="7"/>
    <col width="14" customWidth="1" min="8" max="8"/>
    <col width="8" customWidth="1" min="9" max="9"/>
  </cols>
  <sheetData>
    <row r="1">
      <c r="A1" s="1" t="inlineStr">
        <is>
          <t>¿En cuáles REITs? Selección entre todos los REITs de EE. UU.</t>
        </is>
      </c>
    </row>
    <row r="2">
      <c r="A2" s="2" t="inlineStr">
        <is>
          <t>Aportando cada trimestre sin vender, contra repartir entre todos por partes iguales. Mejora en pb al año.</t>
        </is>
      </c>
    </row>
    <row r="4">
      <c r="A4" s="6" t="inlineStr">
        <is>
          <t>Desarrollo 2011-2015</t>
        </is>
      </c>
    </row>
    <row r="5">
      <c r="A5" s="3" t="inlineStr">
        <is>
          <t>Regla</t>
        </is>
      </c>
      <c r="B5" s="3" t="inlineStr">
        <is>
          <t>Escogidos (promedio)</t>
        </is>
      </c>
      <c r="C5" s="3" t="inlineStr">
        <is>
          <t>TIR</t>
        </is>
      </c>
      <c r="D5" s="3" t="inlineStr">
        <is>
          <t>TIR de todos</t>
        </is>
      </c>
      <c r="E5" s="3" t="inlineStr">
        <is>
          <t>Mejora (pb)</t>
        </is>
      </c>
      <c r="F5" s="3" t="inlineStr">
        <is>
          <t>Un trimestre tarde (pb)</t>
        </is>
      </c>
      <c r="G5" s="3" t="inlineStr">
        <is>
          <t>Recortan dividendo</t>
        </is>
      </c>
      <c r="H5" s="3" t="inlineStr">
        <is>
          <t>Recortan (todos)</t>
        </is>
      </c>
      <c r="I5" s="3" t="inlineStr">
        <is>
          <t>Pasa</t>
        </is>
      </c>
    </row>
    <row r="6">
      <c r="A6" s="4" t="inlineStr">
        <is>
          <t>Yield alto contra su historia</t>
        </is>
      </c>
      <c r="B6" s="21" t="n">
        <v>12.18181818</v>
      </c>
      <c r="C6" s="22" t="n">
        <v>0.1201818314</v>
      </c>
      <c r="D6" s="22" t="n">
        <v>0.09882378035</v>
      </c>
      <c r="E6" s="19" t="n">
        <v>214</v>
      </c>
      <c r="F6" s="19" t="n">
        <v>199</v>
      </c>
      <c r="G6" s="20" t="n">
        <v>0.07692307692</v>
      </c>
      <c r="H6" s="20" t="n">
        <v>0.09641873278</v>
      </c>
      <c r="I6" s="4" t="inlineStr">
        <is>
          <t>Sí</t>
        </is>
      </c>
    </row>
    <row r="7">
      <c r="A7" s="4" t="inlineStr">
        <is>
          <t>Crecimiento del dividendo</t>
        </is>
      </c>
      <c r="B7" s="21" t="n">
        <v>12.18181818</v>
      </c>
      <c r="C7" s="22" t="n">
        <v>0.1195040823</v>
      </c>
      <c r="D7" s="22" t="n">
        <v>0.09882378035</v>
      </c>
      <c r="E7" s="19" t="n">
        <v>207</v>
      </c>
      <c r="F7" s="19" t="n">
        <v>183</v>
      </c>
      <c r="G7" s="20" t="n">
        <v>0.06060606061</v>
      </c>
      <c r="H7" s="20" t="n">
        <v>0.09641873278</v>
      </c>
      <c r="I7" s="4" t="inlineStr">
        <is>
          <t>No</t>
        </is>
      </c>
    </row>
    <row r="8">
      <c r="A8" s="4" t="inlineStr">
        <is>
          <t>Calidad y barato contra su historia</t>
        </is>
      </c>
      <c r="B8" s="21" t="n">
        <v>5.909090909</v>
      </c>
      <c r="C8" s="22" t="n">
        <v>0.1182382904</v>
      </c>
      <c r="D8" s="22" t="n">
        <v>0.09882378035</v>
      </c>
      <c r="E8" s="19" t="n">
        <v>194</v>
      </c>
      <c r="F8" s="19" t="n">
        <v>196</v>
      </c>
      <c r="G8" s="20" t="n">
        <v>0</v>
      </c>
      <c r="H8" s="20" t="n">
        <v>0.09641873278</v>
      </c>
      <c r="I8" s="4" t="inlineStr">
        <is>
          <t>No</t>
        </is>
      </c>
    </row>
    <row r="9">
      <c r="A9" s="4" t="inlineStr">
        <is>
          <t>Momentum (meses 12 a 3)</t>
        </is>
      </c>
      <c r="B9" s="21" t="n">
        <v>30.25</v>
      </c>
      <c r="C9" s="22" t="n">
        <v>0.1073807118</v>
      </c>
      <c r="D9" s="22" t="n">
        <v>0.09882378035</v>
      </c>
      <c r="E9" s="19" t="n">
        <v>86</v>
      </c>
      <c r="F9" s="19" t="n">
        <v>60</v>
      </c>
      <c r="G9" s="20" t="n">
        <v>0.08580858086</v>
      </c>
      <c r="H9" s="20" t="n">
        <v>0.09641873278</v>
      </c>
      <c r="I9" s="4" t="inlineStr">
        <is>
          <t>Sí</t>
        </is>
      </c>
    </row>
    <row r="10">
      <c r="A10" s="4" t="inlineStr">
        <is>
          <t>Calidad</t>
        </is>
      </c>
      <c r="B10" s="21" t="n">
        <v>23.57142857</v>
      </c>
      <c r="C10" s="22" t="n">
        <v>0.105599733</v>
      </c>
      <c r="D10" s="22" t="n">
        <v>0.09882378035</v>
      </c>
      <c r="E10" s="19" t="n">
        <v>68</v>
      </c>
      <c r="F10" s="19" t="n">
        <v>68</v>
      </c>
      <c r="G10" s="20" t="n">
        <v>0</v>
      </c>
      <c r="H10" s="20" t="n">
        <v>0.09641873278</v>
      </c>
      <c r="I10" s="4" t="inlineStr">
        <is>
          <t>No</t>
        </is>
      </c>
    </row>
    <row r="11">
      <c r="A11" s="4" t="inlineStr">
        <is>
          <t>Tamaño grande</t>
        </is>
      </c>
      <c r="B11" s="21" t="n">
        <v>31.05263158</v>
      </c>
      <c r="C11" s="22" t="n">
        <v>0.1048298588</v>
      </c>
      <c r="D11" s="22" t="n">
        <v>0.09882378035</v>
      </c>
      <c r="E11" s="19" t="n">
        <v>60</v>
      </c>
      <c r="F11" s="19" t="n">
        <v>51</v>
      </c>
      <c r="G11" s="20" t="n">
        <v>0.0495049505</v>
      </c>
      <c r="H11" s="20" t="n">
        <v>0.09641873278</v>
      </c>
      <c r="I11" s="4" t="inlineStr">
        <is>
          <t>No</t>
        </is>
      </c>
    </row>
    <row r="12">
      <c r="A12" s="4" t="inlineStr">
        <is>
          <t>Lejos del default</t>
        </is>
      </c>
      <c r="B12" s="21" t="n">
        <v>27.6</v>
      </c>
      <c r="C12" s="22" t="n">
        <v>0.1046993995</v>
      </c>
      <c r="D12" s="22" t="n">
        <v>0.09882378035</v>
      </c>
      <c r="E12" s="19" t="n">
        <v>59</v>
      </c>
      <c r="F12" s="19" t="n">
        <v>41</v>
      </c>
      <c r="G12" s="20" t="n">
        <v>0.04529616725</v>
      </c>
      <c r="H12" s="20" t="n">
        <v>0.09641873278</v>
      </c>
      <c r="I12" s="4" t="inlineStr">
        <is>
          <t>No</t>
        </is>
      </c>
    </row>
    <row r="13">
      <c r="A13" s="4" t="inlineStr">
        <is>
          <t>Crecimiento de activos bajo</t>
        </is>
      </c>
      <c r="B13" s="21" t="n">
        <v>24.73684211</v>
      </c>
      <c r="C13" s="22" t="n">
        <v>0.09817542478999999</v>
      </c>
      <c r="D13" s="22" t="n">
        <v>0.09882378035</v>
      </c>
      <c r="E13" s="19" t="n">
        <v>-6</v>
      </c>
      <c r="F13" s="19" t="n">
        <v>-57</v>
      </c>
      <c r="G13" s="20" t="n">
        <v>0.1661442006</v>
      </c>
      <c r="H13" s="20" t="n">
        <v>0.09641873278</v>
      </c>
      <c r="I13" s="4" t="inlineStr">
        <is>
          <t>No</t>
        </is>
      </c>
    </row>
    <row r="14">
      <c r="A14" s="4" t="inlineStr">
        <is>
          <t>Volatilidad baja</t>
        </is>
      </c>
      <c r="B14" s="21" t="n">
        <v>28.52631579</v>
      </c>
      <c r="C14" s="22" t="n">
        <v>0.09540602541</v>
      </c>
      <c r="D14" s="22" t="n">
        <v>0.09882378035</v>
      </c>
      <c r="E14" s="19" t="n">
        <v>-34</v>
      </c>
      <c r="F14" s="19" t="n">
        <v>-32</v>
      </c>
      <c r="G14" s="20" t="n">
        <v>0.1101694915</v>
      </c>
      <c r="H14" s="20" t="n">
        <v>0.09641873278</v>
      </c>
      <c r="I14" s="4" t="inlineStr">
        <is>
          <t>No</t>
        </is>
      </c>
    </row>
    <row r="15">
      <c r="A15" s="4" t="inlineStr">
        <is>
          <t>Yield de dividendo alto</t>
        </is>
      </c>
      <c r="B15" s="21" t="n">
        <v>25.73684211</v>
      </c>
      <c r="C15" s="22" t="n">
        <v>0.09022046764</v>
      </c>
      <c r="D15" s="22" t="n">
        <v>0.09882378035</v>
      </c>
      <c r="E15" s="19" t="n">
        <v>-86</v>
      </c>
      <c r="F15" s="19" t="n">
        <v>-72</v>
      </c>
      <c r="G15" s="20" t="n">
        <v>0.2068965517</v>
      </c>
      <c r="H15" s="20" t="n">
        <v>0.09641873278</v>
      </c>
      <c r="I15" s="4" t="inlineStr">
        <is>
          <t>No</t>
        </is>
      </c>
    </row>
    <row r="16">
      <c r="A16" s="4" t="inlineStr">
        <is>
          <t>Payout bajo</t>
        </is>
      </c>
      <c r="B16" s="21" t="n">
        <v>24.05263158</v>
      </c>
      <c r="C16" s="22" t="n">
        <v>0.08897521042000001</v>
      </c>
      <c r="D16" s="22" t="n">
        <v>0.09882378035</v>
      </c>
      <c r="E16" s="19" t="n">
        <v>-98</v>
      </c>
      <c r="F16" s="19" t="n">
        <v>-99</v>
      </c>
      <c r="G16" s="20" t="n">
        <v>0.07692307692</v>
      </c>
      <c r="H16" s="20" t="n">
        <v>0.09641873278</v>
      </c>
      <c r="I16" s="4" t="inlineStr">
        <is>
          <t>No</t>
        </is>
      </c>
    </row>
    <row r="17">
      <c r="A17" s="4" t="inlineStr">
        <is>
          <t>Rentabilidad (FFO / activos)</t>
        </is>
      </c>
      <c r="B17" s="21" t="n">
        <v>25.26315789</v>
      </c>
      <c r="C17" s="22" t="n">
        <v>0.08697962281</v>
      </c>
      <c r="D17" s="22" t="n">
        <v>0.09882378035</v>
      </c>
      <c r="E17" s="19" t="n">
        <v>-118</v>
      </c>
      <c r="F17" s="19" t="n">
        <v>-111</v>
      </c>
      <c r="G17" s="20" t="n">
        <v>0.09011627907</v>
      </c>
      <c r="H17" s="20" t="n">
        <v>0.09641873278</v>
      </c>
      <c r="I17" s="4" t="inlineStr">
        <is>
          <t>No</t>
        </is>
      </c>
    </row>
    <row r="18">
      <c r="A18" s="4" t="inlineStr">
        <is>
          <t>Apalancamiento bajo</t>
        </is>
      </c>
      <c r="B18" s="21" t="n">
        <v>29.42105263</v>
      </c>
      <c r="C18" s="22" t="n">
        <v>0.08520691904</v>
      </c>
      <c r="D18" s="22" t="n">
        <v>0.09882378035</v>
      </c>
      <c r="E18" s="19" t="n">
        <v>-136</v>
      </c>
      <c r="F18" s="19" t="n">
        <v>-132</v>
      </c>
      <c r="G18" s="20" t="n">
        <v>0.06117021277</v>
      </c>
      <c r="H18" s="20" t="n">
        <v>0.09641873278</v>
      </c>
      <c r="I18" s="4" t="inlineStr">
        <is>
          <t>No</t>
        </is>
      </c>
    </row>
    <row r="19">
      <c r="A19" s="4" t="inlineStr">
        <is>
          <t>Rendimiento FFO alto</t>
        </is>
      </c>
      <c r="B19" s="21" t="n">
        <v>25.26315789</v>
      </c>
      <c r="C19" s="22" t="n">
        <v>0.08217065722</v>
      </c>
      <c r="D19" s="22" t="n">
        <v>0.09882378035</v>
      </c>
      <c r="E19" s="19" t="n">
        <v>-167</v>
      </c>
      <c r="F19" s="19" t="n">
        <v>-151</v>
      </c>
      <c r="G19" s="20" t="n">
        <v>0.1408045977</v>
      </c>
      <c r="H19" s="20" t="n">
        <v>0.09641873278</v>
      </c>
      <c r="I19" s="4" t="inlineStr">
        <is>
          <t>No</t>
        </is>
      </c>
    </row>
    <row r="20">
      <c r="A20" s="4" t="inlineStr">
        <is>
          <t>Rendimiento de la empresa (cap rate)</t>
        </is>
      </c>
      <c r="B20" s="21" t="n">
        <v>25.26315789</v>
      </c>
      <c r="C20" s="22" t="n">
        <v>0.08158207155</v>
      </c>
      <c r="D20" s="22" t="n">
        <v>0.09882378035</v>
      </c>
      <c r="E20" s="19" t="n">
        <v>-172</v>
      </c>
      <c r="F20" s="19" t="n">
        <v>-155</v>
      </c>
      <c r="G20" s="20" t="n">
        <v>0.1507246377</v>
      </c>
      <c r="H20" s="20" t="n">
        <v>0.09641873278</v>
      </c>
      <c r="I20" s="4" t="inlineStr">
        <is>
          <t>No</t>
        </is>
      </c>
    </row>
    <row r="21">
      <c r="A21" s="4" t="inlineStr">
        <is>
          <t>Calidad y barato (FFO)</t>
        </is>
      </c>
      <c r="B21" s="21" t="n">
        <v>8.428571429</v>
      </c>
      <c r="C21" s="22" t="n">
        <v>0.07768451094000001</v>
      </c>
      <c r="D21" s="22" t="n">
        <v>0.09882378035</v>
      </c>
      <c r="E21" s="19" t="n">
        <v>-211</v>
      </c>
      <c r="F21" s="19" t="n">
        <v>-186</v>
      </c>
      <c r="G21" s="20" t="n">
        <v>0</v>
      </c>
      <c r="H21" s="20" t="n">
        <v>0.09641873278</v>
      </c>
      <c r="I21" s="4" t="inlineStr">
        <is>
          <t>No</t>
        </is>
      </c>
    </row>
    <row r="23">
      <c r="A23" s="6" t="inlineStr">
        <is>
          <t>Validación 2016-2026</t>
        </is>
      </c>
    </row>
    <row r="24">
      <c r="A24" s="3" t="inlineStr">
        <is>
          <t>Regla</t>
        </is>
      </c>
      <c r="B24" s="3" t="inlineStr">
        <is>
          <t>Escogidos (promedio)</t>
        </is>
      </c>
      <c r="C24" s="3" t="inlineStr">
        <is>
          <t>TIR</t>
        </is>
      </c>
      <c r="D24" s="3" t="inlineStr">
        <is>
          <t>TIR de todos</t>
        </is>
      </c>
      <c r="E24" s="3" t="inlineStr">
        <is>
          <t>Mejora (pb)</t>
        </is>
      </c>
      <c r="F24" s="3" t="inlineStr">
        <is>
          <t>Un trimestre tarde (pb)</t>
        </is>
      </c>
      <c r="G24" s="3" t="inlineStr">
        <is>
          <t>Recortan dividendo</t>
        </is>
      </c>
      <c r="H24" s="3" t="inlineStr">
        <is>
          <t>Recortan (todos)</t>
        </is>
      </c>
      <c r="I24" s="3" t="inlineStr">
        <is>
          <t>Pasa</t>
        </is>
      </c>
    </row>
    <row r="25">
      <c r="A25" s="4" t="inlineStr">
        <is>
          <t>Yield alto contra su historia</t>
        </is>
      </c>
      <c r="B25" s="21" t="n">
        <v>28.73809524</v>
      </c>
      <c r="C25" s="22" t="n">
        <v>0.03958693015</v>
      </c>
      <c r="D25" s="22" t="n">
        <v>0.04240679047</v>
      </c>
      <c r="E25" s="19" t="n">
        <v>-28</v>
      </c>
      <c r="F25" s="19" t="n">
        <v>-14</v>
      </c>
      <c r="G25" s="20" t="n">
        <v>0.2355679702</v>
      </c>
      <c r="H25" s="20" t="n">
        <v>0.144277194</v>
      </c>
      <c r="I25" s="4" t="inlineStr">
        <is>
          <t>No</t>
        </is>
      </c>
    </row>
    <row r="26">
      <c r="A26" s="4" t="inlineStr">
        <is>
          <t>Momentum (meses 12 a 3)</t>
        </is>
      </c>
      <c r="B26" s="21" t="n">
        <v>33.80952381</v>
      </c>
      <c r="C26" s="22" t="n">
        <v>0.04811989567</v>
      </c>
      <c r="D26" s="22" t="n">
        <v>0.04240679047</v>
      </c>
      <c r="E26" s="19" t="n">
        <v>57</v>
      </c>
      <c r="F26" s="19" t="n">
        <v>48</v>
      </c>
      <c r="G26" s="20" t="n">
        <v>0.1175</v>
      </c>
      <c r="H26" s="20" t="n">
        <v>0.144277194</v>
      </c>
      <c r="I26" s="4" t="inlineStr">
        <is>
          <t>Sí</t>
        </is>
      </c>
    </row>
    <row r="27">
      <c r="A27" s="4" t="inlineStr">
        <is>
          <t>Sin riesgo de recorte</t>
        </is>
      </c>
      <c r="B27" s="21" t="n">
        <v>80.33333333</v>
      </c>
      <c r="C27" s="22" t="n">
        <v>0.04057134337</v>
      </c>
      <c r="D27" s="22" t="n">
        <v>0.04240679047</v>
      </c>
      <c r="E27" s="19" t="n">
        <v>-18</v>
      </c>
      <c r="F27" s="19" t="n">
        <v>-18</v>
      </c>
      <c r="G27" s="20" t="n">
        <v>0.08599068434</v>
      </c>
      <c r="H27" s="20" t="n">
        <v>0.144277194</v>
      </c>
      <c r="I27" s="4" t="inlineStr">
        <is>
          <t>No</t>
        </is>
      </c>
    </row>
    <row r="29">
      <c r="A29" s="6" t="inlineStr">
        <is>
          <t>Prueba final: emisores sellados</t>
        </is>
      </c>
    </row>
    <row r="30">
      <c r="A30" s="3" t="inlineStr">
        <is>
          <t>Regla</t>
        </is>
      </c>
      <c r="B30" s="3" t="inlineStr">
        <is>
          <t>Escogidos (promedio)</t>
        </is>
      </c>
      <c r="C30" s="3" t="inlineStr">
        <is>
          <t>TIR</t>
        </is>
      </c>
      <c r="D30" s="3" t="inlineStr">
        <is>
          <t>TIR de todos</t>
        </is>
      </c>
      <c r="E30" s="3" t="inlineStr">
        <is>
          <t>Mejora (pb)</t>
        </is>
      </c>
      <c r="F30" s="3" t="inlineStr">
        <is>
          <t>Un trimestre tarde (pb)</t>
        </is>
      </c>
      <c r="G30" s="3" t="inlineStr">
        <is>
          <t>Recortan dividendo</t>
        </is>
      </c>
      <c r="H30" s="3" t="inlineStr">
        <is>
          <t>Recortan (todos)</t>
        </is>
      </c>
      <c r="I30" s="3" t="inlineStr">
        <is>
          <t>Pasa</t>
        </is>
      </c>
    </row>
    <row r="31">
      <c r="A31" s="4" t="inlineStr">
        <is>
          <t>Momentum (meses 12 a 3)</t>
        </is>
      </c>
      <c r="B31" s="21" t="n">
        <v>14.35849057</v>
      </c>
      <c r="C31" s="22" t="n">
        <v>0.06267857079</v>
      </c>
      <c r="D31" s="22" t="n">
        <v>0.05885890113</v>
      </c>
      <c r="E31" s="19" t="n">
        <v>38</v>
      </c>
      <c r="F31" s="19" t="n">
        <v>30</v>
      </c>
      <c r="G31" s="20" t="n">
        <v>0.07064364207</v>
      </c>
      <c r="H31" s="20" t="n">
        <v>0.1136120043</v>
      </c>
      <c r="I31" s="4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Cuánto esperar ganar según qué tan caro está</t>
        </is>
      </c>
    </row>
    <row r="2">
      <c r="A2" s="2" t="inlineStr">
        <is>
          <t>O, NNN y WPC juntos; retorno anual de los 5 años siguientes, neto con broker de EE. UU. al 35%. Ventanas encimadas y emisores que sobrevivieron: guía, no promesa.</t>
        </is>
      </c>
    </row>
    <row r="4">
      <c r="A4" s="3" t="inlineStr">
        <is>
          <t>Tramo</t>
        </is>
      </c>
      <c r="B4" s="3" t="inlineStr">
        <is>
          <t>Percentil del consenso</t>
        </is>
      </c>
      <c r="C4" s="3" t="inlineStr">
        <is>
          <t>Mediana anual</t>
        </is>
      </c>
      <c r="D4" s="3" t="inlineStr">
        <is>
          <t>Malo (10%)</t>
        </is>
      </c>
      <c r="E4" s="3" t="inlineStr">
        <is>
          <t>Bueno (90%)</t>
        </is>
      </c>
    </row>
    <row r="5">
      <c r="A5" s="4" t="inlineStr">
        <is>
          <t>Muy caro</t>
        </is>
      </c>
      <c r="B5" s="4" t="inlineStr">
        <is>
          <t>menos de 10%</t>
        </is>
      </c>
      <c r="C5" s="20" t="n">
        <v>0.052</v>
      </c>
      <c r="D5" s="20" t="n">
        <v>-0.004</v>
      </c>
      <c r="E5" s="20" t="n">
        <v>0.147</v>
      </c>
    </row>
    <row r="6">
      <c r="A6" s="4" t="inlineStr">
        <is>
          <t>Caro</t>
        </is>
      </c>
      <c r="B6" s="4" t="inlineStr">
        <is>
          <t>10% a 30%</t>
        </is>
      </c>
      <c r="C6" s="20" t="n">
        <v>0.063</v>
      </c>
      <c r="D6" s="20" t="n">
        <v>-0.024</v>
      </c>
      <c r="E6" s="20" t="n">
        <v>0.126</v>
      </c>
    </row>
    <row r="7">
      <c r="A7" s="4" t="inlineStr">
        <is>
          <t>Medio</t>
        </is>
      </c>
      <c r="B7" s="4" t="inlineStr">
        <is>
          <t>30% a 70%</t>
        </is>
      </c>
      <c r="C7" s="20" t="n">
        <v>0.097</v>
      </c>
      <c r="D7" s="20" t="n">
        <v>0.022</v>
      </c>
      <c r="E7" s="20" t="n">
        <v>0.162</v>
      </c>
    </row>
    <row r="8">
      <c r="A8" s="4" t="inlineStr">
        <is>
          <t>Barato</t>
        </is>
      </c>
      <c r="B8" s="4" t="inlineStr">
        <is>
          <t>70% a 90%</t>
        </is>
      </c>
      <c r="C8" s="20" t="n">
        <v>0.16</v>
      </c>
      <c r="D8" s="20" t="n">
        <v>0.056</v>
      </c>
      <c r="E8" s="20" t="n">
        <v>0.236</v>
      </c>
    </row>
    <row r="9">
      <c r="A9" s="4" t="inlineStr">
        <is>
          <t>Muy barato</t>
        </is>
      </c>
      <c r="B9" s="4" t="inlineStr">
        <is>
          <t>90% o más</t>
        </is>
      </c>
      <c r="C9" s="20" t="n">
        <v>0.197</v>
      </c>
      <c r="D9" s="20" t="n">
        <v>0.125</v>
      </c>
      <c r="E9" s="20" t="n">
        <v>0.235</v>
      </c>
    </row>
    <row r="10">
      <c r="A10" s="4" t="inlineStr">
        <is>
          <t>Efectivo (T-bills)</t>
        </is>
      </c>
      <c r="B10" s="4" t="inlineStr">
        <is>
          <t>—</t>
        </is>
      </c>
      <c r="C10" s="20" t="n">
        <v>0.014</v>
      </c>
      <c r="D10" s="20" t="n"/>
      <c r="E10" s="20" t="n"/>
    </row>
    <row r="12">
      <c r="A12" s="6" t="inlineStr">
        <is>
          <t>De dónde salió el rendimiento: (1 + retorno) = (1 + dividendo)(1 + crecimiento)(1 + revaluación)</t>
        </is>
      </c>
    </row>
    <row r="13">
      <c r="A13" s="3" t="inlineStr">
        <is>
          <t>Emisor</t>
        </is>
      </c>
      <c r="B13" s="3" t="inlineStr">
        <is>
          <t>Desde</t>
        </is>
      </c>
      <c r="C13" s="3" t="inlineStr">
        <is>
          <t>Hasta</t>
        </is>
      </c>
      <c r="D13" s="3" t="inlineStr">
        <is>
          <t>Retorno anual</t>
        </is>
      </c>
      <c r="E13" s="3" t="inlineStr">
        <is>
          <t>Dividendo</t>
        </is>
      </c>
      <c r="F13" s="3" t="inlineStr">
        <is>
          <t>Crecimiento del dividendo</t>
        </is>
      </c>
      <c r="G13" s="3" t="inlineStr">
        <is>
          <t>Revaluación</t>
        </is>
      </c>
      <c r="H13" s="3" t="inlineStr">
        <is>
          <t>Yield al inicio</t>
        </is>
      </c>
      <c r="I13" s="3" t="inlineStr">
        <is>
          <t>Yield hoy</t>
        </is>
      </c>
    </row>
    <row r="14">
      <c r="A14" s="4" t="inlineStr">
        <is>
          <t>O</t>
        </is>
      </c>
      <c r="B14" s="4" t="inlineStr">
        <is>
          <t>1995-10</t>
        </is>
      </c>
      <c r="C14" s="4" t="inlineStr">
        <is>
          <t>2026-09</t>
        </is>
      </c>
      <c r="D14" s="20" t="n">
        <v>0.1219901249691848</v>
      </c>
      <c r="E14" s="20" t="n">
        <v>0.06249579326690058</v>
      </c>
      <c r="F14" s="20" t="n">
        <v>0.04204409692290811</v>
      </c>
      <c r="G14" s="20" t="n">
        <v>0.01338790743039064</v>
      </c>
      <c r="H14" s="20" t="n">
        <v>0.08853658536585365</v>
      </c>
      <c r="I14" s="20" t="n">
        <v>0.0586661825893301</v>
      </c>
    </row>
    <row r="15">
      <c r="A15" s="4" t="inlineStr">
        <is>
          <t>NNN</t>
        </is>
      </c>
      <c r="B15" s="4" t="inlineStr">
        <is>
          <t>1993-01</t>
        </is>
      </c>
      <c r="C15" s="4" t="inlineStr">
        <is>
          <t>2026-09</t>
        </is>
      </c>
      <c r="D15" s="20" t="n">
        <v>0.1081542217271851</v>
      </c>
      <c r="E15" s="20" t="n">
        <v>0.06852784579698756</v>
      </c>
      <c r="F15" s="20" t="n">
        <v>0.02420768575208565</v>
      </c>
      <c r="G15" s="20" t="n">
        <v>0.0125729711501914</v>
      </c>
      <c r="H15" s="20" t="n">
        <v>0.08907216494845362</v>
      </c>
      <c r="I15" s="20" t="n">
        <v>0.05843999034049747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6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USRT, SCHH y VNQ contra el índice de la investigación (FTSE Nareit All Equity)</t>
        </is>
      </c>
    </row>
    <row r="2">
      <c r="A2" s="2" t="inlineStr">
        <is>
          <t>Retorno total mensual (Yahoo). Cada ETF desde que sigue su índice actual. Diferencia en pb al año.</t>
        </is>
      </c>
    </row>
    <row r="4">
      <c r="A4" s="6" t="inlineStr">
        <is>
          <t>Con su índice actual</t>
        </is>
      </c>
    </row>
    <row r="5">
      <c r="A5" s="3" t="inlineStr">
        <is>
          <t>Serie</t>
        </is>
      </c>
      <c r="B5" s="3" t="inlineStr">
        <is>
          <t>Desde</t>
        </is>
      </c>
      <c r="C5" s="3" t="inlineStr">
        <is>
          <t>Rendimiento anual</t>
        </is>
      </c>
      <c r="D5" s="3" t="inlineStr">
        <is>
          <t>Contra el índice (pb)</t>
        </is>
      </c>
      <c r="E5" s="3" t="inlineStr">
        <is>
          <t>Se desvía al año</t>
        </is>
      </c>
      <c r="F5" s="3" t="inlineStr">
        <is>
          <t>Caída máxima</t>
        </is>
      </c>
      <c r="G5" s="3" t="inlineStr">
        <is>
          <t>Peor año</t>
        </is>
      </c>
      <c r="H5" s="3" t="inlineStr">
        <is>
          <t>Yield 12m</t>
        </is>
      </c>
      <c r="I5" s="3" t="inlineStr">
        <is>
          <t>Pagos al año</t>
        </is>
      </c>
      <c r="J5" s="3" t="inlineStr">
        <is>
          <t>Costo</t>
        </is>
      </c>
    </row>
    <row r="6">
      <c r="A6" s="4" t="inlineStr">
        <is>
          <t>USRT</t>
        </is>
      </c>
      <c r="B6" s="4" t="inlineStr">
        <is>
          <t>2016-12-31</t>
        </is>
      </c>
      <c r="C6" s="22" t="n">
        <v>0.0629773901</v>
      </c>
      <c r="D6" s="19" t="n">
        <v>3</v>
      </c>
      <c r="E6" s="22" t="n">
        <v>0.02638176709</v>
      </c>
      <c r="F6" s="20" t="n">
        <v>-0.2941343349</v>
      </c>
      <c r="G6" s="20" t="n">
        <v>-0.2442731475</v>
      </c>
      <c r="H6" s="22" t="n">
        <v>0.02849951198</v>
      </c>
      <c r="I6" s="21" t="n">
        <v>4</v>
      </c>
      <c r="J6" s="22" t="n">
        <v>0.0008</v>
      </c>
    </row>
    <row r="7">
      <c r="A7" s="4" t="inlineStr">
        <is>
          <t>Índice (meses de USRT)</t>
        </is>
      </c>
      <c r="B7" s="4" t="inlineStr">
        <is>
          <t>2016-12-31</t>
        </is>
      </c>
      <c r="C7" s="22" t="n">
        <v>0.06271079699</v>
      </c>
      <c r="D7" s="19" t="n"/>
      <c r="E7" s="22" t="n"/>
      <c r="F7" s="20" t="n">
        <v>-0.3136985013</v>
      </c>
      <c r="G7" s="20" t="n">
        <v>-0.2494845162</v>
      </c>
      <c r="H7" s="22" t="n">
        <v>0.0393</v>
      </c>
      <c r="I7" s="21" t="n"/>
      <c r="J7" s="22" t="n"/>
    </row>
    <row r="8">
      <c r="A8" s="4" t="inlineStr">
        <is>
          <t>SCHH</t>
        </is>
      </c>
      <c r="B8" s="4" t="inlineStr">
        <is>
          <t>2020-07-31</t>
        </is>
      </c>
      <c r="C8" s="22" t="n">
        <v>0.06640704201</v>
      </c>
      <c r="D8" s="19" t="n">
        <v>-2</v>
      </c>
      <c r="E8" s="22" t="n">
        <v>0.004277351479</v>
      </c>
      <c r="F8" s="20" t="n">
        <v>-0.3149153571</v>
      </c>
      <c r="G8" s="20" t="n">
        <v>-0.2499428424</v>
      </c>
      <c r="H8" s="22" t="n">
        <v>0.03076224918</v>
      </c>
      <c r="I8" s="21" t="n">
        <v>4</v>
      </c>
      <c r="J8" s="22" t="n">
        <v>0.0007</v>
      </c>
    </row>
    <row r="9">
      <c r="A9" s="4" t="inlineStr">
        <is>
          <t>Índice (meses de SCHH)</t>
        </is>
      </c>
      <c r="B9" s="4" t="inlineStr">
        <is>
          <t>2020-07-31</t>
        </is>
      </c>
      <c r="C9" s="22" t="n">
        <v>0.06664061911999999</v>
      </c>
      <c r="D9" s="19" t="n"/>
      <c r="E9" s="22" t="n"/>
      <c r="F9" s="20" t="n">
        <v>-0.3136985013</v>
      </c>
      <c r="G9" s="20" t="n">
        <v>-0.2494845162</v>
      </c>
      <c r="H9" s="22" t="n">
        <v>0.0393</v>
      </c>
      <c r="I9" s="21" t="n"/>
      <c r="J9" s="22" t="n"/>
    </row>
    <row r="10">
      <c r="A10" s="4" t="inlineStr">
        <is>
          <t>VNQ</t>
        </is>
      </c>
      <c r="B10" s="4" t="inlineStr">
        <is>
          <t>2018-03-31</t>
        </is>
      </c>
      <c r="C10" s="22" t="n">
        <v>0.06437872491</v>
      </c>
      <c r="D10" s="19" t="n">
        <v>-51</v>
      </c>
      <c r="E10" s="22" t="n">
        <v>0.01431933383</v>
      </c>
      <c r="F10" s="20" t="n">
        <v>-0.3275404769</v>
      </c>
      <c r="G10" s="20" t="n">
        <v>-0.2625114333</v>
      </c>
      <c r="H10" s="22" t="n">
        <v>0.03801182756</v>
      </c>
      <c r="I10" s="21" t="n">
        <v>4</v>
      </c>
      <c r="J10" s="22" t="n">
        <v>0.0013</v>
      </c>
    </row>
    <row r="11">
      <c r="A11" s="4" t="inlineStr">
        <is>
          <t>Índice (meses de VNQ)</t>
        </is>
      </c>
      <c r="B11" s="4" t="inlineStr">
        <is>
          <t>2018-03-31</t>
        </is>
      </c>
      <c r="C11" s="22" t="n">
        <v>0.06948873503</v>
      </c>
      <c r="D11" s="19" t="n"/>
      <c r="E11" s="22" t="n"/>
      <c r="F11" s="20" t="n">
        <v>-0.3136985013</v>
      </c>
      <c r="G11" s="20" t="n">
        <v>-0.2494845162</v>
      </c>
      <c r="H11" s="22" t="n">
        <v>0.0393</v>
      </c>
      <c r="I11" s="21" t="n"/>
      <c r="J11" s="22" t="n"/>
    </row>
    <row r="13">
      <c r="A13" s="6" t="inlineStr">
        <is>
          <t>Año por año (retorno total)</t>
        </is>
      </c>
    </row>
    <row r="14">
      <c r="A14" s="3" t="inlineStr">
        <is>
          <t>Año</t>
        </is>
      </c>
      <c r="B14" s="3" t="inlineStr">
        <is>
          <t>Índice</t>
        </is>
      </c>
      <c r="C14" s="3" t="inlineStr">
        <is>
          <t>SCHH</t>
        </is>
      </c>
      <c r="D14" s="3" t="inlineStr">
        <is>
          <t>USRT</t>
        </is>
      </c>
      <c r="E14" s="3" t="inlineStr">
        <is>
          <t>VNQ</t>
        </is>
      </c>
      <c r="F14" s="3" t="inlineStr">
        <is>
          <t>Meses</t>
        </is>
      </c>
    </row>
    <row r="15">
      <c r="A15" s="21" t="n">
        <v>2011</v>
      </c>
      <c r="B15" s="20" t="n">
        <v>0.03994059631</v>
      </c>
      <c r="C15" s="20" t="n">
        <v>0.05455982272</v>
      </c>
      <c r="D15" s="20" t="n">
        <v>0.04856709238</v>
      </c>
      <c r="E15" s="20" t="n">
        <v>0.05215376129</v>
      </c>
      <c r="F15" s="21" t="n">
        <v>11</v>
      </c>
    </row>
    <row r="16">
      <c r="A16" s="21" t="n">
        <v>2012</v>
      </c>
      <c r="B16" s="20" t="n">
        <v>0.1970080867</v>
      </c>
      <c r="C16" s="20" t="n">
        <v>0.1675169025</v>
      </c>
      <c r="D16" s="20" t="n">
        <v>0.167060994</v>
      </c>
      <c r="E16" s="20" t="n">
        <v>0.1763329926</v>
      </c>
      <c r="F16" s="21" t="n">
        <v>12</v>
      </c>
    </row>
    <row r="17">
      <c r="A17" s="21" t="n">
        <v>2013</v>
      </c>
      <c r="B17" s="20" t="n">
        <v>0.02855736073</v>
      </c>
      <c r="C17" s="20" t="n">
        <v>0.01238286288</v>
      </c>
      <c r="D17" s="20" t="n">
        <v>-0.009762484463</v>
      </c>
      <c r="E17" s="20" t="n">
        <v>0.02303436645</v>
      </c>
      <c r="F17" s="21" t="n">
        <v>12</v>
      </c>
    </row>
    <row r="18">
      <c r="A18" s="21" t="n">
        <v>2014</v>
      </c>
      <c r="B18" s="20" t="n">
        <v>0.2802758666</v>
      </c>
      <c r="C18" s="20" t="n">
        <v>0.3187065231</v>
      </c>
      <c r="D18" s="20" t="n">
        <v>0.291193468</v>
      </c>
      <c r="E18" s="20" t="n">
        <v>0.303989694</v>
      </c>
      <c r="F18" s="21" t="n">
        <v>12</v>
      </c>
    </row>
    <row r="19">
      <c r="A19" s="21" t="n">
        <v>2015</v>
      </c>
      <c r="B19" s="20" t="n">
        <v>0.0282523672</v>
      </c>
      <c r="C19" s="20" t="n">
        <v>0.04380734261</v>
      </c>
      <c r="D19" s="20" t="n">
        <v>0.03871658546</v>
      </c>
      <c r="E19" s="20" t="n">
        <v>0.02432514525</v>
      </c>
      <c r="F19" s="21" t="n">
        <v>12</v>
      </c>
    </row>
    <row r="20">
      <c r="A20" s="21" t="n">
        <v>2016</v>
      </c>
      <c r="B20" s="20" t="n">
        <v>0.08629228567</v>
      </c>
      <c r="C20" s="20" t="n">
        <v>0.06472548346</v>
      </c>
      <c r="D20" s="20" t="n">
        <v>0.0717730426</v>
      </c>
      <c r="E20" s="20" t="n">
        <v>0.08573671595</v>
      </c>
      <c r="F20" s="21" t="n">
        <v>12</v>
      </c>
    </row>
    <row r="21">
      <c r="A21" s="21" t="n">
        <v>2017</v>
      </c>
      <c r="B21" s="20" t="n">
        <v>0.08673911016999999</v>
      </c>
      <c r="C21" s="20" t="n">
        <v>0.03681081104</v>
      </c>
      <c r="D21" s="20" t="n">
        <v>0.05267418697</v>
      </c>
      <c r="E21" s="20" t="n">
        <v>0.04898943138</v>
      </c>
      <c r="F21" s="21" t="n">
        <v>12</v>
      </c>
    </row>
    <row r="22">
      <c r="A22" s="21" t="n">
        <v>2018</v>
      </c>
      <c r="B22" s="20" t="n">
        <v>-0.04044548664</v>
      </c>
      <c r="C22" s="20" t="n">
        <v>-0.04236841519</v>
      </c>
      <c r="D22" s="20" t="n">
        <v>-0.04673246949</v>
      </c>
      <c r="E22" s="20" t="n">
        <v>-0.06026928916</v>
      </c>
      <c r="F22" s="21" t="n">
        <v>12</v>
      </c>
    </row>
    <row r="23">
      <c r="A23" s="21" t="n">
        <v>2019</v>
      </c>
      <c r="B23" s="20" t="n">
        <v>0.2866288821</v>
      </c>
      <c r="C23" s="20" t="n">
        <v>0.2285341889</v>
      </c>
      <c r="D23" s="20" t="n">
        <v>0.2597653792</v>
      </c>
      <c r="E23" s="20" t="n">
        <v>0.2891076644</v>
      </c>
      <c r="F23" s="21" t="n">
        <v>12</v>
      </c>
    </row>
    <row r="24">
      <c r="A24" s="21" t="n">
        <v>2020</v>
      </c>
      <c r="B24" s="20" t="n">
        <v>-0.05121557931</v>
      </c>
      <c r="C24" s="20" t="n">
        <v>-0.1481154934</v>
      </c>
      <c r="D24" s="20" t="n">
        <v>-0.08064531327</v>
      </c>
      <c r="E24" s="20" t="n">
        <v>-0.04610448328</v>
      </c>
      <c r="F24" s="21" t="n">
        <v>12</v>
      </c>
    </row>
    <row r="25">
      <c r="A25" s="21" t="n">
        <v>2021</v>
      </c>
      <c r="B25" s="20" t="n">
        <v>0.4129836504</v>
      </c>
      <c r="C25" s="20" t="n">
        <v>0.4107181177</v>
      </c>
      <c r="D25" s="20" t="n">
        <v>0.4326198202</v>
      </c>
      <c r="E25" s="20" t="n">
        <v>0.4053700985</v>
      </c>
      <c r="F25" s="21" t="n">
        <v>12</v>
      </c>
    </row>
    <row r="26">
      <c r="A26" s="21" t="n">
        <v>2022</v>
      </c>
      <c r="B26" s="20" t="n">
        <v>-0.2494845162</v>
      </c>
      <c r="C26" s="20" t="n">
        <v>-0.2499428424</v>
      </c>
      <c r="D26" s="20" t="n">
        <v>-0.2442731475</v>
      </c>
      <c r="E26" s="20" t="n">
        <v>-0.2625114333</v>
      </c>
      <c r="F26" s="21" t="n">
        <v>12</v>
      </c>
    </row>
    <row r="27">
      <c r="A27" s="21" t="n">
        <v>2023</v>
      </c>
      <c r="B27" s="20" t="n">
        <v>0.1135624534</v>
      </c>
      <c r="C27" s="20" t="n">
        <v>0.1118353039</v>
      </c>
      <c r="D27" s="20" t="n">
        <v>0.1363929748</v>
      </c>
      <c r="E27" s="20" t="n">
        <v>0.1185183142</v>
      </c>
      <c r="F27" s="21" t="n">
        <v>12</v>
      </c>
    </row>
    <row r="28">
      <c r="A28" s="21" t="n">
        <v>2024</v>
      </c>
      <c r="B28" s="20" t="n">
        <v>0.04922273356</v>
      </c>
      <c r="C28" s="20" t="n">
        <v>0.04984319182</v>
      </c>
      <c r="D28" s="20" t="n">
        <v>0.08585281811000001</v>
      </c>
      <c r="E28" s="20" t="n">
        <v>0.04811712811</v>
      </c>
      <c r="F28" s="21" t="n">
        <v>12</v>
      </c>
    </row>
    <row r="29">
      <c r="A29" s="21" t="n">
        <v>2025</v>
      </c>
      <c r="B29" s="20" t="n">
        <v>0.02270125906</v>
      </c>
      <c r="C29" s="20" t="n">
        <v>0.02204455293</v>
      </c>
      <c r="D29" s="20" t="n">
        <v>0.0243824021</v>
      </c>
      <c r="E29" s="20" t="n">
        <v>0.03245534059</v>
      </c>
      <c r="F29" s="21" t="n">
        <v>12</v>
      </c>
    </row>
    <row r="30">
      <c r="A30" s="21" t="n">
        <v>2026</v>
      </c>
      <c r="B30" s="20" t="n">
        <v>0.07930124534000001</v>
      </c>
      <c r="C30" s="20" t="n">
        <v>0.07636782164</v>
      </c>
      <c r="D30" s="20" t="n">
        <v>0.09904725075</v>
      </c>
      <c r="E30" s="20" t="n">
        <v>0.0416904671</v>
      </c>
      <c r="F30" s="21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0" customWidth="1" min="3" max="3"/>
    <col width="14" customWidth="1" min="4" max="4"/>
    <col width="16" customWidth="1" min="5" max="5"/>
    <col width="12" customWidth="1" min="6" max="6"/>
    <col width="16" customWidth="1" min="7" max="7"/>
    <col width="12" customWidth="1" min="8" max="8"/>
    <col width="6" customWidth="1" min="9" max="9"/>
    <col width="14" customWidth="1" min="10" max="10"/>
  </cols>
  <sheetData>
    <row r="1">
      <c r="A1" s="1" t="inlineStr">
        <is>
          <t>Núcleo y satélite contra SCHH (exploratoria, 2011-2026)</t>
        </is>
      </c>
    </row>
    <row r="2">
      <c r="A2" s="2" t="inlineStr">
        <is>
          <t>Aportando 3,000 dólares cada trimestre sin vender. Mejora = TIR neta del satélite menos la de la referencia; cartera = 85% referencia y 15% satélite. Datos ya vistos: no confirma nada.</t>
        </is>
      </c>
    </row>
    <row r="4">
      <c r="A4" s="3" t="inlineStr">
        <is>
          <t>Satélite</t>
        </is>
      </c>
      <c r="B4" s="3" t="inlineStr">
        <is>
          <t>Contra</t>
        </is>
      </c>
      <c r="C4" s="3" t="inlineStr">
        <is>
          <t>Escogidos</t>
        </is>
      </c>
      <c r="D4" s="3" t="inlineStr">
        <is>
          <t>TIR del satélite</t>
        </is>
      </c>
      <c r="E4" s="3" t="inlineStr">
        <is>
          <t>TIR de la referencia</t>
        </is>
      </c>
      <c r="F4" s="3" t="inlineStr">
        <is>
          <t>Mejora (pb)</t>
        </is>
      </c>
      <c r="G4" s="3" t="inlineStr">
        <is>
          <t>Cartera 85/15 (pb)</t>
        </is>
      </c>
      <c r="H4" s="3" t="inlineStr">
        <is>
          <t>Años que ganó</t>
        </is>
      </c>
      <c r="I4" s="3" t="inlineStr">
        <is>
          <t>De</t>
        </is>
      </c>
      <c r="J4" s="3" t="inlineStr">
        <is>
          <t>Caída del satélite</t>
        </is>
      </c>
    </row>
    <row r="5">
      <c r="A5" s="4" t="inlineStr">
        <is>
          <t>todos</t>
        </is>
      </c>
      <c r="B5" s="4" t="inlineStr">
        <is>
          <t>SCHH real</t>
        </is>
      </c>
      <c r="C5" s="21" t="n">
        <v>98.03278689</v>
      </c>
      <c r="D5" s="22" t="n">
        <v>0.04001522387</v>
      </c>
      <c r="E5" s="22" t="n">
        <v>0.04326211186</v>
      </c>
      <c r="F5" s="19" t="n">
        <v>-32</v>
      </c>
      <c r="G5" s="19" t="n">
        <v>-5</v>
      </c>
      <c r="H5" s="21" t="n">
        <v>7</v>
      </c>
      <c r="I5" s="21" t="n">
        <v>14</v>
      </c>
      <c r="J5" s="20" t="n">
        <v>-0.3269706096</v>
      </c>
    </row>
    <row r="6">
      <c r="A6" s="4" t="inlineStr">
        <is>
          <t>todos</t>
        </is>
      </c>
      <c r="B6" s="4" t="inlineStr">
        <is>
          <t>Índice que sigue SCHH hoy</t>
        </is>
      </c>
      <c r="C6" s="21" t="n">
        <v>98.03278689</v>
      </c>
      <c r="D6" s="22" t="n">
        <v>0.04001522387</v>
      </c>
      <c r="E6" s="22" t="n">
        <v>0.05372093547</v>
      </c>
      <c r="F6" s="19" t="n">
        <v>-137</v>
      </c>
      <c r="G6" s="19" t="n">
        <v>-19</v>
      </c>
      <c r="H6" s="21" t="n">
        <v>4</v>
      </c>
      <c r="I6" s="21" t="n">
        <v>14</v>
      </c>
      <c r="J6" s="20" t="n">
        <v>-0.3269706096</v>
      </c>
    </row>
    <row r="7">
      <c r="A7" s="4" t="inlineStr">
        <is>
          <t>momentum</t>
        </is>
      </c>
      <c r="B7" s="4" t="inlineStr">
        <is>
          <t>SCHH real</t>
        </is>
      </c>
      <c r="C7" s="21" t="n">
        <v>32.82758621</v>
      </c>
      <c r="D7" s="22" t="n">
        <v>0.04350596918</v>
      </c>
      <c r="E7" s="22" t="n">
        <v>0.04326211186</v>
      </c>
      <c r="F7" s="19" t="n">
        <v>2</v>
      </c>
      <c r="G7" s="19" t="n">
        <v>0</v>
      </c>
      <c r="H7" s="21" t="n">
        <v>9</v>
      </c>
      <c r="I7" s="21" t="n">
        <v>14</v>
      </c>
      <c r="J7" s="20" t="n">
        <v>-0.3387238645</v>
      </c>
    </row>
    <row r="8">
      <c r="A8" s="4" t="inlineStr">
        <is>
          <t>momentum</t>
        </is>
      </c>
      <c r="B8" s="4" t="inlineStr">
        <is>
          <t>Índice que sigue SCHH hoy</t>
        </is>
      </c>
      <c r="C8" s="21" t="n">
        <v>32.82758621</v>
      </c>
      <c r="D8" s="22" t="n">
        <v>0.04350596918</v>
      </c>
      <c r="E8" s="22" t="n">
        <v>0.05372093547</v>
      </c>
      <c r="F8" s="19" t="n">
        <v>-102</v>
      </c>
      <c r="G8" s="19" t="n">
        <v>-15</v>
      </c>
      <c r="H8" s="21" t="n">
        <v>8</v>
      </c>
      <c r="I8" s="21" t="n">
        <v>14</v>
      </c>
      <c r="J8" s="20" t="n">
        <v>-0.3387238645</v>
      </c>
    </row>
    <row r="9">
      <c r="A9" s="4" t="inlineStr">
        <is>
          <t>calidad</t>
        </is>
      </c>
      <c r="B9" s="4" t="inlineStr">
        <is>
          <t>SCHH real</t>
        </is>
      </c>
      <c r="C9" s="21" t="n">
        <v>27.94642857</v>
      </c>
      <c r="D9" s="22" t="n">
        <v>0.04674336379</v>
      </c>
      <c r="E9" s="22" t="n">
        <v>0.04326211186</v>
      </c>
      <c r="F9" s="19" t="n">
        <v>35</v>
      </c>
      <c r="G9" s="19" t="n">
        <v>5</v>
      </c>
      <c r="H9" s="21" t="n">
        <v>8</v>
      </c>
      <c r="I9" s="21" t="n">
        <v>13</v>
      </c>
      <c r="J9" s="20" t="n">
        <v>-0.3023342884</v>
      </c>
    </row>
    <row r="10">
      <c r="A10" s="4" t="inlineStr">
        <is>
          <t>calidad</t>
        </is>
      </c>
      <c r="B10" s="4" t="inlineStr">
        <is>
          <t>Índice que sigue SCHH hoy</t>
        </is>
      </c>
      <c r="C10" s="21" t="n">
        <v>27.94642857</v>
      </c>
      <c r="D10" s="22" t="n">
        <v>0.04674336379</v>
      </c>
      <c r="E10" s="22" t="n">
        <v>0.05372093547</v>
      </c>
      <c r="F10" s="19" t="n">
        <v>-70</v>
      </c>
      <c r="G10" s="19" t="n">
        <v>-10</v>
      </c>
      <c r="H10" s="21" t="n">
        <v>6</v>
      </c>
      <c r="I10" s="21" t="n">
        <v>13</v>
      </c>
      <c r="J10" s="20" t="n">
        <v>-0.3023342884</v>
      </c>
    </row>
    <row r="11">
      <c r="A11" s="4" t="inlineStr">
        <is>
          <t>calidad y barato contra su historia</t>
        </is>
      </c>
      <c r="B11" s="4" t="inlineStr">
        <is>
          <t>SCHH real</t>
        </is>
      </c>
      <c r="C11" s="21" t="n">
        <v>9.075471697999999</v>
      </c>
      <c r="D11" s="22" t="n">
        <v>0.05152540072</v>
      </c>
      <c r="E11" s="22" t="n">
        <v>0.04326211186</v>
      </c>
      <c r="F11" s="19" t="n">
        <v>83</v>
      </c>
      <c r="G11" s="19" t="n">
        <v>13</v>
      </c>
      <c r="H11" s="21" t="n">
        <v>8</v>
      </c>
      <c r="I11" s="21" t="n">
        <v>12</v>
      </c>
      <c r="J11" s="20" t="n">
        <v>-0.3027128472</v>
      </c>
    </row>
    <row r="12">
      <c r="A12" s="4" t="inlineStr">
        <is>
          <t>calidad y barato contra su historia</t>
        </is>
      </c>
      <c r="B12" s="4" t="inlineStr">
        <is>
          <t>Índice que sigue SCHH hoy</t>
        </is>
      </c>
      <c r="C12" s="21" t="n">
        <v>9.075471697999999</v>
      </c>
      <c r="D12" s="22" t="n">
        <v>0.05152540072</v>
      </c>
      <c r="E12" s="22" t="n">
        <v>0.05372093547</v>
      </c>
      <c r="F12" s="19" t="n">
        <v>-22</v>
      </c>
      <c r="G12" s="19" t="n">
        <v>-3</v>
      </c>
      <c r="H12" s="21" t="n">
        <v>9</v>
      </c>
      <c r="I12" s="21" t="n">
        <v>12</v>
      </c>
      <c r="J12" s="20" t="n">
        <v>-0.3027128472</v>
      </c>
    </row>
    <row r="14">
      <c r="A14" s="6" t="inlineStr">
        <is>
          <t>La prueba en papel (docs/estudios/satelite_preregistro.md)</t>
        </is>
      </c>
    </row>
    <row r="15">
      <c r="A15" s="3" t="inlineStr">
        <is>
          <t>Qué</t>
        </is>
      </c>
      <c r="B15" s="3" t="inlineStr">
        <is>
          <t>Cuándo</t>
        </is>
      </c>
    </row>
    <row r="16">
      <c r="A16" s="4" t="inlineStr">
        <is>
          <t>Regla congelada</t>
        </is>
      </c>
      <c r="B16" s="5" t="inlineStr">
        <is>
          <t>Momentum (meses 12 a 3), 15% de cada aportación</t>
        </is>
      </c>
    </row>
    <row r="17">
      <c r="A17" s="4" t="inlineStr">
        <is>
          <t>Aportaciones en papel</t>
        </is>
      </c>
      <c r="B17" s="5" t="inlineStr">
        <is>
          <t>Al cierre de feb, may, ago y nov, de nov-2026 a ago-2029 (12)</t>
        </is>
      </c>
    </row>
    <row r="18">
      <c r="A18" s="4" t="inlineStr">
        <is>
          <t>Veredicto</t>
        </is>
      </c>
      <c r="B18" s="5" t="inlineStr">
        <is>
          <t>30-nov-2029: éxito con +50 pb de TIR neta y exceso bruto positivo</t>
        </is>
      </c>
    </row>
    <row r="19">
      <c r="A19" s="4" t="inlineStr">
        <is>
          <t>Abandono</t>
        </is>
      </c>
      <c r="B19" s="5" t="inlineStr">
        <is>
          <t>Si después de 8 aportaciones va 200 pb abajo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56" customWidth="1" min="2" max="2"/>
    <col width="18" customWidth="1" min="3" max="3"/>
    <col width="30" customWidth="1" min="4" max="4"/>
    <col width="14" customWidth="1" min="5" max="5"/>
  </cols>
  <sheetData>
    <row r="1">
      <c r="A1" s="1" t="inlineStr">
        <is>
          <t>La búsqueda de estrategias contra SCHH</t>
        </is>
      </c>
    </row>
    <row r="2">
      <c r="A2" s="2" t="inlineStr">
        <is>
          <t>285 combinaciones consideradas, 14 ideas escritas con mecanismo y fuentes, 5 sobrevivieron al adversario, 3 en el catálogo. Rango propio en pb al año contra SCHH.</t>
        </is>
      </c>
    </row>
    <row r="4">
      <c r="A4" s="3" t="inlineStr">
        <is>
          <t>Familia</t>
        </is>
      </c>
      <c r="B4" s="3" t="inlineStr">
        <is>
          <t>Idea</t>
        </is>
      </c>
      <c r="C4" s="3" t="inlineStr">
        <is>
          <t>Rango propio (pb)</t>
        </is>
      </c>
      <c r="D4" s="3" t="inlineStr">
        <is>
          <t>Veredicto</t>
        </is>
      </c>
      <c r="E4" s="3" t="inlineStr">
        <is>
          <t>Puntaje (de 5)</t>
        </is>
      </c>
    </row>
    <row r="5">
      <c r="A5" s="4" t="inlineStr">
        <is>
          <t>Fiscal y canal</t>
        </is>
      </c>
      <c r="B5" s="5" t="inlineStr">
        <is>
          <t>UCITS irlandés de acumulación en vez de SCHH</t>
        </is>
      </c>
      <c r="C5" s="4" t="inlineStr">
        <is>
          <t>−20 a +55</t>
        </is>
      </c>
      <c r="D5" s="4" t="inlineStr">
        <is>
          <t>Catálogo (1º)</t>
        </is>
      </c>
      <c r="E5" s="23" t="n">
        <v>3.95</v>
      </c>
    </row>
    <row r="6">
      <c r="A6" s="4" t="inlineStr">
        <is>
          <t>Momentum</t>
        </is>
      </c>
      <c r="B6" s="5" t="inlineStr">
        <is>
          <t>Rebote después de un recorte de dividendo</t>
        </is>
      </c>
      <c r="C6" s="4" t="inlineStr">
        <is>
          <t>−20 a +55</t>
        </is>
      </c>
      <c r="D6" s="4" t="inlineStr">
        <is>
          <t>Catálogo (2º), en escrutinio</t>
        </is>
      </c>
      <c r="E6" s="23" t="n">
        <v>2.75</v>
      </c>
    </row>
    <row r="7">
      <c r="A7" s="4" t="inlineStr">
        <is>
          <t>Valor relativo</t>
        </is>
      </c>
      <c r="B7" s="4" t="inlineStr">
        <is>
          <t>Eficiencia operativa dentro del sector</t>
        </is>
      </c>
      <c r="C7" s="4" t="inlineStr">
        <is>
          <t>−40 a +90</t>
        </is>
      </c>
      <c r="D7" s="4" t="inlineStr">
        <is>
          <t>Catálogo (3º), en escrutinio</t>
        </is>
      </c>
      <c r="E7" s="23" t="n">
        <v>2.55</v>
      </c>
    </row>
    <row r="8">
      <c r="A8" s="4" t="inlineStr">
        <is>
          <t>Momentum</t>
        </is>
      </c>
      <c r="B8" s="4" t="inlineStr">
        <is>
          <t>Momentum residual sin reversión</t>
        </is>
      </c>
      <c r="C8" s="4" t="inlineStr">
        <is>
          <t>−10 a +50</t>
        </is>
      </c>
      <c r="D8" s="4" t="inlineStr">
        <is>
          <t>Sobrevivió; cortada</t>
        </is>
      </c>
      <c r="E8" s="23" t="n">
        <v>2.4</v>
      </c>
    </row>
    <row r="9">
      <c r="A9" s="4" t="inlineStr">
        <is>
          <t>Valor relativo</t>
        </is>
      </c>
      <c r="B9" s="4" t="inlineStr">
        <is>
          <t>Descuento contra NAV dentro del sector</t>
        </is>
      </c>
      <c r="C9" s="4" t="inlineStr">
        <is>
          <t>−60 a +80</t>
        </is>
      </c>
      <c r="D9" s="4" t="inlineStr">
        <is>
          <t>Sobrevivió; cortada</t>
        </is>
      </c>
      <c r="E9" s="23" t="n">
        <v>2.35</v>
      </c>
    </row>
    <row r="10">
      <c r="A10" s="4" t="inlineStr">
        <is>
          <t>Calendario</t>
        </is>
      </c>
      <c r="B10" s="5" t="inlineStr">
        <is>
          <t>Comprar antes del cambio de mes (ciclo de liquidación)</t>
        </is>
      </c>
      <c r="C10" s="4" t="inlineStr">
        <is>
          <t>−1 a +5</t>
        </is>
      </c>
      <c r="D10" s="4" t="inlineStr">
        <is>
          <t>Muerta</t>
        </is>
      </c>
      <c r="E10" s="23" t="n"/>
    </row>
    <row r="11">
      <c r="A11" s="4" t="inlineStr">
        <is>
          <t>Calendario</t>
        </is>
      </c>
      <c r="B11" s="5" t="inlineStr">
        <is>
          <t>Comprar antes de los días de pago de dividendos</t>
        </is>
      </c>
      <c r="C11" s="4" t="inlineStr">
        <is>
          <t>−1 a +3</t>
        </is>
      </c>
      <c r="D11" s="4" t="inlineStr">
        <is>
          <t>Muerta</t>
        </is>
      </c>
      <c r="E11" s="23" t="n"/>
    </row>
    <row r="12">
      <c r="A12" s="4" t="inlineStr">
        <is>
          <t>Volatilidad</t>
        </is>
      </c>
      <c r="B12" s="5" t="inlineStr">
        <is>
          <t>Excluir REITs tipo lotería (volatilidad idiosincrática)</t>
        </is>
      </c>
      <c r="C12" s="4" t="inlineStr">
        <is>
          <t>−15 a +30</t>
        </is>
      </c>
      <c r="D12" s="4" t="inlineStr">
        <is>
          <t>Muerta</t>
        </is>
      </c>
      <c r="E12" s="23" t="n"/>
    </row>
    <row r="13">
      <c r="A13" s="4" t="inlineStr">
        <is>
          <t>Volatilidad</t>
        </is>
      </c>
      <c r="B13" s="4" t="inlineStr">
        <is>
          <t>Excluir los de beta alta</t>
        </is>
      </c>
      <c r="C13" s="4" t="inlineStr">
        <is>
          <t>−40 a +40</t>
        </is>
      </c>
      <c r="D13" s="4" t="inlineStr">
        <is>
          <t>Muerta</t>
        </is>
      </c>
      <c r="E13" s="23" t="n"/>
    </row>
    <row r="14">
      <c r="A14" s="4" t="inlineStr">
        <is>
          <t>Momentum</t>
        </is>
      </c>
      <c r="B14" s="4" t="inlineStr">
        <is>
          <t>Cercanía al máximo de 52 semanas</t>
        </is>
      </c>
      <c r="C14" s="4" t="inlineStr">
        <is>
          <t>−15 a +40</t>
        </is>
      </c>
      <c r="D14" s="4" t="inlineStr">
        <is>
          <t>Muerta</t>
        </is>
      </c>
      <c r="E14" s="23" t="n"/>
    </row>
    <row r="15">
      <c r="A15" s="4" t="inlineStr">
        <is>
          <t>Valor relativo</t>
        </is>
      </c>
      <c r="B15" s="4" t="inlineStr">
        <is>
          <t>Rotar al tipo de propiedad más barato</t>
        </is>
      </c>
      <c r="C15" s="4" t="inlineStr">
        <is>
          <t>−80 a +100</t>
        </is>
      </c>
      <c r="D15" s="4" t="inlineStr">
        <is>
          <t>Muerta</t>
        </is>
      </c>
      <c r="E15" s="23" t="n"/>
    </row>
    <row r="16">
      <c r="A16" s="4" t="inlineStr">
        <is>
          <t>Eventos</t>
        </is>
      </c>
      <c r="B16" s="4" t="inlineStr">
        <is>
          <t>Compras oportunistas de insiders</t>
        </is>
      </c>
      <c r="C16" s="4" t="inlineStr">
        <is>
          <t>−40 a +60</t>
        </is>
      </c>
      <c r="D16" s="4" t="inlineStr">
        <is>
          <t>Muerta</t>
        </is>
      </c>
      <c r="E16" s="23" t="n"/>
    </row>
    <row r="17">
      <c r="A17" s="4" t="inlineStr">
        <is>
          <t>Eventos</t>
        </is>
      </c>
      <c r="B17" s="4" t="inlineStr">
        <is>
          <t>Recompra neta como señal de descuento</t>
        </is>
      </c>
      <c r="C17" s="4" t="inlineStr">
        <is>
          <t>−60 a +75</t>
        </is>
      </c>
      <c r="D17" s="4" t="inlineStr">
        <is>
          <t>Muerta</t>
        </is>
      </c>
      <c r="E17" s="23" t="n"/>
    </row>
    <row r="18">
      <c r="A18" s="4" t="inlineStr">
        <is>
          <t>Fiscal y canal</t>
        </is>
      </c>
      <c r="B18" s="4" t="inlineStr">
        <is>
          <t>Comprar SCHH después de la fecha ex</t>
        </is>
      </c>
      <c r="C18" s="4" t="inlineStr">
        <is>
          <t>0 a +6</t>
        </is>
      </c>
      <c r="D18" s="4" t="inlineStr">
        <is>
          <t>Muerta</t>
        </is>
      </c>
      <c r="E18" s="2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4" customWidth="1" min="3" max="3"/>
    <col width="22" customWidth="1" min="4" max="4"/>
    <col width="12" customWidth="1" min="5" max="5"/>
  </cols>
  <sheetData>
    <row r="1">
      <c r="A1" s="1" t="inlineStr">
        <is>
          <t>Impuestos y canal</t>
        </is>
      </c>
    </row>
    <row r="2">
      <c r="A2" s="2" t="inlineStr">
        <is>
          <t>Perfiles fiscales del modelo (src/investigacion/diseno.py). Por confirmar con contador.</t>
        </is>
      </c>
    </row>
    <row r="4">
      <c r="A4" s="3" t="inlineStr">
        <is>
          <t>Canal</t>
        </is>
      </c>
      <c r="B4" s="3" t="inlineStr">
        <is>
          <t>Dividendo</t>
        </is>
      </c>
      <c r="C4" s="3" t="inlineStr">
        <is>
          <t>Intereses</t>
        </is>
      </c>
      <c r="D4" s="3" t="inlineStr">
        <is>
          <t>Ganancia</t>
        </is>
      </c>
      <c r="E4" s="3" t="inlineStr">
        <is>
          <t>Comisión</t>
        </is>
      </c>
    </row>
    <row r="5">
      <c r="A5" s="5" t="inlineStr">
        <is>
          <t>SIC (casa de bolsa mexicana), como lo modela el repo</t>
        </is>
      </c>
      <c r="B5" s="4" t="inlineStr">
        <is>
          <t>20%</t>
        </is>
      </c>
      <c r="C5" s="4" t="inlineStr">
        <is>
          <t>20%</t>
        </is>
      </c>
      <c r="D5" s="4" t="inlineStr">
        <is>
          <t>10%</t>
        </is>
      </c>
      <c r="E5" s="4" t="inlineStr">
        <is>
          <t>0.25%</t>
        </is>
      </c>
    </row>
    <row r="6">
      <c r="A6" s="4" t="inlineStr">
        <is>
          <t>Broker de EE. UU., tasa marginal 30%</t>
        </is>
      </c>
      <c r="B6" s="4" t="inlineStr">
        <is>
          <t>39%</t>
        </is>
      </c>
      <c r="C6" s="4" t="inlineStr">
        <is>
          <t>30%</t>
        </is>
      </c>
      <c r="D6" s="4" t="inlineStr">
        <is>
          <t>10%</t>
        </is>
      </c>
      <c r="E6" s="4" t="inlineStr">
        <is>
          <t>0%</t>
        </is>
      </c>
    </row>
    <row r="7">
      <c r="A7" s="4" t="inlineStr">
        <is>
          <t>Broker de EE. UU., tasa marginal 35%</t>
        </is>
      </c>
      <c r="B7" s="4" t="inlineStr">
        <is>
          <t>44%</t>
        </is>
      </c>
      <c r="C7" s="4" t="inlineStr">
        <is>
          <t>35%</t>
        </is>
      </c>
      <c r="D7" s="4" t="inlineStr">
        <is>
          <t>10%</t>
        </is>
      </c>
      <c r="E7" s="4" t="inlineStr">
        <is>
          <t>0%</t>
        </is>
      </c>
    </row>
    <row r="8">
      <c r="A8" s="5" t="inlineStr">
        <is>
          <t>SIC según el Art. 142 fr. V (por confirmar con contador)</t>
        </is>
      </c>
      <c r="B8" s="4" t="inlineStr">
        <is>
          <t>~44%</t>
        </is>
      </c>
      <c r="C8" s="4" t="inlineStr">
        <is>
          <t>—</t>
        </is>
      </c>
      <c r="D8" s="4" t="inlineStr">
        <is>
          <t>10%</t>
        </is>
      </c>
      <c r="E8" s="4" t="inlineStr">
        <is>
          <t>0.25%</t>
        </is>
      </c>
    </row>
    <row r="10">
      <c r="A10" s="6" t="inlineStr">
        <is>
          <t>Qué cambió con el broker (docs/investigacion/sensibilidad_broker.md)</t>
        </is>
      </c>
    </row>
    <row r="11">
      <c r="A11" s="3" t="inlineStr">
        <is>
          <t>Qué</t>
        </is>
      </c>
      <c r="B11" s="3" t="inlineStr">
        <is>
          <t>Con broker de EE. UU.</t>
        </is>
      </c>
      <c r="C11" s="3" t="inlineStr">
        <is>
          <t>Lectura</t>
        </is>
      </c>
    </row>
    <row r="12">
      <c r="A12" s="4" t="inlineStr">
        <is>
          <t>Aportar siempre</t>
        </is>
      </c>
      <c r="B12" s="4" t="inlineStr">
        <is>
          <t>−145 a −184 pb al año</t>
        </is>
      </c>
      <c r="C12" s="4" t="inlineStr">
        <is>
          <t>Costo del canal, no de una estrategia</t>
        </is>
      </c>
    </row>
    <row r="13">
      <c r="A13" s="4" t="inlineStr">
        <is>
          <t>Tendencia de 10 meses (8 mercados)</t>
        </is>
      </c>
      <c r="B13" s="4" t="inlineStr">
        <is>
          <t>−49 a −54 pb</t>
        </is>
      </c>
      <c r="C13" s="4" t="inlineStr">
        <is>
          <t>Sigue rechazada</t>
        </is>
      </c>
    </row>
    <row r="14">
      <c r="A14" s="4" t="inlineStr">
        <is>
          <t>Momentum en los sellados</t>
        </is>
      </c>
      <c r="B14" s="4" t="inlineStr">
        <is>
          <t>+41 / +42 pb</t>
        </is>
      </c>
      <c r="C14" s="4" t="inlineStr">
        <is>
          <t>Sigue debajo de +50</t>
        </is>
      </c>
    </row>
    <row r="15">
      <c r="A15" s="4" t="inlineStr">
        <is>
          <t>Consenso entre O, NNN y WPC</t>
        </is>
      </c>
      <c r="B15" s="4" t="inlineStr">
        <is>
          <t>+60 / +63 pb</t>
        </is>
      </c>
      <c r="C15" s="4" t="inlineStr">
        <is>
          <t>Sigue inconcluso</t>
        </is>
      </c>
    </row>
    <row r="17">
      <c r="A17" s="6" t="inlineStr">
        <is>
          <t>ETF irlandés de acumulación contra SCHH por broker, después de impuestos</t>
        </is>
      </c>
    </row>
    <row r="18">
      <c r="A18" s="3" t="inlineStr">
        <is>
          <t>Vehículo</t>
        </is>
      </c>
      <c r="B18" s="3" t="inlineStr">
        <is>
          <t>Sin vender nunca</t>
        </is>
      </c>
      <c r="C18" s="3" t="inlineStr">
        <is>
          <t>Vendiendo todo al final</t>
        </is>
      </c>
      <c r="D18" s="3" t="inlineStr">
        <is>
          <t>Si aplicara REFIPRE</t>
        </is>
      </c>
    </row>
    <row r="19">
      <c r="A19" s="4" t="inlineStr">
        <is>
          <t>IUSI (iShares, físico; IUSIN en la BMV)</t>
        </is>
      </c>
      <c r="B19" s="4" t="inlineStr">
        <is>
          <t>+21 a +25 pb</t>
        </is>
      </c>
      <c r="C19" s="4" t="inlineStr">
        <is>
          <t>+6 a +11 pb</t>
        </is>
      </c>
      <c r="D19" s="4" t="inlineStr">
        <is>
          <t>−58 pb</t>
        </is>
      </c>
    </row>
    <row r="20">
      <c r="A20" s="4" t="inlineStr">
        <is>
          <t>XRES (Invesco, sintético)</t>
        </is>
      </c>
      <c r="B20" s="4" t="inlineStr">
        <is>
          <t>+57 a +59 pb</t>
        </is>
      </c>
      <c r="C20" s="4" t="inlineStr">
        <is>
          <t>−38 a −53 pb</t>
        </is>
      </c>
      <c r="D20" s="4" t="inlineStr">
        <is>
          <t>—</t>
        </is>
      </c>
    </row>
    <row r="22">
      <c r="A22" s="6" t="inlineStr">
        <is>
          <t>Las cinco preguntas</t>
        </is>
      </c>
    </row>
    <row r="23">
      <c r="A23" s="3" t="inlineStr">
        <is>
          <t>#</t>
        </is>
      </c>
      <c r="B23" s="3" t="inlineStr">
        <is>
          <t>Pregunta para el contador</t>
        </is>
      </c>
    </row>
    <row r="24">
      <c r="A24" s="21" t="n">
        <v>1</v>
      </c>
      <c r="B24" s="5" t="inlineStr">
        <is>
          <t>¿El dividendo de un ETF o acción extranjera comprado por el SIC también se acumula a mi tasa marginal más 10% (Art. 142 fr. V LISR), o paga 20% en total?</t>
        </is>
      </c>
    </row>
    <row r="25">
      <c r="A25" s="21" t="n">
        <v>2</v>
      </c>
      <c r="B25" s="5" t="inlineStr">
        <is>
          <t>¿SCHH está listado en el SIC? Si no, ¿qué tasa pagaría su ganancia si lo vendo por mi broker?</t>
        </is>
      </c>
    </row>
    <row r="26">
      <c r="A26" s="21" t="n">
        <v>3</v>
      </c>
      <c r="B26" s="5" t="inlineStr">
        <is>
          <t>Un ETF UCITS irlandés de acumulación comprado por una persona física, ¿cae en el régimen de regímenes fiscales preferentes (Arts. 176 a 178 LISR)? ¿Tengo que presentar declaración informativa?</t>
        </is>
      </c>
    </row>
    <row r="27">
      <c r="A27" s="21" t="n">
        <v>4</v>
      </c>
      <c r="B27" s="5" t="inlineStr">
        <is>
          <t>¿La ganancia de IUSIN (iShares US Property Yield, en el SIC) paga 10% al venderse (Art. 129)?</t>
        </is>
      </c>
    </row>
    <row r="28">
      <c r="A28" s="21" t="n">
        <v>5</v>
      </c>
      <c r="B28" s="5" t="inlineStr">
        <is>
          <t>¿Cómo se tratan estas posiciones en una herencia? (impuesto sucesorio de EE. UU. arriba de 60 mil dólares)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Glosario</t>
        </is>
      </c>
    </row>
    <row r="2">
      <c r="A2" s="2" t="inlineStr">
        <is>
          <t>Los términos que aparecen en el compilado.</t>
        </is>
      </c>
    </row>
    <row r="4">
      <c r="A4" s="3" t="inlineStr">
        <is>
          <t>Término</t>
        </is>
      </c>
      <c r="B4" s="3" t="inlineStr">
        <is>
          <t>Qué es</t>
        </is>
      </c>
    </row>
    <row r="5">
      <c r="A5" s="4" t="inlineStr">
        <is>
          <t>REIT</t>
        </is>
      </c>
      <c r="B5" s="5" t="inlineStr">
        <is>
          <t>Empresa dueña de inmuebles que renta y que debe repartir la mayor parte de su utilidad como dividendo.</t>
        </is>
      </c>
    </row>
    <row r="6">
      <c r="A6" s="4" t="inlineStr">
        <is>
          <t>ETF</t>
        </is>
      </c>
      <c r="B6" s="5" t="inlineStr">
        <is>
          <t>Fondo que cotiza en bolsa; un ETF de REITs trae decenas o cientos de REITs en una sola compra.</t>
        </is>
      </c>
    </row>
    <row r="7">
      <c r="A7" s="4" t="inlineStr">
        <is>
          <t>SCHH, USRT, VNQ</t>
        </is>
      </c>
      <c r="B7" s="5" t="inlineStr">
        <is>
          <t>ETFs amplios de REITs de EE. UU. de Schwab, iShares y Vanguard.</t>
        </is>
      </c>
    </row>
    <row r="8">
      <c r="A8" s="4" t="inlineStr">
        <is>
          <t>FFO / AFFO</t>
        </is>
      </c>
      <c r="B8" s="5" t="inlineStr">
        <is>
          <t>Flujo de operación de un REIT (utilidad sin depreciación de inmuebles); el AFFO resta el mantenimiento. Es lo que se usa para valuarlos.</t>
        </is>
      </c>
    </row>
    <row r="9">
      <c r="A9" s="4" t="inlineStr">
        <is>
          <t>Percentil contra su propia historia</t>
        </is>
      </c>
      <c r="B9" s="5" t="inlineStr">
        <is>
          <t>Qué tan barato está hoy comparado con todo su pasado: 90% = más barato que 9 de cada 10 días de su historia.</t>
        </is>
      </c>
    </row>
    <row r="10">
      <c r="A10" s="4" t="inlineStr">
        <is>
          <t>Aportar siempre</t>
        </is>
      </c>
      <c r="B10" s="5" t="inlineStr">
        <is>
          <t>La referencia de todo el análisis: meter el mismo dinero cada mes, sin reglas, y nunca vender.</t>
        </is>
      </c>
    </row>
    <row r="11">
      <c r="A11" s="4" t="inlineStr">
        <is>
          <t>TIR neta</t>
        </is>
      </c>
      <c r="B11" s="5" t="inlineStr">
        <is>
          <t>El rendimiento anual de todas tus aportaciones, después de impuestos y comisiones.</t>
        </is>
      </c>
    </row>
    <row r="12">
      <c r="A12" s="4" t="inlineStr">
        <is>
          <t>Punto base (pb)</t>
        </is>
      </c>
      <c r="B12" s="5" t="inlineStr">
        <is>
          <t>Una centésima de punto porcentual: +50 pb al año es medio punto de rendimiento extra.</t>
        </is>
      </c>
    </row>
    <row r="13">
      <c r="A13" s="4" t="inlineStr">
        <is>
          <t>Pre-registro</t>
        </is>
      </c>
      <c r="B13" s="5" t="inlineStr">
        <is>
          <t>Escribir y guardar en un commit las hipótesis y los criterios ANTES de correr la prueba, para no acomodarlos al resultado.</t>
        </is>
      </c>
    </row>
    <row r="14">
      <c r="A14" s="4" t="inlineStr">
        <is>
          <t>Desarrollo / validación / sellado</t>
        </is>
      </c>
      <c r="B14" s="5" t="inlineStr">
        <is>
          <t>Datos para diseñar (1972-2015), para comprobar (2016 en adelante) y para la prueba final (mercados y emisores que nadie vio antes).</t>
        </is>
      </c>
    </row>
    <row r="15">
      <c r="A15" s="4" t="inlineStr">
        <is>
          <t>Mínimo detectable</t>
        </is>
      </c>
      <c r="B15" s="5" t="inlineStr">
        <is>
          <t>La ventaja más chica que una prueba puede distinguir del azar con estos datos.</t>
        </is>
      </c>
    </row>
    <row r="16">
      <c r="A16" s="4" t="inlineStr">
        <is>
          <t>Núcleo y satélite</t>
        </is>
      </c>
      <c r="B16" s="5" t="inlineStr">
        <is>
          <t>Tener casi todo en el ETF (núcleo) y una parte chica (satélite) en REITs escogidos por una regla.</t>
        </is>
      </c>
    </row>
    <row r="17">
      <c r="A17" s="4" t="inlineStr">
        <is>
          <t>UCITS de acumulación</t>
        </is>
      </c>
      <c r="B17" s="5" t="inlineStr">
        <is>
          <t>ETF europeo (aquí, irlandés) que reinvierte los dividendos dentro del fondo en lugar de repartirlos.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2026-10-17T03:10:02Z</dcterms:created>
  <dcterms:modified xmlns:dcterms="http://purl.org/dc/terms/" xmlns:xsi="http://www.w3.org/2001/XMLSchema-instance" xsi:type="dcterms:W3CDTF">2026-10-17T03:10:02Z</dcterms:modified>
</cp:coreProperties>
</file>