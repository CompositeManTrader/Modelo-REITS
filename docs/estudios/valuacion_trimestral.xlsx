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Hoy" sheetId="2" state="visible" r:id="rId2"/>
    <sheet xmlns:r="http://schemas.openxmlformats.org/officeDocument/2006/relationships" name="Asignación" sheetId="3" state="visible" r:id="rId3"/>
    <sheet xmlns:r="http://schemas.openxmlformats.org/officeDocument/2006/relationships" name="Evaluación" sheetId="4" state="visible" r:id="rId4"/>
    <sheet xmlns:r="http://schemas.openxmlformats.org/officeDocument/2006/relationships" name="NNN" sheetId="5" state="visible" r:id="rId5"/>
    <sheet xmlns:r="http://schemas.openxmlformats.org/officeDocument/2006/relationships" name="O" sheetId="6" state="visible" r:id="rId6"/>
    <sheet xmlns:r="http://schemas.openxmlformats.org/officeDocument/2006/relationships" name="WPC" sheetId="7" state="visible" r:id="rId7"/>
    <sheet xmlns:r="http://schemas.openxmlformats.org/officeDocument/2006/relationships" name="NNN valor" sheetId="8" state="visible" r:id="rId8"/>
    <sheet xmlns:r="http://schemas.openxmlformats.org/officeDocument/2006/relationships" name="O valor" sheetId="9" state="visible" r:id="rId9"/>
    <sheet xmlns:r="http://schemas.openxmlformats.org/officeDocument/2006/relationships" name="WPC valo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yyyy-mm-dd"/>
    <numFmt numFmtId="166" formatCode="mm-yyyy"/>
    <numFmt numFmtId="167" formatCode="#,##0&quot; bps&quot;"/>
    <numFmt numFmtId="168" formatCode="dd-mm-yyyy"/>
    <numFmt numFmtId="169" formatCode="0.00&quot;x&quot;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color rgb="FF000000"/>
      <sz val="11"/>
    </font>
    <font>
      <name val="Calibri"/>
      <b val="1"/>
      <color rgb="FF0000FF"/>
      <sz val="1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4" fillId="3" borderId="0" pivotButton="0" quotePrefix="0" xfId="0"/>
    <xf numFmtId="10" fontId="4" fillId="3" borderId="0" pivotButton="0" quotePrefix="0" xfId="0"/>
    <xf numFmtId="0" fontId="2" fillId="0" borderId="0" pivotButton="0" quotePrefix="0" xfId="0"/>
    <xf numFmtId="9" fontId="3" fillId="0" borderId="0" pivotButton="0" quotePrefix="0" xfId="0"/>
    <xf numFmtId="166" fontId="3" fillId="0" borderId="0" pivotButton="0" quotePrefix="0" xfId="0"/>
    <xf numFmtId="10" fontId="3" fillId="0" borderId="0" pivotButton="0" quotePrefix="0" xfId="0"/>
    <xf numFmtId="167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8" fontId="3" fillId="0" borderId="0" pivotButton="0" quotePrefix="0" xfId="0"/>
    <xf numFmtId="4" fontId="4" fillId="3" borderId="0" pivotButton="0" quotePrefix="0" xfId="0"/>
    <xf numFmtId="169" fontId="3" fillId="0" borderId="0" pivotButton="0" quotePrefix="0" xfId="0"/>
    <xf numFmtId="4" fontId="3" fillId="0" borderId="0" pivotButton="0" quotePrefix="0" xfId="0"/>
    <xf numFmtId="3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8" customWidth="1" min="1" max="1"/>
    <col width="140" customWidth="1" min="2" max="2"/>
  </cols>
  <sheetData>
    <row r="1">
      <c r="A1" s="1" t="inlineStr">
        <is>
          <t>Métodos de valuación en el tiempo</t>
        </is>
      </c>
    </row>
    <row r="2">
      <c r="A2" t="inlineStr">
        <is>
          <t>Emisores: NNN, O, WPC · datos al 28-09-2026 · generado el 13-10-2026</t>
        </is>
      </c>
    </row>
    <row r="3">
      <c r="A3" t="inlineStr">
        <is>
          <t>Azul sobre amarillo: insumo, editable. Negro: fórmula o valor calculado por el estudio. Herramienta de análisis, no asesoría de inversión.</t>
        </is>
      </c>
    </row>
    <row r="5">
      <c r="A5" s="2" t="inlineStr">
        <is>
          <t>Umbrales de la señal (percentil contra la historia propia)</t>
        </is>
      </c>
    </row>
    <row r="6">
      <c r="A6" s="3" t="inlineStr">
        <is>
          <t>Barato desde el percentil</t>
        </is>
      </c>
      <c r="B6" s="4" t="n">
        <v>0.7</v>
      </c>
    </row>
    <row r="7">
      <c r="A7" s="3" t="inlineStr">
        <is>
          <t>Caro abajo del percentil</t>
        </is>
      </c>
      <c r="B7" s="4" t="n">
        <v>0.3</v>
      </c>
    </row>
    <row r="9">
      <c r="A9" s="2" t="inlineStr">
        <is>
          <t>Supuestos de los modelos de valor (hojas «… valor»)</t>
        </is>
      </c>
    </row>
    <row r="10">
      <c r="A10" s="3" t="inlineStr">
        <is>
          <t>Prima de riesgo sobre el Treasury</t>
        </is>
      </c>
      <c r="B10" s="5" t="n">
        <v>0.03</v>
      </c>
    </row>
    <row r="11">
      <c r="A11" s="3" t="inlineStr">
        <is>
          <t>Crecimiento del dividendo: mínimo</t>
        </is>
      </c>
      <c r="B11" s="5" t="n">
        <v>0</v>
      </c>
    </row>
    <row r="12">
      <c r="A12" s="3" t="inlineStr">
        <is>
          <t>Crecimiento del dividendo: máximo</t>
        </is>
      </c>
      <c r="B12" s="5" t="n">
        <v>0.04</v>
      </c>
    </row>
    <row r="13">
      <c r="A13" s="3" t="inlineStr">
        <is>
          <t>Crecimiento del flujo, 5 años: mínimo</t>
        </is>
      </c>
      <c r="B13" s="5" t="n">
        <v>0</v>
      </c>
    </row>
    <row r="14">
      <c r="A14" s="3" t="inlineStr">
        <is>
          <t>Crecimiento del flujo, 5 años: máximo</t>
        </is>
      </c>
      <c r="B14" s="5" t="n">
        <v>0.08</v>
      </c>
    </row>
    <row r="15">
      <c r="A15" s="3" t="inlineStr">
        <is>
          <t>Crecimiento perpetuo después</t>
        </is>
      </c>
      <c r="B15" s="5" t="n">
        <v>0.02</v>
      </c>
    </row>
    <row r="16">
      <c r="A16" s="3" t="inlineStr">
        <is>
          <t>r − g mínimo</t>
        </is>
      </c>
      <c r="B16" s="5" t="n">
        <v>0.02</v>
      </c>
    </row>
    <row r="17">
      <c r="A17" s="3" t="inlineStr">
        <is>
          <t>Crecimiento entregado: mínimo</t>
        </is>
      </c>
      <c r="B17" s="5" t="n">
        <v>-0.05</v>
      </c>
    </row>
    <row r="18">
      <c r="A18" s="3" t="inlineStr">
        <is>
          <t>Crecimiento entregado: máximo</t>
        </is>
      </c>
      <c r="B18" s="5" t="n">
        <v>0.1</v>
      </c>
    </row>
    <row r="19">
      <c r="A19" s="3" t="inlineStr">
        <is>
          <t>Margen de la señal absoluta de valor</t>
        </is>
      </c>
      <c r="B19" s="5" t="n">
        <v>0.15</v>
      </c>
    </row>
    <row r="20">
      <c r="A20" s="3" t="inlineStr">
        <is>
          <t>Margen de la señal absoluta de crecimiento</t>
        </is>
      </c>
      <c r="B20" s="5" t="n">
        <v>0.01</v>
      </c>
    </row>
    <row r="22">
      <c r="A22" s="2" t="inlineStr">
        <is>
          <t>Los métodos</t>
        </is>
      </c>
    </row>
    <row r="23">
      <c r="A23" s="6" t="inlineStr">
        <is>
          <t>Múltiplo P/FFO</t>
        </is>
      </c>
      <c r="B23" t="inlineStr">
        <is>
          <t>Precio ÷ flujo por acción conocido (FFO de Nareit; AFFO en WPC). Barato = múltiplo bajo contra su propia historia.</t>
        </is>
      </c>
    </row>
    <row r="24">
      <c r="A24" s="6" t="inlineStr">
        <is>
          <t>Prima sobre el Treasury</t>
        </is>
      </c>
      <c r="B24" t="inlineStr">
        <is>
          <t>Yield de flujo menos el Treasury a 10 años. Es la Puerta 2 del semáforo.</t>
        </is>
      </c>
    </row>
    <row r="25">
      <c r="A25" s="6" t="inlineStr">
        <is>
          <t>Prima sobre la tasa real</t>
        </is>
      </c>
      <c r="B25" t="inlineStr">
        <is>
          <t>Yield de flujo menos la tasa real: Treasury a 10 años menos la inflación de 12 meses. El flujo de un REIT crece con la inflación; compararlo contra una tasa nominal castiga los años de inflación alta.</t>
        </is>
      </c>
    </row>
    <row r="26">
      <c r="A26" s="6" t="inlineStr">
        <is>
          <t>Prima sobre bonos Baa</t>
        </is>
      </c>
      <c r="B26" t="inlineStr">
        <is>
          <t>Yield de flujo menos el rendimiento de los bonos corporativos Baa (Moody's): contra la alternativa de crédito, no contra la libre de riesgo.</t>
        </is>
      </c>
    </row>
    <row r="27">
      <c r="A27" s="6" t="inlineStr">
        <is>
          <t>Yield de dividendo</t>
        </is>
      </c>
      <c r="B27" t="inlineStr">
        <is>
          <t>Dividendo regular vigente anualizado ÷ precio, contra su propia historia.</t>
        </is>
      </c>
    </row>
    <row r="28">
      <c r="A28" s="6" t="inlineStr">
        <is>
          <t>Dividendo sobre el Treasury</t>
        </is>
      </c>
      <c r="B28" t="inlineStr">
        <is>
          <t>Yield de dividendo menos el Treasury a 10 años: la lente «contra el bono» del estudio.</t>
        </is>
      </c>
    </row>
    <row r="29">
      <c r="A29" s="6" t="inlineStr">
        <is>
          <t>Múltiplo contra sus últimos 5 años</t>
        </is>
      </c>
      <c r="B29" t="inlineStr">
        <is>
          <t>Yield de flujo entre su mediana de los cinco años previos. No compara contra toda la historia sino contra el régimen reciente de tasas.</t>
        </is>
      </c>
    </row>
    <row r="30">
      <c r="A30" s="6" t="inlineStr">
        <is>
          <t>Consenso de los siete</t>
        </is>
      </c>
      <c r="B30" t="inlineStr">
        <is>
          <t>El promedio de los percentiles de los siete métodos (con al menos cuatro disponibles). Es la regla que se recomienda: no se escoge el método que mejor salió, porque con 21 intentos el mejor siempre sale bien por azar.</t>
        </is>
      </c>
    </row>
    <row r="31">
      <c r="A31" s="6" t="inlineStr">
        <is>
          <t>DDM (Gordon sobre el dividendo)</t>
        </is>
      </c>
      <c r="B31" t="inlineStr">
        <is>
          <t>Dividendo vigente × (1 + g) ÷ (r − g); g = crecimiento del dividendo de los 5 años previos, entre 0% y 4%; r = Treasury a 10 años + 3%. La señal es valor ÷ precio − 1.</t>
        </is>
      </c>
    </row>
    <row r="32">
      <c r="A32" s="6" t="inlineStr">
        <is>
          <t>DCF del flujo en dos etapas</t>
        </is>
      </c>
      <c r="B32" t="inlineStr">
        <is>
          <t>AFFO por acción (FFO donde no hay) creciendo 5 años a su ritmo de los 5 previos (0% a 8%) y después 2% perpetuo, descontado a r. La señal es valor ÷ precio − 1.</t>
        </is>
      </c>
    </row>
    <row r="33">
      <c r="A33" s="6" t="inlineStr">
        <is>
          <t>Crecimiento entregado contra implícito</t>
        </is>
      </c>
      <c r="B33" t="inlineStr">
        <is>
          <t>El crecimiento del flujo por acción de los 5 años previos menos el crecimiento perpetuo que justifica el precio con r. Positivo: el mercado descuenta menos de lo que el emisor ha hecho.</t>
        </is>
      </c>
    </row>
    <row r="34">
      <c r="A34" s="6" t="inlineStr">
        <is>
          <t>NAV aproximado</t>
        </is>
      </c>
      <c r="B34" t="inlineStr">
        <is>
          <t>NOI anualizado del último trimestre ÷ el cap rate de las compras del propio emisor, menos deuda neta y preferentes, por acción. La señal es NAV ÷ precio − 1.</t>
        </is>
      </c>
    </row>
    <row r="36">
      <c r="A36" s="2" t="inlineStr">
        <is>
          <t>Cómo se calculó</t>
        </is>
      </c>
    </row>
    <row r="37">
      <c r="A37" t="inlineStr">
        <is>
          <t>•</t>
        </is>
      </c>
      <c r="B37" t="inlineStr">
        <is>
          <t>Point-in-time (P1): el flujo por acción es el de los últimos 12 meses conocido a cada fecha, con la fecha real de publicación de cada cifra; el Treasury y los bonos Baa, el dato del día hábil anterior; el CPI de un mes, 45 días después de su fecha, que es cuando se publica.</t>
        </is>
      </c>
    </row>
    <row r="38">
      <c r="A38" t="inlineStr">
        <is>
          <t>•</t>
        </is>
      </c>
      <c r="B38" t="inlineStr">
        <is>
          <t>Percentil expandible (P5): cada fin de mes contra todos los fines de mes anteriores del mismo emisor, con al menos 36. Nunca contra otro emisor (P4): un yield de 7% puede ser caro en uno y barato en otro.</t>
        </is>
      </c>
    </row>
    <row r="39">
      <c r="A39" t="inlineStr">
        <is>
          <t>•</t>
        </is>
      </c>
      <c r="B39" t="inlineStr">
        <is>
          <t>Retornos siguientes: retorno total en dólares con el dividendo neto del 20% de impuesto, anualizado. La alternativa de esperar es el T-bill a 3 meses de esos mismos años, neto del 20%.</t>
        </is>
      </c>
    </row>
    <row r="40">
      <c r="A40" t="inlineStr">
        <is>
          <t>•</t>
        </is>
      </c>
      <c r="B40" t="inlineStr">
        <is>
          <t>La evaluación usa fines de trimestre para no contar tres veces casi el mismo mes. Aun así las ventanas de 5 años se enciman: las independientes son una por cada 20 trimestres.</t>
        </is>
      </c>
    </row>
    <row r="41">
      <c r="A41" t="inlineStr">
        <is>
          <t>•</t>
        </is>
      </c>
      <c r="B41" t="inlineStr">
        <is>
          <t>Backtest por emisor: la regla de «solo compras, reinversión en 12 meses» del estudio de reglas, con el percentil del método en lugar de la prima del semáforo y sin las puertas de calidad ni de deterioro: barato compra todo y la reserva, medio la mitad, caro nada; nunca vende.</t>
        </is>
      </c>
    </row>
    <row r="42">
      <c r="A42" t="inlineStr">
        <is>
          <t>•</t>
        </is>
      </c>
      <c r="B42" t="inlineStr">
        <is>
          <t>Asignación entre emisores: desde el primer mes en que los tres tienen percentil del método; la decisión de fin de mes se ejecuta al cierre de la sesión siguiente; 0.25% de comisión, 20% al dividendo y 10% a la ganancia al vender todo al final. El benchmark reparte en tercios y cada emisor reinvierte sus propios dividendos (P6 llevado a tres papeles).</t>
        </is>
      </c>
    </row>
    <row r="43">
      <c r="A43" t="inlineStr">
        <is>
          <t>•</t>
        </is>
      </c>
      <c r="B43" t="inlineStr">
        <is>
          <t>Controles: el espejo (todo al más caro) y cada mitad del periodo por separado, con su propia TIR, se fijaron antes de ver el resultado. El azar se endureció después: la primera versión sorteaba el emisor cada mes, reparte sola el dinero entre los tres y cualquier método le ganaba; la que queda conserva las rachas del método (200 sorteos, semilla fija, reproducible).</t>
        </is>
      </c>
    </row>
    <row r="44">
      <c r="A44" t="inlineStr">
        <is>
          <t>•</t>
        </is>
      </c>
      <c r="B44" t="inlineStr">
        <is>
          <t>Pruebas múltiples: siete métodos en tres emisores son 21 intentos. Por eso se recomienda el consenso y no el mejor, y por eso se exige que el resultado aparezca en los tres emisores y en las dos mitades. El consenso se definió después de ver los siete: no escoge por resultado, pero tampoco es una prueba a ciegas.</t>
        </is>
      </c>
    </row>
    <row r="45">
      <c r="A45" t="inlineStr">
        <is>
          <t>•</t>
        </is>
      </c>
      <c r="B45" t="inlineStr">
        <is>
          <t>Sesgo de supervivencia: O, NNN y WPC existen hoy y se escogieron hoy. La reversión a la media que aprovecha la asignación es la de emisores que sobrevivieron; en uno que se está muriendo, «barato» es una trampa. La regla solo debe repartir entre emisores que pasan la Puerta 1.</t>
        </is>
      </c>
    </row>
    <row r="46">
      <c r="A46" t="inlineStr">
        <is>
          <t>•</t>
        </is>
      </c>
      <c r="B46" t="inlineStr">
        <is>
          <t>Diseño fijado antes de correr, en su propio commit: supuestos, umbrales de la señal absoluta e hipótesis. La prueba 54 los congela.</t>
        </is>
      </c>
    </row>
    <row r="47">
      <c r="A47" t="inlineStr">
        <is>
          <t>•</t>
        </is>
      </c>
      <c r="B47" t="inlineStr">
        <is>
          <t>Tasa de descuento: Treasury a 10 años + 3% (la prima de net lease de la aplicación). La señal absoluta se reporta también con 2% y 4%.</t>
        </is>
      </c>
    </row>
    <row r="48">
      <c r="A48" t="inlineStr">
        <is>
          <t>•</t>
        </is>
      </c>
      <c r="B48" t="inlineStr">
        <is>
          <t>DDM: dividendo vigente anualizado; crecimiento del dividendo de los 5 años previos, entre 0% y 4% y con r − g de al menos 2%. DCF: AFFO por acción (FFO donde no hay) 5 años a su crecimiento de los 5 previos (0% a 8%) y 2% perpetuo después.</t>
        </is>
      </c>
    </row>
    <row r="49">
      <c r="A49" t="inlineStr">
        <is>
          <t>•</t>
        </is>
      </c>
      <c r="B49" t="inlineStr">
        <is>
          <t>Crecimiento implícito: el crecimiento perpetuo que justifica el precio con la misma r; se compara contra el entregado en 5 años, entre −5% y 10%.</t>
        </is>
      </c>
    </row>
    <row r="50">
      <c r="A50" t="inlineStr">
        <is>
          <t>•</t>
        </is>
      </c>
      <c r="B50" t="inlineStr">
        <is>
          <t>NAV: NOI del último trimestre × 4 ÷ el cap rate de las compras del propio emisor (vigente 18 meses), menos deuda neta y preferentes, entre las acciones. NOI, balance y acciones salen del MISMO trimestre de los estados XBRL versionados, cada cifra con su fecha de publicación.</t>
        </is>
      </c>
    </row>
    <row r="51">
      <c r="A51" t="inlineStr">
        <is>
          <t>•</t>
        </is>
      </c>
      <c r="B51" t="inlineStr">
        <is>
          <t>Cambio de construcción hecho antes de ver retornos: NNN y WPC reportan sus gastos de inmuebles con etiquetas propias desde 2019, así que su NOI sale de los totales (ingresos − gastos totales + depreciación + deterioros + administración). Realty Income mete los intereses en sus gastos totales, así que el suyo sale de ingresos − gastos de inmuebles.</t>
        </is>
      </c>
    </row>
    <row r="52">
      <c r="A52" t="inlineStr">
        <is>
          <t>•</t>
        </is>
      </c>
      <c r="B52" t="inlineStr">
        <is>
          <t>Deuda: la mayor entre la etiquetada como total y la suma de sus componentes; si no llega al 60% del pasivo, faltan etiquetas y el mes queda vacío (O, de fines de 2017 a mediados de 2018).</t>
        </is>
      </c>
    </row>
    <row r="53">
      <c r="A53" t="inlineStr">
        <is>
          <t>•</t>
        </is>
      </c>
      <c r="B53" t="inlineStr">
        <is>
          <t>El NAV de WPC se usa desde 2019: antes, su negocio de administración de fondos dejaba el apalancamiento armado 20–50% arriba del reportado. Validación completa en la tabla del NAV.</t>
        </is>
      </c>
    </row>
    <row r="54">
      <c r="A54" t="inlineStr">
        <is>
          <t>•</t>
        </is>
      </c>
      <c r="B54" t="inlineStr">
        <is>
          <t>Señal absoluta: barato si el valor supera al precio en 15% o más, caro si queda 15% o más abajo; en crecimiento, ±1 punto. Contra su historia: percentil expandible ≥ 70 barato, &lt; 30 caro.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2" t="inlineStr">
        <is>
          <t>Método</t>
        </is>
      </c>
      <c r="B1" s="2" t="inlineStr">
        <is>
          <t>Percentil NNN</t>
        </is>
      </c>
      <c r="C1" s="2" t="inlineStr">
        <is>
          <t>Percentil O</t>
        </is>
      </c>
      <c r="D1" s="2" t="inlineStr">
        <is>
          <t>Percentil WPC</t>
        </is>
      </c>
      <c r="E1" s="2" t="inlineStr">
        <is>
          <t>Señal NNN</t>
        </is>
      </c>
      <c r="F1" s="2" t="inlineStr">
        <is>
          <t>Señal O</t>
        </is>
      </c>
      <c r="G1" s="2" t="inlineStr">
        <is>
          <t>Señal WPC</t>
        </is>
      </c>
    </row>
    <row r="2">
      <c r="A2" s="3" t="inlineStr">
        <is>
          <t>Múltiplo P/FFO</t>
        </is>
      </c>
      <c r="B2" s="7" t="n">
        <v>0.6364764267990074</v>
      </c>
      <c r="C2" s="7" t="n">
        <v>0.7676056338028169</v>
      </c>
      <c r="D2" s="7" t="n">
        <v>0.3675078864353312</v>
      </c>
      <c r="E2" s="3">
        <f>IF(B2="","",IF(B2&gt;='Léeme'!$B$6,"barato",IF(B2&lt;'Léeme'!$B$7,"caro","medio")))</f>
        <v/>
      </c>
      <c r="F2" s="3">
        <f>IF(C2="","",IF(C2&gt;='Léeme'!$B$6,"barato",IF(C2&lt;'Léeme'!$B$7,"caro","medio")))</f>
        <v/>
      </c>
      <c r="G2" s="3">
        <f>IF(D2="","",IF(D2&gt;='Léeme'!$B$6,"barato",IF(D2&lt;'Léeme'!$B$7,"caro","medio")))</f>
        <v/>
      </c>
    </row>
    <row r="3">
      <c r="A3" s="3" t="inlineStr">
        <is>
          <t>Prima sobre el Treasury</t>
        </is>
      </c>
      <c r="B3" s="7" t="n">
        <v>0.3982630272952853</v>
      </c>
      <c r="C3" s="7" t="n">
        <v>0.4098591549295775</v>
      </c>
      <c r="D3" s="7" t="n">
        <v>0.0110410094637224</v>
      </c>
      <c r="E3" s="3">
        <f>IF(B3="","",IF(B3&gt;='Léeme'!$B$6,"barato",IF(B3&lt;'Léeme'!$B$7,"caro","medio")))</f>
        <v/>
      </c>
      <c r="F3" s="3">
        <f>IF(C3="","",IF(C3&gt;='Léeme'!$B$6,"barato",IF(C3&lt;'Léeme'!$B$7,"caro","medio")))</f>
        <v/>
      </c>
      <c r="G3" s="3">
        <f>IF(D3="","",IF(D3&gt;='Léeme'!$B$6,"barato",IF(D3&lt;'Léeme'!$B$7,"caro","medio")))</f>
        <v/>
      </c>
    </row>
    <row r="4">
      <c r="A4" s="3" t="inlineStr">
        <is>
          <t>Prima sobre la tasa real</t>
        </is>
      </c>
      <c r="B4" s="7" t="n">
        <v>0.5818858560794045</v>
      </c>
      <c r="C4" s="7" t="n">
        <v>0.6915492957746479</v>
      </c>
      <c r="D4" s="7" t="n">
        <v>0.1498422712933754</v>
      </c>
      <c r="E4" s="3">
        <f>IF(B4="","",IF(B4&gt;='Léeme'!$B$6,"barato",IF(B4&lt;'Léeme'!$B$7,"caro","medio")))</f>
        <v/>
      </c>
      <c r="F4" s="3">
        <f>IF(C4="","",IF(C4&gt;='Léeme'!$B$6,"barato",IF(C4&lt;'Léeme'!$B$7,"caro","medio")))</f>
        <v/>
      </c>
      <c r="G4" s="3">
        <f>IF(D4="","",IF(D4&gt;='Léeme'!$B$6,"barato",IF(D4&lt;'Léeme'!$B$7,"caro","medio")))</f>
        <v/>
      </c>
    </row>
    <row r="5">
      <c r="A5" s="3" t="inlineStr">
        <is>
          <t>Prima sobre bonos Baa</t>
        </is>
      </c>
      <c r="B5" s="7" t="n">
        <v>0.6439205955334988</v>
      </c>
      <c r="C5" s="7" t="n">
        <v>0.8126760563380282</v>
      </c>
      <c r="D5" s="7" t="n">
        <v>0.09305993690851735</v>
      </c>
      <c r="E5" s="3">
        <f>IF(B5="","",IF(B5&gt;='Léeme'!$B$6,"barato",IF(B5&lt;'Léeme'!$B$7,"caro","medio")))</f>
        <v/>
      </c>
      <c r="F5" s="3">
        <f>IF(C5="","",IF(C5&gt;='Léeme'!$B$6,"barato",IF(C5&lt;'Léeme'!$B$7,"caro","medio")))</f>
        <v/>
      </c>
      <c r="G5" s="3">
        <f>IF(D5="","",IF(D5&gt;='Léeme'!$B$6,"barato",IF(D5&lt;'Léeme'!$B$7,"caro","medio")))</f>
        <v/>
      </c>
    </row>
    <row r="6">
      <c r="A6" s="3" t="inlineStr">
        <is>
          <t>Yield de dividendo</t>
        </is>
      </c>
      <c r="B6" s="7" t="n">
        <v>0.4664268585131894</v>
      </c>
      <c r="C6" s="7" t="n">
        <v>0.5794270833333334</v>
      </c>
      <c r="D6" s="7" t="n">
        <v>0.3571428571428572</v>
      </c>
      <c r="E6" s="3">
        <f>IF(B6="","",IF(B6&gt;='Léeme'!$B$6,"barato",IF(B6&lt;'Léeme'!$B$7,"caro","medio")))</f>
        <v/>
      </c>
      <c r="F6" s="3">
        <f>IF(C6="","",IF(C6&gt;='Léeme'!$B$6,"barato",IF(C6&lt;'Léeme'!$B$7,"caro","medio")))</f>
        <v/>
      </c>
      <c r="G6" s="3">
        <f>IF(D6="","",IF(D6&gt;='Léeme'!$B$6,"barato",IF(D6&lt;'Léeme'!$B$7,"caro","medio")))</f>
        <v/>
      </c>
    </row>
    <row r="7">
      <c r="A7" s="3" t="inlineStr">
        <is>
          <t>Dividendo sobre el Treasury</t>
        </is>
      </c>
      <c r="B7" s="7" t="n">
        <v>0.01079136690647482</v>
      </c>
      <c r="C7" s="7" t="n">
        <v>0.01432291666666667</v>
      </c>
      <c r="D7" s="7" t="n">
        <v>0.004373177842565598</v>
      </c>
      <c r="E7" s="3">
        <f>IF(B7="","",IF(B7&gt;='Léeme'!$B$6,"barato",IF(B7&lt;'Léeme'!$B$7,"caro","medio")))</f>
        <v/>
      </c>
      <c r="F7" s="3">
        <f>IF(C7="","",IF(C7&gt;='Léeme'!$B$6,"barato",IF(C7&lt;'Léeme'!$B$7,"caro","medio")))</f>
        <v/>
      </c>
      <c r="G7" s="3">
        <f>IF(D7="","",IF(D7&gt;='Léeme'!$B$6,"barato",IF(D7&lt;'Léeme'!$B$7,"caro","medio")))</f>
        <v/>
      </c>
    </row>
    <row r="8">
      <c r="A8" s="3" t="inlineStr">
        <is>
          <t>Múltiplo contra sus últimos 5 años</t>
        </is>
      </c>
      <c r="B8" s="7" t="n">
        <v>0.7043596730245232</v>
      </c>
      <c r="C8" s="7" t="n">
        <v>0.9827586206896551</v>
      </c>
      <c r="D8" s="7" t="n">
        <v>0.7384341637010676</v>
      </c>
      <c r="E8" s="3">
        <f>IF(B8="","",IF(B8&gt;='Léeme'!$B$6,"barato",IF(B8&lt;'Léeme'!$B$7,"caro","medio")))</f>
        <v/>
      </c>
      <c r="F8" s="3">
        <f>IF(C8="","",IF(C8&gt;='Léeme'!$B$6,"barato",IF(C8&lt;'Léeme'!$B$7,"caro","medio")))</f>
        <v/>
      </c>
      <c r="G8" s="3">
        <f>IF(D8="","",IF(D8&gt;='Léeme'!$B$6,"barato",IF(D8&lt;'Léeme'!$B$7,"caro","medio")))</f>
        <v/>
      </c>
    </row>
    <row r="9">
      <c r="A9" s="3" t="inlineStr">
        <is>
          <t>Consenso de los siete</t>
        </is>
      </c>
      <c r="B9" s="7" t="n">
        <v>0.4917319720216262</v>
      </c>
      <c r="C9" s="7" t="n">
        <v>0.608314108790675</v>
      </c>
      <c r="D9" s="7" t="n">
        <v>0.2459144718267767</v>
      </c>
      <c r="E9" s="3">
        <f>IF(B9="","",IF(B9&gt;='Léeme'!$B$6,"barato",IF(B9&lt;'Léeme'!$B$7,"caro","medio")))</f>
        <v/>
      </c>
      <c r="F9" s="3">
        <f>IF(C9="","",IF(C9&gt;='Léeme'!$B$6,"barato",IF(C9&lt;'Léeme'!$B$7,"caro","medio")))</f>
        <v/>
      </c>
      <c r="G9" s="3">
        <f>IF(D9="","",IF(D9&gt;='Léeme'!$B$6,"barato",IF(D9&lt;'Léeme'!$B$7,"caro","medio")))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 cuál de los tres va la aportación del mes: al de percentil más alto contra su propia historia</t>
        </is>
      </c>
    </row>
    <row r="3">
      <c r="A3" s="2" t="inlineStr">
        <is>
          <t>Método</t>
        </is>
      </c>
      <c r="B3" s="2" t="inlineStr">
        <is>
          <t>Desde</t>
        </is>
      </c>
      <c r="C3" s="2" t="inlineStr">
        <is>
          <t>TIR</t>
        </is>
      </c>
      <c r="D3" s="2" t="inlineStr">
        <is>
          <t>TIR partes iguales</t>
        </is>
      </c>
      <c r="E3" s="2" t="inlineStr">
        <is>
          <t>Ventaja</t>
        </is>
      </c>
      <c r="F3" s="2" t="inlineStr">
        <is>
          <t>Ventaja al más caro</t>
        </is>
      </c>
      <c r="G3" s="2" t="inlineStr">
        <is>
          <t>Ventaja 1ª mitad</t>
        </is>
      </c>
      <c r="H3" s="2" t="inlineStr">
        <is>
          <t>Ventaja 2ª mitad</t>
        </is>
      </c>
      <c r="I3" s="2" t="inlineStr">
        <is>
          <t>Azar que la iguala</t>
        </is>
      </c>
      <c r="J3" s="2" t="inlineStr">
        <is>
          <t>Cambios de emisor</t>
        </is>
      </c>
      <c r="K3" s="2" t="inlineStr">
        <is>
          <t>Hoy va a</t>
        </is>
      </c>
    </row>
    <row r="4">
      <c r="A4" s="3" t="inlineStr">
        <is>
          <t>Múltiplo P/FFO</t>
        </is>
      </c>
      <c r="B4" s="8" t="n">
        <v>37742</v>
      </c>
      <c r="C4" s="9" t="n">
        <v>0.08512453020977362</v>
      </c>
      <c r="D4" s="9" t="n">
        <v>0.0782196632526375</v>
      </c>
      <c r="E4" s="10" t="n">
        <v>69</v>
      </c>
      <c r="F4" s="10" t="n">
        <v>-59</v>
      </c>
      <c r="G4" s="10" t="n">
        <v>177</v>
      </c>
      <c r="H4" s="10" t="n">
        <v>88</v>
      </c>
      <c r="I4" s="11" t="n">
        <v>0</v>
      </c>
      <c r="J4" s="3" t="n">
        <v>46</v>
      </c>
      <c r="K4" s="3" t="inlineStr">
        <is>
          <t>O</t>
        </is>
      </c>
    </row>
    <row r="5">
      <c r="A5" s="3" t="inlineStr">
        <is>
          <t>Prima sobre el Treasury</t>
        </is>
      </c>
      <c r="B5" s="8" t="n">
        <v>37742</v>
      </c>
      <c r="C5" s="9" t="n">
        <v>0.08349710023023199</v>
      </c>
      <c r="D5" s="9" t="n">
        <v>0.0782196632526375</v>
      </c>
      <c r="E5" s="10" t="n">
        <v>53</v>
      </c>
      <c r="F5" s="10" t="n">
        <v>-34</v>
      </c>
      <c r="G5" s="10" t="n">
        <v>145</v>
      </c>
      <c r="H5" s="10" t="n">
        <v>62</v>
      </c>
      <c r="I5" s="11" t="n">
        <v>0.005</v>
      </c>
      <c r="J5" s="3" t="n">
        <v>51</v>
      </c>
      <c r="K5" s="3" t="inlineStr">
        <is>
          <t>O</t>
        </is>
      </c>
    </row>
    <row r="6">
      <c r="A6" s="3" t="inlineStr">
        <is>
          <t>Prima sobre la tasa real</t>
        </is>
      </c>
      <c r="B6" s="8" t="n">
        <v>37742</v>
      </c>
      <c r="C6" s="9" t="n">
        <v>0.08273405348060656</v>
      </c>
      <c r="D6" s="9" t="n">
        <v>0.0782196632526375</v>
      </c>
      <c r="E6" s="10" t="n">
        <v>45</v>
      </c>
      <c r="F6" s="10" t="n">
        <v>-52</v>
      </c>
      <c r="G6" s="10" t="n">
        <v>129</v>
      </c>
      <c r="H6" s="10" t="n">
        <v>39</v>
      </c>
      <c r="I6" s="11" t="n">
        <v>0.005</v>
      </c>
      <c r="J6" s="3" t="n">
        <v>41</v>
      </c>
      <c r="K6" s="3" t="inlineStr">
        <is>
          <t>O</t>
        </is>
      </c>
    </row>
    <row r="7">
      <c r="A7" s="3" t="inlineStr">
        <is>
          <t>Prima sobre bonos Baa</t>
        </is>
      </c>
      <c r="B7" s="8" t="n">
        <v>37742</v>
      </c>
      <c r="C7" s="9" t="n">
        <v>0.0847222224048539</v>
      </c>
      <c r="D7" s="9" t="n">
        <v>0.0782196632526375</v>
      </c>
      <c r="E7" s="10" t="n">
        <v>65</v>
      </c>
      <c r="F7" s="10" t="n">
        <v>-44</v>
      </c>
      <c r="G7" s="10" t="n">
        <v>190</v>
      </c>
      <c r="H7" s="10" t="n">
        <v>63</v>
      </c>
      <c r="I7" s="11" t="n">
        <v>0</v>
      </c>
      <c r="J7" s="3" t="n">
        <v>40</v>
      </c>
      <c r="K7" s="3" t="inlineStr">
        <is>
          <t>O</t>
        </is>
      </c>
    </row>
    <row r="8">
      <c r="A8" s="3" t="inlineStr">
        <is>
          <t>Yield de dividendo</t>
        </is>
      </c>
      <c r="B8" s="8" t="n">
        <v>36951</v>
      </c>
      <c r="C8" s="9" t="n">
        <v>0.08874871470613573</v>
      </c>
      <c r="D8" s="9" t="n">
        <v>0.08339357350317873</v>
      </c>
      <c r="E8" s="10" t="n">
        <v>54</v>
      </c>
      <c r="F8" s="10" t="n">
        <v>-58</v>
      </c>
      <c r="G8" s="10" t="n">
        <v>178</v>
      </c>
      <c r="H8" s="10" t="n">
        <v>48</v>
      </c>
      <c r="I8" s="11" t="n">
        <v>0.005</v>
      </c>
      <c r="J8" s="3" t="n">
        <v>59</v>
      </c>
      <c r="K8" s="3" t="inlineStr">
        <is>
          <t>O</t>
        </is>
      </c>
    </row>
    <row r="9">
      <c r="A9" s="3" t="inlineStr">
        <is>
          <t>Dividendo sobre el Treasury</t>
        </is>
      </c>
      <c r="B9" s="8" t="n">
        <v>36951</v>
      </c>
      <c r="C9" s="9" t="n">
        <v>0.08767577519891681</v>
      </c>
      <c r="D9" s="9" t="n">
        <v>0.08339357350317873</v>
      </c>
      <c r="E9" s="10" t="n">
        <v>43</v>
      </c>
      <c r="F9" s="10" t="n">
        <v>-45</v>
      </c>
      <c r="G9" s="10" t="n">
        <v>96</v>
      </c>
      <c r="H9" s="10" t="n">
        <v>59</v>
      </c>
      <c r="I9" s="11" t="n">
        <v>0.035</v>
      </c>
      <c r="J9" s="3" t="n">
        <v>39</v>
      </c>
      <c r="K9" s="3" t="inlineStr">
        <is>
          <t>WPC</t>
        </is>
      </c>
    </row>
    <row r="10">
      <c r="A10" s="3" t="inlineStr">
        <is>
          <t>Múltiplo contra sus últimos 5 años</t>
        </is>
      </c>
      <c r="B10" s="8" t="n">
        <v>38838</v>
      </c>
      <c r="C10" s="9" t="n">
        <v>0.07929360387549825</v>
      </c>
      <c r="D10" s="9" t="n">
        <v>0.07382740347802984</v>
      </c>
      <c r="E10" s="10" t="n">
        <v>55</v>
      </c>
      <c r="F10" s="10" t="n">
        <v>-42</v>
      </c>
      <c r="G10" s="10" t="n">
        <v>117</v>
      </c>
      <c r="H10" s="10" t="n">
        <v>101</v>
      </c>
      <c r="I10" s="11" t="n">
        <v>0.005</v>
      </c>
      <c r="J10" s="3" t="n">
        <v>57</v>
      </c>
      <c r="K10" s="3" t="inlineStr">
        <is>
          <t>O</t>
        </is>
      </c>
    </row>
    <row r="11">
      <c r="A11" s="3" t="inlineStr">
        <is>
          <t>Consenso de los siete</t>
        </is>
      </c>
      <c r="B11" s="8" t="n">
        <v>37742</v>
      </c>
      <c r="C11" s="9" t="n">
        <v>0.08546648130610802</v>
      </c>
      <c r="D11" s="9" t="n">
        <v>0.0782196632526375</v>
      </c>
      <c r="E11" s="10" t="n">
        <v>72</v>
      </c>
      <c r="F11" s="10" t="n">
        <v>-53</v>
      </c>
      <c r="G11" s="10" t="n">
        <v>167</v>
      </c>
      <c r="H11" s="10" t="n">
        <v>88</v>
      </c>
      <c r="I11" s="11" t="n">
        <v>0</v>
      </c>
      <c r="J11" s="3" t="n">
        <v>54</v>
      </c>
      <c r="K11" s="3" t="inlineStr">
        <is>
          <t>O</t>
        </is>
      </c>
    </row>
    <row r="13">
      <c r="A13" s="6" t="inlineStr">
        <is>
          <t>Cada fin de trimestre, con el consenso de los siete</t>
        </is>
      </c>
    </row>
    <row r="14">
      <c r="A14" s="2" t="inlineStr">
        <is>
          <t>Trimestre</t>
        </is>
      </c>
      <c r="B14" s="2" t="inlineStr">
        <is>
          <t>NNN</t>
        </is>
      </c>
      <c r="C14" s="2" t="inlineStr">
        <is>
          <t>O</t>
        </is>
      </c>
      <c r="D14" s="2" t="inlineStr">
        <is>
          <t>WPC</t>
        </is>
      </c>
      <c r="E14" s="2" t="inlineStr">
        <is>
          <t>La aportación va a</t>
        </is>
      </c>
    </row>
    <row r="15">
      <c r="A15" s="3" t="inlineStr">
        <is>
          <t>1996-T1</t>
        </is>
      </c>
      <c r="B15" s="7" t="n">
        <v>0.7232379438261791</v>
      </c>
      <c r="C15" s="7" t="n"/>
      <c r="D15" s="7" t="n"/>
      <c r="E15" s="3">
        <f>IF(COUNT(B15:D15)&lt;3,"—",INDEX($B$14:$D$14,MATCH(MAX(B15:D15),B15:D15,0)))</f>
        <v/>
      </c>
    </row>
    <row r="16">
      <c r="A16" s="3" t="inlineStr">
        <is>
          <t>1996-T2</t>
        </is>
      </c>
      <c r="B16" s="7" t="n">
        <v>0.3916666666666668</v>
      </c>
      <c r="C16" s="7" t="n"/>
      <c r="D16" s="7" t="n"/>
      <c r="E16" s="3">
        <f>IF(COUNT(B16:D16)&lt;3,"—",INDEX($B$14:$D$14,MATCH(MAX(B16:D16),B16:D16,0)))</f>
        <v/>
      </c>
    </row>
    <row r="17">
      <c r="A17" s="3" t="inlineStr">
        <is>
          <t>1996-T3</t>
        </is>
      </c>
      <c r="B17" s="7" t="n">
        <v>0.5244798041615667</v>
      </c>
      <c r="C17" s="7" t="n"/>
      <c r="D17" s="7" t="n"/>
      <c r="E17" s="3">
        <f>IF(COUNT(B17:D17)&lt;3,"—",INDEX($B$14:$D$14,MATCH(MAX(B17:D17),B17:D17,0)))</f>
        <v/>
      </c>
    </row>
    <row r="18">
      <c r="A18" s="3" t="inlineStr">
        <is>
          <t>1996-T4</t>
        </is>
      </c>
      <c r="B18" s="7" t="n">
        <v>0.1769323671497585</v>
      </c>
      <c r="C18" s="7" t="n"/>
      <c r="D18" s="7" t="n"/>
      <c r="E18" s="3">
        <f>IF(COUNT(B18:D18)&lt;3,"—",INDEX($B$14:$D$14,MATCH(MAX(B18:D18),B18:D18,0)))</f>
        <v/>
      </c>
    </row>
    <row r="19">
      <c r="A19" s="3" t="inlineStr">
        <is>
          <t>1997-T1</t>
        </is>
      </c>
      <c r="B19" s="7" t="n">
        <v>0.4213907785336357</v>
      </c>
      <c r="C19" s="7" t="n"/>
      <c r="D19" s="7" t="n"/>
      <c r="E19" s="3">
        <f>IF(COUNT(B19:D19)&lt;3,"—",INDEX($B$14:$D$14,MATCH(MAX(B19:D19),B19:D19,0)))</f>
        <v/>
      </c>
    </row>
    <row r="20">
      <c r="A20" s="3" t="inlineStr">
        <is>
          <t>1997-T2</t>
        </is>
      </c>
      <c r="B20" s="7" t="n">
        <v>0.3345959595959596</v>
      </c>
      <c r="C20" s="7" t="n"/>
      <c r="D20" s="7" t="n"/>
      <c r="E20" s="3">
        <f>IF(COUNT(B20:D20)&lt;3,"—",INDEX($B$14:$D$14,MATCH(MAX(B20:D20),B20:D20,0)))</f>
        <v/>
      </c>
    </row>
    <row r="21">
      <c r="A21" s="3" t="inlineStr">
        <is>
          <t>1997-T3</t>
        </is>
      </c>
      <c r="B21" s="7" t="n">
        <v>0.3004830917874396</v>
      </c>
      <c r="C21" s="7" t="n"/>
      <c r="D21" s="7" t="n"/>
      <c r="E21" s="3">
        <f>IF(COUNT(B21:D21)&lt;3,"—",INDEX($B$14:$D$14,MATCH(MAX(B21:D21),B21:D21,0)))</f>
        <v/>
      </c>
    </row>
    <row r="22">
      <c r="A22" s="3" t="inlineStr">
        <is>
          <t>1997-T4</t>
        </is>
      </c>
      <c r="B22" s="7" t="n">
        <v>0.1218869731800766</v>
      </c>
      <c r="C22" s="7" t="n"/>
      <c r="D22" s="7" t="n"/>
      <c r="E22" s="3">
        <f>IF(COUNT(B22:D22)&lt;3,"—",INDEX($B$14:$D$14,MATCH(MAX(B22:D22),B22:D22,0)))</f>
        <v/>
      </c>
    </row>
    <row r="23">
      <c r="A23" s="3" t="inlineStr">
        <is>
          <t>1998-T1</t>
        </is>
      </c>
      <c r="B23" s="7" t="n">
        <v>0.2462659380692167</v>
      </c>
      <c r="C23" s="7" t="n"/>
      <c r="D23" s="7" t="n"/>
      <c r="E23" s="3">
        <f>IF(COUNT(B23:D23)&lt;3,"—",INDEX($B$14:$D$14,MATCH(MAX(B23:D23),B23:D23,0)))</f>
        <v/>
      </c>
    </row>
    <row r="24">
      <c r="A24" s="3" t="inlineStr">
        <is>
          <t>1998-T2</t>
        </is>
      </c>
      <c r="B24" s="7" t="n">
        <v>0.6149172008547008</v>
      </c>
      <c r="C24" s="7" t="n"/>
      <c r="D24" s="7" t="n"/>
      <c r="E24" s="3">
        <f>IF(COUNT(B24:D24)&lt;3,"—",INDEX($B$14:$D$14,MATCH(MAX(B24:D24),B24:D24,0)))</f>
        <v/>
      </c>
    </row>
    <row r="25">
      <c r="A25" s="3" t="inlineStr">
        <is>
          <t>1998-T3</t>
        </is>
      </c>
      <c r="B25" s="7" t="n">
        <v>0.8945396474418034</v>
      </c>
      <c r="C25" s="7" t="n"/>
      <c r="D25" s="7" t="n"/>
      <c r="E25" s="3">
        <f>IF(COUNT(B25:D25)&lt;3,"—",INDEX($B$14:$D$14,MATCH(MAX(B25:D25),B25:D25,0)))</f>
        <v/>
      </c>
    </row>
    <row r="26">
      <c r="A26" s="3" t="inlineStr">
        <is>
          <t>1998-T4</t>
        </is>
      </c>
      <c r="B26" s="7" t="n">
        <v>0.9527777777777778</v>
      </c>
      <c r="C26" s="7" t="n"/>
      <c r="D26" s="7" t="n"/>
      <c r="E26" s="3">
        <f>IF(COUNT(B26:D26)&lt;3,"—",INDEX($B$14:$D$14,MATCH(MAX(B26:D26),B26:D26,0)))</f>
        <v/>
      </c>
    </row>
    <row r="27">
      <c r="A27" s="3" t="inlineStr">
        <is>
          <t>1999-T1</t>
        </is>
      </c>
      <c r="B27" s="7" t="n">
        <v>0.9892294953702606</v>
      </c>
      <c r="C27" s="7" t="n"/>
      <c r="D27" s="7" t="n"/>
      <c r="E27" s="3">
        <f>IF(COUNT(B27:D27)&lt;3,"—",INDEX($B$14:$D$14,MATCH(MAX(B27:D27),B27:D27,0)))</f>
        <v/>
      </c>
    </row>
    <row r="28">
      <c r="A28" s="3" t="inlineStr">
        <is>
          <t>1999-T2</t>
        </is>
      </c>
      <c r="B28" s="7" t="n">
        <v>0.9112259816207183</v>
      </c>
      <c r="C28" s="7" t="n"/>
      <c r="D28" s="7" t="n"/>
      <c r="E28" s="3">
        <f>IF(COUNT(B28:D28)&lt;3,"—",INDEX($B$14:$D$14,MATCH(MAX(B28:D28),B28:D28,0)))</f>
        <v/>
      </c>
    </row>
    <row r="29">
      <c r="A29" s="3" t="inlineStr">
        <is>
          <t>1999-T3</t>
        </is>
      </c>
      <c r="B29" s="7" t="n">
        <v>0.9898417190192665</v>
      </c>
      <c r="C29" s="7" t="n"/>
      <c r="D29" s="7" t="n"/>
      <c r="E29" s="3">
        <f>IF(COUNT(B29:D29)&lt;3,"—",INDEX($B$14:$D$14,MATCH(MAX(B29:D29),B29:D29,0)))</f>
        <v/>
      </c>
    </row>
    <row r="30">
      <c r="A30" s="3" t="inlineStr">
        <is>
          <t>1999-T4</t>
        </is>
      </c>
      <c r="B30" s="7" t="n">
        <v>0.9934747891733576</v>
      </c>
      <c r="C30" s="7" t="n"/>
      <c r="D30" s="7" t="n"/>
      <c r="E30" s="3">
        <f>IF(COUNT(B30:D30)&lt;3,"—",INDEX($B$14:$D$14,MATCH(MAX(B30:D30),B30:D30,0)))</f>
        <v/>
      </c>
    </row>
    <row r="31">
      <c r="A31" s="3" t="inlineStr">
        <is>
          <t>2000-T1</t>
        </is>
      </c>
      <c r="B31" s="7" t="n">
        <v>0.981689125866797</v>
      </c>
      <c r="C31" s="7" t="n">
        <v>0.9884657384657385</v>
      </c>
      <c r="D31" s="7" t="n"/>
      <c r="E31" s="3">
        <f>IF(COUNT(B31:D31)&lt;3,"—",INDEX($B$14:$D$14,MATCH(MAX(B31:D31),B31:D31,0)))</f>
        <v/>
      </c>
    </row>
    <row r="32">
      <c r="A32" s="3" t="inlineStr">
        <is>
          <t>2000-T2</t>
        </is>
      </c>
      <c r="B32" s="7" t="n">
        <v>0.9675398131280485</v>
      </c>
      <c r="C32" s="7" t="n">
        <v>0.7373792270531402</v>
      </c>
      <c r="D32" s="7" t="n"/>
      <c r="E32" s="3">
        <f>IF(COUNT(B32:D32)&lt;3,"—",INDEX($B$14:$D$14,MATCH(MAX(B32:D32),B32:D32,0)))</f>
        <v/>
      </c>
    </row>
    <row r="33">
      <c r="A33" s="3" t="inlineStr">
        <is>
          <t>2000-T3</t>
        </is>
      </c>
      <c r="B33" s="7" t="n">
        <v>0.9843822843822844</v>
      </c>
      <c r="C33" s="7" t="n">
        <v>0.8150301464254953</v>
      </c>
      <c r="D33" s="7" t="n"/>
      <c r="E33" s="3">
        <f>IF(COUNT(B33:D33)&lt;3,"—",INDEX($B$14:$D$14,MATCH(MAX(B33:D33),B33:D33,0)))</f>
        <v/>
      </c>
    </row>
    <row r="34">
      <c r="A34" s="3" t="inlineStr">
        <is>
          <t>2000-T4</t>
        </is>
      </c>
      <c r="B34" s="7" t="n">
        <v>0.9760264666721012</v>
      </c>
      <c r="C34" s="7" t="n">
        <v>0.7104347826086957</v>
      </c>
      <c r="D34" s="7" t="n"/>
      <c r="E34" s="3">
        <f>IF(COUNT(B34:D34)&lt;3,"—",INDEX($B$14:$D$14,MATCH(MAX(B34:D34),B34:D34,0)))</f>
        <v/>
      </c>
    </row>
    <row r="35">
      <c r="A35" s="3" t="inlineStr">
        <is>
          <t>2001-T1</t>
        </is>
      </c>
      <c r="B35" s="7" t="n">
        <v>0.789105034922172</v>
      </c>
      <c r="C35" s="7" t="n">
        <v>0.5592621664050236</v>
      </c>
      <c r="D35" s="7" t="n"/>
      <c r="E35" s="3">
        <f>IF(COUNT(B35:D35)&lt;3,"—",INDEX($B$14:$D$14,MATCH(MAX(B35:D35),B35:D35,0)))</f>
        <v/>
      </c>
    </row>
    <row r="36">
      <c r="A36" s="3" t="inlineStr">
        <is>
          <t>2001-T2</t>
        </is>
      </c>
      <c r="B36" s="7" t="n">
        <v>0.5640076754385964</v>
      </c>
      <c r="C36" s="7" t="n">
        <v>0.3160414688192466</v>
      </c>
      <c r="D36" s="7" t="n"/>
      <c r="E36" s="3">
        <f>IF(COUNT(B36:D36)&lt;3,"—",INDEX($B$14:$D$14,MATCH(MAX(B36:D36),B36:D36,0)))</f>
        <v/>
      </c>
    </row>
    <row r="37">
      <c r="A37" s="3" t="inlineStr">
        <is>
          <t>2001-T3</t>
        </is>
      </c>
      <c r="B37" s="7" t="n">
        <v>0.6717140673813619</v>
      </c>
      <c r="C37" s="7" t="n">
        <v>0.4074314574314575</v>
      </c>
      <c r="D37" s="7" t="n"/>
      <c r="E37" s="3">
        <f>IF(COUNT(B37:D37)&lt;3,"—",INDEX($B$14:$D$14,MATCH(MAX(B37:D37),B37:D37,0)))</f>
        <v/>
      </c>
    </row>
    <row r="38">
      <c r="A38" s="3" t="inlineStr">
        <is>
          <t>2001-T4</t>
        </is>
      </c>
      <c r="B38" s="7" t="n">
        <v>0.6518274290848415</v>
      </c>
      <c r="C38" s="7" t="n">
        <v>0.2863984674329502</v>
      </c>
      <c r="D38" s="7" t="n"/>
      <c r="E38" s="3">
        <f>IF(COUNT(B38:D38)&lt;3,"—",INDEX($B$14:$D$14,MATCH(MAX(B38:D38),B38:D38,0)))</f>
        <v/>
      </c>
    </row>
    <row r="39">
      <c r="A39" s="3" t="inlineStr">
        <is>
          <t>2002-T1</t>
        </is>
      </c>
      <c r="B39" s="7" t="n">
        <v>0.5030932814400048</v>
      </c>
      <c r="C39" s="7" t="n">
        <v>0.06241651487553127</v>
      </c>
      <c r="D39" s="7" t="n"/>
      <c r="E39" s="3">
        <f>IF(COUNT(B39:D39)&lt;3,"—",INDEX($B$14:$D$14,MATCH(MAX(B39:D39),B39:D39,0)))</f>
        <v/>
      </c>
    </row>
    <row r="40">
      <c r="A40" s="3" t="inlineStr">
        <is>
          <t>2002-T2</t>
        </is>
      </c>
      <c r="B40" s="7" t="n">
        <v>0.3327142260412937</v>
      </c>
      <c r="C40" s="7" t="n">
        <v>0.05877576164874552</v>
      </c>
      <c r="D40" s="7" t="n"/>
      <c r="E40" s="3">
        <f>IF(COUNT(B40:D40)&lt;3,"—",INDEX($B$14:$D$14,MATCH(MAX(B40:D40),B40:D40,0)))</f>
        <v/>
      </c>
    </row>
    <row r="41">
      <c r="A41" s="3" t="inlineStr">
        <is>
          <t>2002-T3</t>
        </is>
      </c>
      <c r="B41" s="7" t="n">
        <v>0.4393825144705077</v>
      </c>
      <c r="C41" s="7" t="n">
        <v>0.3377124792703151</v>
      </c>
      <c r="D41" s="7" t="n"/>
      <c r="E41" s="3">
        <f>IF(COUNT(B41:D41)&lt;3,"—",INDEX($B$14:$D$14,MATCH(MAX(B41:D41),B41:D41,0)))</f>
        <v/>
      </c>
    </row>
    <row r="42">
      <c r="A42" s="3" t="inlineStr">
        <is>
          <t>2002-T4</t>
        </is>
      </c>
      <c r="B42" s="7" t="n">
        <v>0.5315749773170194</v>
      </c>
      <c r="C42" s="7" t="n">
        <v>0.2938672438672439</v>
      </c>
      <c r="D42" s="7" t="n"/>
      <c r="E42" s="3">
        <f>IF(COUNT(B42:D42)&lt;3,"—",INDEX($B$14:$D$14,MATCH(MAX(B42:D42),B42:D42,0)))</f>
        <v/>
      </c>
    </row>
    <row r="43">
      <c r="A43" s="3" t="inlineStr">
        <is>
          <t>2003-T1</t>
        </is>
      </c>
      <c r="B43" s="7" t="n">
        <v>0.5724592499993572</v>
      </c>
      <c r="C43" s="7" t="n">
        <v>0.3272820420282145</v>
      </c>
      <c r="D43" s="7" t="n"/>
      <c r="E43" s="3">
        <f>IF(COUNT(B43:D43)&lt;3,"—",INDEX($B$14:$D$14,MATCH(MAX(B43:D43),B43:D43,0)))</f>
        <v/>
      </c>
    </row>
    <row r="44">
      <c r="A44" s="3" t="inlineStr">
        <is>
          <t>2003-T2</t>
        </is>
      </c>
      <c r="B44" s="7" t="n">
        <v>0.3703602089822287</v>
      </c>
      <c r="C44" s="7" t="n">
        <v>0.2454752953813104</v>
      </c>
      <c r="D44" s="7" t="n">
        <v>0.2700109649122807</v>
      </c>
      <c r="E44" s="3">
        <f>IF(COUNT(B44:D44)&lt;3,"—",INDEX($B$14:$D$14,MATCH(MAX(B44:D44),B44:D44,0)))</f>
        <v/>
      </c>
    </row>
    <row r="45">
      <c r="A45" s="3" t="inlineStr">
        <is>
          <t>2003-T3</t>
        </is>
      </c>
      <c r="B45" s="7" t="n">
        <v>0.3697991252379401</v>
      </c>
      <c r="C45" s="7" t="n">
        <v>0.1706956651760891</v>
      </c>
      <c r="D45" s="7" t="n">
        <v>0.09689358087610728</v>
      </c>
      <c r="E45" s="3">
        <f>IF(COUNT(B45:D45)&lt;3,"—",INDEX($B$14:$D$14,MATCH(MAX(B45:D45),B45:D45,0)))</f>
        <v/>
      </c>
    </row>
    <row r="46">
      <c r="A46" s="3" t="inlineStr">
        <is>
          <t>2003-T4</t>
        </is>
      </c>
      <c r="B46" s="7" t="n">
        <v>0.3086593666380901</v>
      </c>
      <c r="C46" s="7" t="n">
        <v>0.1536304900567891</v>
      </c>
      <c r="D46" s="7" t="n">
        <v>0.198051948051948</v>
      </c>
      <c r="E46" s="3">
        <f>IF(COUNT(B46:D46)&lt;3,"—",INDEX($B$14:$D$14,MATCH(MAX(B46:D46),B46:D46,0)))</f>
        <v/>
      </c>
    </row>
    <row r="47">
      <c r="A47" s="3" t="inlineStr">
        <is>
          <t>2004-T1</t>
        </is>
      </c>
      <c r="B47" s="7" t="n">
        <v>0.2385247254471124</v>
      </c>
      <c r="C47" s="7" t="n">
        <v>0.1311496026982222</v>
      </c>
      <c r="D47" s="7" t="n">
        <v>0.2176236277081512</v>
      </c>
      <c r="E47" s="3">
        <f>IF(COUNT(B47:D47)&lt;3,"—",INDEX($B$14:$D$14,MATCH(MAX(B47:D47),B47:D47,0)))</f>
        <v/>
      </c>
    </row>
    <row r="48">
      <c r="A48" s="3" t="inlineStr">
        <is>
          <t>2004-T2</t>
        </is>
      </c>
      <c r="B48" s="7" t="n">
        <v>0.380812324929972</v>
      </c>
      <c r="C48" s="7" t="n">
        <v>0.1674020424020424</v>
      </c>
      <c r="D48" s="7" t="n">
        <v>0.2173684210526315</v>
      </c>
      <c r="E48" s="3">
        <f>IF(COUNT(B48:D48)&lt;3,"—",INDEX($B$14:$D$14,MATCH(MAX(B48:D48),B48:D48,0)))</f>
        <v/>
      </c>
    </row>
    <row r="49">
      <c r="A49" s="3" t="inlineStr">
        <is>
          <t>2004-T3</t>
        </is>
      </c>
      <c r="B49" s="7" t="n">
        <v>0.3633923081001626</v>
      </c>
      <c r="C49" s="7" t="n">
        <v>0.1613457970600828</v>
      </c>
      <c r="D49" s="7" t="n">
        <v>0.3389061380463338</v>
      </c>
      <c r="E49" s="3">
        <f>IF(COUNT(B49:D49)&lt;3,"—",INDEX($B$14:$D$14,MATCH(MAX(B49:D49),B49:D49,0)))</f>
        <v/>
      </c>
    </row>
    <row r="50">
      <c r="A50" s="3" t="inlineStr">
        <is>
          <t>2004-T4</t>
        </is>
      </c>
      <c r="B50" s="7" t="n">
        <v>0.2340411603632438</v>
      </c>
      <c r="C50" s="7" t="n">
        <v>0.07891210633099936</v>
      </c>
      <c r="D50" s="7" t="n">
        <v>0.06155632984901278</v>
      </c>
      <c r="E50" s="3">
        <f>IF(COUNT(B50:D50)&lt;3,"—",INDEX($B$14:$D$14,MATCH(MAX(B50:D50),B50:D50,0)))</f>
        <v/>
      </c>
    </row>
    <row r="51">
      <c r="A51" s="3" t="inlineStr">
        <is>
          <t>2005-T1</t>
        </is>
      </c>
      <c r="B51" s="7" t="n">
        <v>0.3352056865555699</v>
      </c>
      <c r="C51" s="7" t="n">
        <v>0.2093161753462581</v>
      </c>
      <c r="D51" s="7" t="n">
        <v>0.6763708873379861</v>
      </c>
      <c r="E51" s="3">
        <f>IF(COUNT(B51:D51)&lt;3,"—",INDEX($B$14:$D$14,MATCH(MAX(B51:D51),B51:D51,0)))</f>
        <v/>
      </c>
    </row>
    <row r="52">
      <c r="A52" s="3" t="inlineStr">
        <is>
          <t>2005-T2</t>
        </is>
      </c>
      <c r="B52" s="7" t="n">
        <v>0.2377962571414952</v>
      </c>
      <c r="C52" s="7" t="n">
        <v>0.1354073228128461</v>
      </c>
      <c r="D52" s="7" t="n">
        <v>0.7371700879765394</v>
      </c>
      <c r="E52" s="3">
        <f>IF(COUNT(B52:D52)&lt;3,"—",INDEX($B$14:$D$14,MATCH(MAX(B52:D52),B52:D52,0)))</f>
        <v/>
      </c>
    </row>
    <row r="53">
      <c r="A53" s="3" t="inlineStr">
        <is>
          <t>2005-T3</t>
        </is>
      </c>
      <c r="B53" s="7" t="n">
        <v>0.2533659161646493</v>
      </c>
      <c r="C53" s="7" t="n">
        <v>0.2285083534540135</v>
      </c>
      <c r="D53" s="7" t="n">
        <v>0.7769230769230768</v>
      </c>
      <c r="E53" s="3">
        <f>IF(COUNT(B53:D53)&lt;3,"—",INDEX($B$14:$D$14,MATCH(MAX(B53:D53),B53:D53,0)))</f>
        <v/>
      </c>
    </row>
    <row r="54">
      <c r="A54" s="3" t="inlineStr">
        <is>
          <t>2005-T4</t>
        </is>
      </c>
      <c r="B54" s="7" t="n">
        <v>0.2079481253210067</v>
      </c>
      <c r="C54" s="7" t="n">
        <v>0.4454106590225188</v>
      </c>
      <c r="D54" s="7" t="n">
        <v>0.7931268251981644</v>
      </c>
      <c r="E54" s="3">
        <f>IF(COUNT(B54:D54)&lt;3,"—",INDEX($B$14:$D$14,MATCH(MAX(B54:D54),B54:D54,0)))</f>
        <v/>
      </c>
    </row>
    <row r="55">
      <c r="A55" s="3" t="inlineStr">
        <is>
          <t>2006-T1</t>
        </is>
      </c>
      <c r="B55" s="7" t="n">
        <v>0.07874621983359374</v>
      </c>
      <c r="C55" s="7" t="n">
        <v>0.2528237308660343</v>
      </c>
      <c r="D55" s="7" t="n">
        <v>0.3281544939741542</v>
      </c>
      <c r="E55" s="3">
        <f>IF(COUNT(B55:D55)&lt;3,"—",INDEX($B$14:$D$14,MATCH(MAX(B55:D55),B55:D55,0)))</f>
        <v/>
      </c>
    </row>
    <row r="56">
      <c r="A56" s="3" t="inlineStr">
        <is>
          <t>2006-T2</t>
        </is>
      </c>
      <c r="B56" s="7" t="n">
        <v>0.25171950315165</v>
      </c>
      <c r="C56" s="7" t="n">
        <v>0.4113965575031804</v>
      </c>
      <c r="D56" s="7" t="n">
        <v>0.4771387929282666</v>
      </c>
      <c r="E56" s="3">
        <f>IF(COUNT(B56:D56)&lt;3,"—",INDEX($B$14:$D$14,MATCH(MAX(B56:D56),B56:D56,0)))</f>
        <v/>
      </c>
    </row>
    <row r="57">
      <c r="A57" s="3" t="inlineStr">
        <is>
          <t>2006-T3</t>
        </is>
      </c>
      <c r="B57" s="7" t="n">
        <v>0.2266764785315842</v>
      </c>
      <c r="C57" s="7" t="n">
        <v>0.3060347162163342</v>
      </c>
      <c r="D57" s="7" t="n">
        <v>0.3531779103478302</v>
      </c>
      <c r="E57" s="3">
        <f>IF(COUNT(B57:D57)&lt;3,"—",INDEX($B$14:$D$14,MATCH(MAX(B57:D57),B57:D57,0)))</f>
        <v/>
      </c>
    </row>
    <row r="58">
      <c r="A58" s="3" t="inlineStr">
        <is>
          <t>2006-T4</t>
        </is>
      </c>
      <c r="B58" s="7" t="n">
        <v>0.1018498904041073</v>
      </c>
      <c r="C58" s="7" t="n">
        <v>0.07108980130172898</v>
      </c>
      <c r="D58" s="7" t="n">
        <v>0.1006769174222004</v>
      </c>
      <c r="E58" s="3">
        <f>IF(COUNT(B58:D58)&lt;3,"—",INDEX($B$14:$D$14,MATCH(MAX(B58:D58),B58:D58,0)))</f>
        <v/>
      </c>
    </row>
    <row r="59">
      <c r="A59" s="3" t="inlineStr">
        <is>
          <t>2007-T1</t>
        </is>
      </c>
      <c r="B59" s="7" t="n">
        <v>0.1546509491166215</v>
      </c>
      <c r="C59" s="7" t="n">
        <v>0.1376248350579901</v>
      </c>
      <c r="D59" s="7" t="n">
        <v>0.390719958554835</v>
      </c>
      <c r="E59" s="3">
        <f>IF(COUNT(B59:D59)&lt;3,"—",INDEX($B$14:$D$14,MATCH(MAX(B59:D59),B59:D59,0)))</f>
        <v/>
      </c>
    </row>
    <row r="60">
      <c r="A60" s="3" t="inlineStr">
        <is>
          <t>2007-T2</t>
        </is>
      </c>
      <c r="B60" s="7" t="n">
        <v>0.3162651219527571</v>
      </c>
      <c r="C60" s="7" t="n">
        <v>0.3022613982054209</v>
      </c>
      <c r="D60" s="7" t="n">
        <v>0.495906502135738</v>
      </c>
      <c r="E60" s="3">
        <f>IF(COUNT(B60:D60)&lt;3,"—",INDEX($B$14:$D$14,MATCH(MAX(B60:D60),B60:D60,0)))</f>
        <v/>
      </c>
    </row>
    <row r="61">
      <c r="A61" s="3" t="inlineStr">
        <is>
          <t>2007-T3</t>
        </is>
      </c>
      <c r="B61" s="7" t="n">
        <v>0.1592905811405298</v>
      </c>
      <c r="C61" s="7" t="n">
        <v>0.174979501188725</v>
      </c>
      <c r="D61" s="7" t="n">
        <v>0.5239827661807366</v>
      </c>
      <c r="E61" s="3">
        <f>IF(COUNT(B61:D61)&lt;3,"—",INDEX($B$14:$D$14,MATCH(MAX(B61:D61),B61:D61,0)))</f>
        <v/>
      </c>
    </row>
    <row r="62">
      <c r="A62" s="3" t="inlineStr">
        <is>
          <t>2007-T4</t>
        </is>
      </c>
      <c r="B62" s="7" t="n">
        <v>0.3648691069638806</v>
      </c>
      <c r="C62" s="7" t="n">
        <v>0.4279091910364493</v>
      </c>
      <c r="D62" s="7" t="n">
        <v>0.5440243709864196</v>
      </c>
      <c r="E62" s="3">
        <f>IF(COUNT(B62:D62)&lt;3,"—",INDEX($B$14:$D$14,MATCH(MAX(B62:D62),B62:D62,0)))</f>
        <v/>
      </c>
    </row>
    <row r="63">
      <c r="A63" s="3" t="inlineStr">
        <is>
          <t>2008-T1</t>
        </is>
      </c>
      <c r="B63" s="7" t="n">
        <v>0.5922185073451981</v>
      </c>
      <c r="C63" s="7" t="n">
        <v>0.6436060286536993</v>
      </c>
      <c r="D63" s="7" t="n">
        <v>0.7498698771020561</v>
      </c>
      <c r="E63" s="3">
        <f>IF(COUNT(B63:D63)&lt;3,"—",INDEX($B$14:$D$14,MATCH(MAX(B63:D63),B63:D63,0)))</f>
        <v/>
      </c>
    </row>
    <row r="64">
      <c r="A64" s="3" t="inlineStr">
        <is>
          <t>2008-T2</t>
        </is>
      </c>
      <c r="B64" s="7" t="n">
        <v>0.6625659397398528</v>
      </c>
      <c r="C64" s="7" t="n">
        <v>0.7828622358034122</v>
      </c>
      <c r="D64" s="7" t="n">
        <v>0.7768033480673375</v>
      </c>
      <c r="E64" s="3">
        <f>IF(COUNT(B64:D64)&lt;3,"—",INDEX($B$14:$D$14,MATCH(MAX(B64:D64),B64:D64,0)))</f>
        <v/>
      </c>
    </row>
    <row r="65">
      <c r="A65" s="3" t="inlineStr">
        <is>
          <t>2008-T3</t>
        </is>
      </c>
      <c r="B65" s="7" t="n">
        <v>0.4425812719976882</v>
      </c>
      <c r="C65" s="7" t="n">
        <v>0.5814536403371855</v>
      </c>
      <c r="D65" s="7" t="n">
        <v>0.8810876268036945</v>
      </c>
      <c r="E65" s="3">
        <f>IF(COUNT(B65:D65)&lt;3,"—",INDEX($B$14:$D$14,MATCH(MAX(B65:D65),B65:D65,0)))</f>
        <v/>
      </c>
    </row>
    <row r="66">
      <c r="A66" s="3" t="inlineStr">
        <is>
          <t>2008-T4</t>
        </is>
      </c>
      <c r="B66" s="7" t="n">
        <v>0.8476748594174512</v>
      </c>
      <c r="C66" s="7" t="n">
        <v>0.7268994636471593</v>
      </c>
      <c r="D66" s="7" t="n">
        <v>0.9326599870717517</v>
      </c>
      <c r="E66" s="3">
        <f>IF(COUNT(B66:D66)&lt;3,"—",INDEX($B$14:$D$14,MATCH(MAX(B66:D66),B66:D66,0)))</f>
        <v/>
      </c>
    </row>
    <row r="67">
      <c r="A67" s="3" t="inlineStr">
        <is>
          <t>2009-T1</t>
        </is>
      </c>
      <c r="B67" s="7" t="n">
        <v>0.9061542268259509</v>
      </c>
      <c r="C67" s="7" t="n">
        <v>0.8717645109293322</v>
      </c>
      <c r="D67" s="7" t="n">
        <v>0.8936800481053703</v>
      </c>
      <c r="E67" s="3">
        <f>IF(COUNT(B67:D67)&lt;3,"—",INDEX($B$14:$D$14,MATCH(MAX(B67:D67),B67:D67,0)))</f>
        <v/>
      </c>
    </row>
    <row r="68">
      <c r="A68" s="3" t="inlineStr">
        <is>
          <t>2009-T2</t>
        </is>
      </c>
      <c r="B68" s="7" t="n">
        <v>0.8074617346938776</v>
      </c>
      <c r="C68" s="7" t="n">
        <v>0.6840619264196747</v>
      </c>
      <c r="D68" s="7" t="n">
        <v>0.7642872628166746</v>
      </c>
      <c r="E68" s="3">
        <f>IF(COUNT(B68:D68)&lt;3,"—",INDEX($B$14:$D$14,MATCH(MAX(B68:D68),B68:D68,0)))</f>
        <v/>
      </c>
    </row>
    <row r="69">
      <c r="A69" s="3" t="inlineStr">
        <is>
          <t>2009-T3</t>
        </is>
      </c>
      <c r="B69" s="7" t="n">
        <v>0.5806007753729165</v>
      </c>
      <c r="C69" s="7" t="n">
        <v>0.511328662379627</v>
      </c>
      <c r="D69" s="7" t="n">
        <v>0.5801369182618671</v>
      </c>
      <c r="E69" s="3">
        <f>IF(COUNT(B69:D69)&lt;3,"—",INDEX($B$14:$D$14,MATCH(MAX(B69:D69),B69:D69,0)))</f>
        <v/>
      </c>
    </row>
    <row r="70">
      <c r="A70" s="3" t="inlineStr">
        <is>
          <t>2009-T4</t>
        </is>
      </c>
      <c r="B70" s="7" t="n">
        <v>0.6472293385391322</v>
      </c>
      <c r="C70" s="7" t="n">
        <v>0.4912196028478329</v>
      </c>
      <c r="D70" s="7" t="n">
        <v>0.6479666793866647</v>
      </c>
      <c r="E70" s="3">
        <f>IF(COUNT(B70:D70)&lt;3,"—",INDEX($B$14:$D$14,MATCH(MAX(B70:D70),B70:D70,0)))</f>
        <v/>
      </c>
    </row>
    <row r="71">
      <c r="A71" s="3" t="inlineStr">
        <is>
          <t>2010-T1</t>
        </is>
      </c>
      <c r="B71" s="7" t="n">
        <v>0.3468419738100275</v>
      </c>
      <c r="C71" s="7" t="n">
        <v>0.1933994024604257</v>
      </c>
      <c r="D71" s="7" t="n">
        <v>0.5477733261979491</v>
      </c>
      <c r="E71" s="3">
        <f>IF(COUNT(B71:D71)&lt;3,"—",INDEX($B$14:$D$14,MATCH(MAX(B71:D71),B71:D71,0)))</f>
        <v/>
      </c>
    </row>
    <row r="72">
      <c r="A72" s="3" t="inlineStr">
        <is>
          <t>2010-T2</t>
        </is>
      </c>
      <c r="B72" s="7" t="n">
        <v>0.5301168949424764</v>
      </c>
      <c r="C72" s="7" t="n">
        <v>0.3212726757369614</v>
      </c>
      <c r="D72" s="7" t="n">
        <v>0.7180602393145284</v>
      </c>
      <c r="E72" s="3">
        <f>IF(COUNT(B72:D72)&lt;3,"—",INDEX($B$14:$D$14,MATCH(MAX(B72:D72),B72:D72,0)))</f>
        <v/>
      </c>
    </row>
    <row r="73">
      <c r="A73" s="3" t="inlineStr">
        <is>
          <t>2010-T3</t>
        </is>
      </c>
      <c r="B73" s="7" t="n">
        <v>0.3290743785665925</v>
      </c>
      <c r="C73" s="7" t="n">
        <v>0.2025976143319508</v>
      </c>
      <c r="D73" s="7" t="n">
        <v>0.6628019941959967</v>
      </c>
      <c r="E73" s="3">
        <f>IF(COUNT(B73:D73)&lt;3,"—",INDEX($B$14:$D$14,MATCH(MAX(B73:D73),B73:D73,0)))</f>
        <v/>
      </c>
    </row>
    <row r="74">
      <c r="A74" s="3" t="inlineStr">
        <is>
          <t>2010-T4</t>
        </is>
      </c>
      <c r="B74" s="7" t="n">
        <v>0.1823845158417413</v>
      </c>
      <c r="C74" s="7" t="n">
        <v>0.1016748311929035</v>
      </c>
      <c r="D74" s="7" t="n">
        <v>0.4335442798660966</v>
      </c>
      <c r="E74" s="3">
        <f>IF(COUNT(B74:D74)&lt;3,"—",INDEX($B$14:$D$14,MATCH(MAX(B74:D74),B74:D74,0)))</f>
        <v/>
      </c>
    </row>
    <row r="75">
      <c r="A75" s="3" t="inlineStr">
        <is>
          <t>2011-T1</t>
        </is>
      </c>
      <c r="B75" s="7" t="n">
        <v>0.1017361206403139</v>
      </c>
      <c r="C75" s="7" t="n">
        <v>0.09091904175767682</v>
      </c>
      <c r="D75" s="7" t="n">
        <v>0.2840624315687844</v>
      </c>
      <c r="E75" s="3">
        <f>IF(COUNT(B75:D75)&lt;3,"—",INDEX($B$14:$D$14,MATCH(MAX(B75:D75),B75:D75,0)))</f>
        <v/>
      </c>
    </row>
    <row r="76">
      <c r="A76" s="3" t="inlineStr">
        <is>
          <t>2011-T2</t>
        </is>
      </c>
      <c r="B76" s="7" t="n">
        <v>0.2701885674711762</v>
      </c>
      <c r="C76" s="7" t="n">
        <v>0.2612045425598216</v>
      </c>
      <c r="D76" s="7" t="n">
        <v>0.1678530634002002</v>
      </c>
      <c r="E76" s="3">
        <f>IF(COUNT(B76:D76)&lt;3,"—",INDEX($B$14:$D$14,MATCH(MAX(B76:D76),B76:D76,0)))</f>
        <v/>
      </c>
    </row>
    <row r="77">
      <c r="A77" s="3" t="inlineStr">
        <is>
          <t>2011-T3</t>
        </is>
      </c>
      <c r="B77" s="7" t="n">
        <v>0.3055019083804782</v>
      </c>
      <c r="C77" s="7" t="n">
        <v>0.505358143257303</v>
      </c>
      <c r="D77" s="7" t="n">
        <v>0.5041712648269887</v>
      </c>
      <c r="E77" s="3">
        <f>IF(COUNT(B77:D77)&lt;3,"—",INDEX($B$14:$D$14,MATCH(MAX(B77:D77),B77:D77,0)))</f>
        <v/>
      </c>
    </row>
    <row r="78">
      <c r="A78" s="3" t="inlineStr">
        <is>
          <t>2011-T4</t>
        </is>
      </c>
      <c r="B78" s="7" t="n">
        <v>0.3335578991727106</v>
      </c>
      <c r="C78" s="7" t="n">
        <v>0.3785540415046322</v>
      </c>
      <c r="D78" s="7" t="n">
        <v>0.3389336781978778</v>
      </c>
      <c r="E78" s="3">
        <f>IF(COUNT(B78:D78)&lt;3,"—",INDEX($B$14:$D$14,MATCH(MAX(B78:D78),B78:D78,0)))</f>
        <v/>
      </c>
    </row>
    <row r="79">
      <c r="A79" s="3" t="inlineStr">
        <is>
          <t>2012-T1</t>
        </is>
      </c>
      <c r="B79" s="7" t="n">
        <v>0.3209883260502583</v>
      </c>
      <c r="C79" s="7" t="n">
        <v>0.2773488439002959</v>
      </c>
      <c r="D79" s="7" t="n">
        <v>0.5437355599109733</v>
      </c>
      <c r="E79" s="3">
        <f>IF(COUNT(B79:D79)&lt;3,"—",INDEX($B$14:$D$14,MATCH(MAX(B79:D79),B79:D79,0)))</f>
        <v/>
      </c>
    </row>
    <row r="80">
      <c r="A80" s="3" t="inlineStr">
        <is>
          <t>2012-T2</t>
        </is>
      </c>
      <c r="B80" s="7" t="n">
        <v>0.2943520373426313</v>
      </c>
      <c r="C80" s="7" t="n">
        <v>0.2273300988855183</v>
      </c>
      <c r="D80" s="7" t="n">
        <v>0.588435600716582</v>
      </c>
      <c r="E80" s="3">
        <f>IF(COUNT(B80:D80)&lt;3,"—",INDEX($B$14:$D$14,MATCH(MAX(B80:D80),B80:D80,0)))</f>
        <v/>
      </c>
    </row>
    <row r="81">
      <c r="A81" s="3" t="inlineStr">
        <is>
          <t>2012-T3</t>
        </is>
      </c>
      <c r="B81" s="7" t="n">
        <v>0.2347754629889477</v>
      </c>
      <c r="C81" s="7" t="n">
        <v>0.3079858072066876</v>
      </c>
      <c r="D81" s="7" t="n">
        <v>0.5254538534544304</v>
      </c>
      <c r="E81" s="3">
        <f>IF(COUNT(B81:D81)&lt;3,"—",INDEX($B$14:$D$14,MATCH(MAX(B81:D81),B81:D81,0)))</f>
        <v/>
      </c>
    </row>
    <row r="82">
      <c r="A82" s="3" t="inlineStr">
        <is>
          <t>2012-T4</t>
        </is>
      </c>
      <c r="B82" s="7" t="n">
        <v>0.2142266147383046</v>
      </c>
      <c r="C82" s="7" t="n">
        <v>0.3536395471867714</v>
      </c>
      <c r="D82" s="7" t="n">
        <v>0.4273697610939399</v>
      </c>
      <c r="E82" s="3">
        <f>IF(COUNT(B82:D82)&lt;3,"—",INDEX($B$14:$D$14,MATCH(MAX(B82:D82),B82:D82,0)))</f>
        <v/>
      </c>
    </row>
    <row r="83">
      <c r="A83" s="3" t="inlineStr">
        <is>
          <t>2013-T1</t>
        </is>
      </c>
      <c r="B83" s="7" t="n">
        <v>0.1686303708812743</v>
      </c>
      <c r="C83" s="7" t="n">
        <v>0.2167513447339195</v>
      </c>
      <c r="D83" s="7" t="n">
        <v>0.09176809914841003</v>
      </c>
      <c r="E83" s="3">
        <f>IF(COUNT(B83:D83)&lt;3,"—",INDEX($B$14:$D$14,MATCH(MAX(B83:D83),B83:D83,0)))</f>
        <v/>
      </c>
    </row>
    <row r="84">
      <c r="A84" s="3" t="inlineStr">
        <is>
          <t>2013-T2</t>
        </is>
      </c>
      <c r="B84" s="7" t="n">
        <v>0.1525511238983408</v>
      </c>
      <c r="C84" s="7" t="n">
        <v>0.2235477405247813</v>
      </c>
      <c r="D84" s="7" t="n">
        <v>0.07706989929871277</v>
      </c>
      <c r="E84" s="3">
        <f>IF(COUNT(B84:D84)&lt;3,"—",INDEX($B$14:$D$14,MATCH(MAX(B84:D84),B84:D84,0)))</f>
        <v/>
      </c>
    </row>
    <row r="85">
      <c r="A85" s="3" t="inlineStr">
        <is>
          <t>2013-T3</t>
        </is>
      </c>
      <c r="B85" s="7" t="n">
        <v>0.239215685594953</v>
      </c>
      <c r="C85" s="7" t="n">
        <v>0.299824324970641</v>
      </c>
      <c r="D85" s="7" t="n">
        <v>0.1036140812056048</v>
      </c>
      <c r="E85" s="3">
        <f>IF(COUNT(B85:D85)&lt;3,"—",INDEX($B$14:$D$14,MATCH(MAX(B85:D85),B85:D85,0)))</f>
        <v/>
      </c>
    </row>
    <row r="86">
      <c r="A86" s="3" t="inlineStr">
        <is>
          <t>2013-T4</t>
        </is>
      </c>
      <c r="B86" s="7" t="n">
        <v>0.2590694259012016</v>
      </c>
      <c r="C86" s="7" t="n">
        <v>0.3534791455540932</v>
      </c>
      <c r="D86" s="7" t="n">
        <v>0.1296171545479552</v>
      </c>
      <c r="E86" s="3">
        <f>IF(COUNT(B86:D86)&lt;3,"—",INDEX($B$14:$D$14,MATCH(MAX(B86:D86),B86:D86,0)))</f>
        <v/>
      </c>
    </row>
    <row r="87">
      <c r="A87" s="3" t="inlineStr">
        <is>
          <t>2014-T1</t>
        </is>
      </c>
      <c r="B87" s="7" t="n">
        <v>0.2426055747078532</v>
      </c>
      <c r="C87" s="7" t="n">
        <v>0.4533236203029824</v>
      </c>
      <c r="D87" s="7" t="n">
        <v>0.2080007945641311</v>
      </c>
      <c r="E87" s="3">
        <f>IF(COUNT(B87:D87)&lt;3,"—",INDEX($B$14:$D$14,MATCH(MAX(B87:D87),B87:D87,0)))</f>
        <v/>
      </c>
    </row>
    <row r="88">
      <c r="A88" s="3" t="inlineStr">
        <is>
          <t>2014-T2</t>
        </is>
      </c>
      <c r="B88" s="7" t="n">
        <v>0.2066355519480519</v>
      </c>
      <c r="C88" s="7" t="n">
        <v>0.419718776586969</v>
      </c>
      <c r="D88" s="7" t="n">
        <v>0.188207521814696</v>
      </c>
      <c r="E88" s="3">
        <f>IF(COUNT(B88:D88)&lt;3,"—",INDEX($B$14:$D$14,MATCH(MAX(B88:D88),B88:D88,0)))</f>
        <v/>
      </c>
    </row>
    <row r="89">
      <c r="A89" s="3" t="inlineStr">
        <is>
          <t>2014-T3</t>
        </is>
      </c>
      <c r="B89" s="7" t="n">
        <v>0.3059712217303505</v>
      </c>
      <c r="C89" s="7" t="n">
        <v>0.5391303156333623</v>
      </c>
      <c r="D89" s="7" t="n">
        <v>0.2314067671199094</v>
      </c>
      <c r="E89" s="3">
        <f>IF(COUNT(B89:D89)&lt;3,"—",INDEX($B$14:$D$14,MATCH(MAX(B89:D89),B89:D89,0)))</f>
        <v/>
      </c>
    </row>
    <row r="90">
      <c r="A90" s="3" t="inlineStr">
        <is>
          <t>2014-T4</t>
        </is>
      </c>
      <c r="B90" s="7" t="n">
        <v>0.1719034206176942</v>
      </c>
      <c r="C90" s="7" t="n">
        <v>0.3178221846387807</v>
      </c>
      <c r="D90" s="7" t="n">
        <v>0.1723029445801723</v>
      </c>
      <c r="E90" s="3">
        <f>IF(COUNT(B90:D90)&lt;3,"—",INDEX($B$14:$D$14,MATCH(MAX(B90:D90),B90:D90,0)))</f>
        <v/>
      </c>
    </row>
    <row r="91">
      <c r="A91" s="3" t="inlineStr">
        <is>
          <t>2015-T1</t>
        </is>
      </c>
      <c r="B91" s="7" t="n">
        <v>0.2418595881015515</v>
      </c>
      <c r="C91" s="7" t="n">
        <v>0.3459931111992114</v>
      </c>
      <c r="D91" s="7" t="n">
        <v>0.3117126639541137</v>
      </c>
      <c r="E91" s="3">
        <f>IF(COUNT(B91:D91)&lt;3,"—",INDEX($B$14:$D$14,MATCH(MAX(B91:D91),B91:D91,0)))</f>
        <v/>
      </c>
    </row>
    <row r="92">
      <c r="A92" s="3" t="inlineStr">
        <is>
          <t>2015-T2</t>
        </is>
      </c>
      <c r="B92" s="7" t="n">
        <v>0.3579771395094541</v>
      </c>
      <c r="C92" s="7" t="n">
        <v>0.4864323754645912</v>
      </c>
      <c r="D92" s="7" t="n">
        <v>0.489615814713662</v>
      </c>
      <c r="E92" s="3">
        <f>IF(COUNT(B92:D92)&lt;3,"—",INDEX($B$14:$D$14,MATCH(MAX(B92:D92),B92:D92,0)))</f>
        <v/>
      </c>
    </row>
    <row r="93">
      <c r="A93" s="3" t="inlineStr">
        <is>
          <t>2015-T3</t>
        </is>
      </c>
      <c r="B93" s="7" t="n">
        <v>0.3484476481302967</v>
      </c>
      <c r="C93" s="7" t="n">
        <v>0.4089531586516927</v>
      </c>
      <c r="D93" s="7" t="n">
        <v>0.5381279626993549</v>
      </c>
      <c r="E93" s="3">
        <f>IF(COUNT(B93:D93)&lt;3,"—",INDEX($B$14:$D$14,MATCH(MAX(B93:D93),B93:D93,0)))</f>
        <v/>
      </c>
    </row>
    <row r="94">
      <c r="A94" s="3" t="inlineStr">
        <is>
          <t>2015-T4</t>
        </is>
      </c>
      <c r="B94" s="7" t="n">
        <v>0.1990303116380372</v>
      </c>
      <c r="C94" s="7" t="n">
        <v>0.239678647425435</v>
      </c>
      <c r="D94" s="7" t="n">
        <v>0.5010025498723942</v>
      </c>
      <c r="E94" s="3">
        <f>IF(COUNT(B94:D94)&lt;3,"—",INDEX($B$14:$D$14,MATCH(MAX(B94:D94),B94:D94,0)))</f>
        <v/>
      </c>
    </row>
    <row r="95">
      <c r="A95" s="3" t="inlineStr">
        <is>
          <t>2016-T1</t>
        </is>
      </c>
      <c r="B95" s="7" t="n">
        <v>0.1618557848224639</v>
      </c>
      <c r="C95" s="7" t="n">
        <v>0.1976541980533096</v>
      </c>
      <c r="D95" s="7" t="n">
        <v>0.5355124789317856</v>
      </c>
      <c r="E95" s="3">
        <f>IF(COUNT(B95:D95)&lt;3,"—",INDEX($B$14:$D$14,MATCH(MAX(B95:D95),B95:D95,0)))</f>
        <v/>
      </c>
    </row>
    <row r="96">
      <c r="A96" s="3" t="inlineStr">
        <is>
          <t>2016-T2</t>
        </is>
      </c>
      <c r="B96" s="7" t="n">
        <v>0.1187823607194634</v>
      </c>
      <c r="C96" s="7" t="n">
        <v>0.1571062743652469</v>
      </c>
      <c r="D96" s="7" t="n">
        <v>0.4060116837358127</v>
      </c>
      <c r="E96" s="3">
        <f>IF(COUNT(B96:D96)&lt;3,"—",INDEX($B$14:$D$14,MATCH(MAX(B96:D96),B96:D96,0)))</f>
        <v/>
      </c>
    </row>
    <row r="97">
      <c r="A97" s="3" t="inlineStr">
        <is>
          <t>2016-T3</t>
        </is>
      </c>
      <c r="B97" s="7" t="n">
        <v>0.1374823077445357</v>
      </c>
      <c r="C97" s="7" t="n">
        <v>0.2026287488839611</v>
      </c>
      <c r="D97" s="7" t="n">
        <v>0.5428001182866484</v>
      </c>
      <c r="E97" s="3">
        <f>IF(COUNT(B97:D97)&lt;3,"—",INDEX($B$14:$D$14,MATCH(MAX(B97:D97),B97:D97,0)))</f>
        <v/>
      </c>
    </row>
    <row r="98">
      <c r="A98" s="3" t="inlineStr">
        <is>
          <t>2016-T4</t>
        </is>
      </c>
      <c r="B98" s="7" t="n">
        <v>0.1821358641358642</v>
      </c>
      <c r="C98" s="7" t="n">
        <v>0.2817341977396142</v>
      </c>
      <c r="D98" s="7" t="n">
        <v>0.5958391662298419</v>
      </c>
      <c r="E98" s="3">
        <f>IF(COUNT(B98:D98)&lt;3,"—",INDEX($B$14:$D$14,MATCH(MAX(B98:D98),B98:D98,0)))</f>
        <v/>
      </c>
    </row>
    <row r="99">
      <c r="A99" s="3" t="inlineStr">
        <is>
          <t>2017-T1</t>
        </is>
      </c>
      <c r="B99" s="7" t="n">
        <v>0.322930383476569</v>
      </c>
      <c r="C99" s="7" t="n">
        <v>0.3561426477730496</v>
      </c>
      <c r="D99" s="7" t="n">
        <v>0.5865196213781854</v>
      </c>
      <c r="E99" s="3">
        <f>IF(COUNT(B99:D99)&lt;3,"—",INDEX($B$14:$D$14,MATCH(MAX(B99:D99),B99:D99,0)))</f>
        <v/>
      </c>
    </row>
    <row r="100">
      <c r="A100" s="3" t="inlineStr">
        <is>
          <t>2017-T2</t>
        </is>
      </c>
      <c r="B100" s="7" t="n">
        <v>0.4642758965743831</v>
      </c>
      <c r="C100" s="7" t="n">
        <v>0.4687719823112095</v>
      </c>
      <c r="D100" s="7" t="n">
        <v>0.4602176659080103</v>
      </c>
      <c r="E100" s="3">
        <f>IF(COUNT(B100:D100)&lt;3,"—",INDEX($B$14:$D$14,MATCH(MAX(B100:D100),B100:D100,0)))</f>
        <v/>
      </c>
    </row>
    <row r="101">
      <c r="A101" s="3" t="inlineStr">
        <is>
          <t>2017-T3</t>
        </is>
      </c>
      <c r="B101" s="7" t="n">
        <v>0.4003532257158341</v>
      </c>
      <c r="C101" s="7" t="n">
        <v>0.4185729425244863</v>
      </c>
      <c r="D101" s="7" t="n">
        <v>0.4331735718921862</v>
      </c>
      <c r="E101" s="3">
        <f>IF(COUNT(B101:D101)&lt;3,"—",INDEX($B$14:$D$14,MATCH(MAX(B101:D101),B101:D101,0)))</f>
        <v/>
      </c>
    </row>
    <row r="102">
      <c r="A102" s="3" t="inlineStr">
        <is>
          <t>2017-T4</t>
        </is>
      </c>
      <c r="B102" s="7" t="n">
        <v>0.3503177236718913</v>
      </c>
      <c r="C102" s="7" t="n">
        <v>0.4307625747113236</v>
      </c>
      <c r="D102" s="7" t="n">
        <v>0.4049927646873501</v>
      </c>
      <c r="E102" s="3">
        <f>IF(COUNT(B102:D102)&lt;3,"—",INDEX($B$14:$D$14,MATCH(MAX(B102:D102),B102:D102,0)))</f>
        <v/>
      </c>
    </row>
    <row r="103">
      <c r="A103" s="3" t="inlineStr">
        <is>
          <t>2018-T1</t>
        </is>
      </c>
      <c r="B103" s="7" t="n">
        <v>0.4723702264290241</v>
      </c>
      <c r="C103" s="7" t="n">
        <v>0.509673560516141</v>
      </c>
      <c r="D103" s="7" t="n">
        <v>0.6020983009492841</v>
      </c>
      <c r="E103" s="3">
        <f>IF(COUNT(B103:D103)&lt;3,"—",INDEX($B$14:$D$14,MATCH(MAX(B103:D103),B103:D103,0)))</f>
        <v/>
      </c>
    </row>
    <row r="104">
      <c r="A104" s="3" t="inlineStr">
        <is>
          <t>2018-T2</t>
        </is>
      </c>
      <c r="B104" s="7" t="n">
        <v>0.296494280618471</v>
      </c>
      <c r="C104" s="7" t="n">
        <v>0.4207786867737525</v>
      </c>
      <c r="D104" s="7" t="n">
        <v>0.4709057888805649</v>
      </c>
      <c r="E104" s="3">
        <f>IF(COUNT(B104:D104)&lt;3,"—",INDEX($B$14:$D$14,MATCH(MAX(B104:D104),B104:D104,0)))</f>
        <v/>
      </c>
    </row>
    <row r="105">
      <c r="A105" s="3" t="inlineStr">
        <is>
          <t>2018-T3</t>
        </is>
      </c>
      <c r="B105" s="7" t="n">
        <v>0.2418226365195944</v>
      </c>
      <c r="C105" s="7" t="n">
        <v>0.2779880353951462</v>
      </c>
      <c r="D105" s="7" t="n">
        <v>0.5077792009680555</v>
      </c>
      <c r="E105" s="3">
        <f>IF(COUNT(B105:D105)&lt;3,"—",INDEX($B$14:$D$14,MATCH(MAX(B105:D105),B105:D105,0)))</f>
        <v/>
      </c>
    </row>
    <row r="106">
      <c r="A106" s="3" t="inlineStr">
        <is>
          <t>2018-T4</t>
        </is>
      </c>
      <c r="B106" s="7" t="n">
        <v>0.1594094430802695</v>
      </c>
      <c r="C106" s="7" t="n">
        <v>0.1539116445733661</v>
      </c>
      <c r="D106" s="7" t="n">
        <v>0.4707059270516717</v>
      </c>
      <c r="E106" s="3">
        <f>IF(COUNT(B106:D106)&lt;3,"—",INDEX($B$14:$D$14,MATCH(MAX(B106:D106),B106:D106,0)))</f>
        <v/>
      </c>
    </row>
    <row r="107">
      <c r="A107" s="3" t="inlineStr">
        <is>
          <t>2019-T1</t>
        </is>
      </c>
      <c r="B107" s="7" t="n">
        <v>0.1075822800493659</v>
      </c>
      <c r="C107" s="7" t="n">
        <v>0.1079087127500396</v>
      </c>
      <c r="D107" s="7" t="n">
        <v>0.1952389565146544</v>
      </c>
      <c r="E107" s="3">
        <f>IF(COUNT(B107:D107)&lt;3,"—",INDEX($B$14:$D$14,MATCH(MAX(B107:D107),B107:D107,0)))</f>
        <v/>
      </c>
    </row>
    <row r="108">
      <c r="A108" s="3" t="inlineStr">
        <is>
          <t>2019-T2</t>
        </is>
      </c>
      <c r="B108" s="7" t="n">
        <v>0.2312759798971372</v>
      </c>
      <c r="C108" s="7" t="n">
        <v>0.2964477229466936</v>
      </c>
      <c r="D108" s="7" t="n">
        <v>0.216011898091823</v>
      </c>
      <c r="E108" s="3">
        <f>IF(COUNT(B108:D108)&lt;3,"—",INDEX($B$14:$D$14,MATCH(MAX(B108:D108),B108:D108,0)))</f>
        <v/>
      </c>
    </row>
    <row r="109">
      <c r="A109" s="3" t="inlineStr">
        <is>
          <t>2019-T3</t>
        </is>
      </c>
      <c r="B109" s="7" t="n">
        <v>0.2341722651823785</v>
      </c>
      <c r="C109" s="7" t="n">
        <v>0.223951367781155</v>
      </c>
      <c r="D109" s="7" t="n">
        <v>0.159010705947125</v>
      </c>
      <c r="E109" s="3">
        <f>IF(COUNT(B109:D109)&lt;3,"—",INDEX($B$14:$D$14,MATCH(MAX(B109:D109),B109:D109,0)))</f>
        <v/>
      </c>
    </row>
    <row r="110">
      <c r="A110" s="3" t="inlineStr">
        <is>
          <t>2019-T4</t>
        </is>
      </c>
      <c r="B110" s="7" t="n">
        <v>0.2894732079514687</v>
      </c>
      <c r="C110" s="7" t="n">
        <v>0.286210335836293</v>
      </c>
      <c r="D110" s="7" t="n">
        <v>0.2894923109624235</v>
      </c>
      <c r="E110" s="3">
        <f>IF(COUNT(B110:D110)&lt;3,"—",INDEX($B$14:$D$14,MATCH(MAX(B110:D110),B110:D110,0)))</f>
        <v/>
      </c>
    </row>
    <row r="111">
      <c r="A111" s="3" t="inlineStr">
        <is>
          <t>2020-T1</t>
        </is>
      </c>
      <c r="B111" s="7" t="n">
        <v>0.8192790331204761</v>
      </c>
      <c r="C111" s="7" t="n">
        <v>0.8135882951429945</v>
      </c>
      <c r="D111" s="7" t="n">
        <v>0.7770566151070397</v>
      </c>
      <c r="E111" s="3">
        <f>IF(COUNT(B111:D111)&lt;3,"—",INDEX($B$14:$D$14,MATCH(MAX(B111:D111),B111:D111,0)))</f>
        <v/>
      </c>
    </row>
    <row r="112">
      <c r="A112" s="3" t="inlineStr">
        <is>
          <t>2020-T2</t>
        </is>
      </c>
      <c r="B112" s="7" t="n">
        <v>0.7490571497794491</v>
      </c>
      <c r="C112" s="7" t="n">
        <v>0.6477806433730583</v>
      </c>
      <c r="D112" s="7" t="n">
        <v>0.5548502458535259</v>
      </c>
      <c r="E112" s="3">
        <f>IF(COUNT(B112:D112)&lt;3,"—",INDEX($B$14:$D$14,MATCH(MAX(B112:D112),B112:D112,0)))</f>
        <v/>
      </c>
    </row>
    <row r="113">
      <c r="A113" s="3" t="inlineStr">
        <is>
          <t>2020-T3</t>
        </is>
      </c>
      <c r="B113" s="7" t="n">
        <v>0.779668999980599</v>
      </c>
      <c r="C113" s="7" t="n">
        <v>0.6626987249313825</v>
      </c>
      <c r="D113" s="7" t="n">
        <v>0.6341798862490418</v>
      </c>
      <c r="E113" s="3">
        <f>IF(COUNT(B113:D113)&lt;3,"—",INDEX($B$14:$D$14,MATCH(MAX(B113:D113),B113:D113,0)))</f>
        <v/>
      </c>
    </row>
    <row r="114">
      <c r="A114" s="3" t="inlineStr">
        <is>
          <t>2020-T4</t>
        </is>
      </c>
      <c r="B114" s="7" t="n">
        <v>0.6677324261781592</v>
      </c>
      <c r="C114" s="7" t="n">
        <v>0.6170604950604951</v>
      </c>
      <c r="D114" s="7" t="n">
        <v>0.4740302652197175</v>
      </c>
      <c r="E114" s="3">
        <f>IF(COUNT(B114:D114)&lt;3,"—",INDEX($B$14:$D$14,MATCH(MAX(B114:D114),B114:D114,0)))</f>
        <v/>
      </c>
    </row>
    <row r="115">
      <c r="A115" s="3" t="inlineStr">
        <is>
          <t>2021-T1</t>
        </is>
      </c>
      <c r="B115" s="7" t="n">
        <v>0.5312190862483162</v>
      </c>
      <c r="C115" s="7" t="n">
        <v>0.5032969165433521</v>
      </c>
      <c r="D115" s="7" t="n">
        <v>0.3676017304780901</v>
      </c>
      <c r="E115" s="3">
        <f>IF(COUNT(B115:D115)&lt;3,"—",INDEX($B$14:$D$14,MATCH(MAX(B115:D115),B115:D115,0)))</f>
        <v/>
      </c>
    </row>
    <row r="116">
      <c r="A116" s="3" t="inlineStr">
        <is>
          <t>2021-T2</t>
        </is>
      </c>
      <c r="B116" s="7" t="n">
        <v>0.5412814657531166</v>
      </c>
      <c r="C116" s="7" t="n">
        <v>0.5605269187874548</v>
      </c>
      <c r="D116" s="7" t="n">
        <v>0.4163848744005296</v>
      </c>
      <c r="E116" s="3">
        <f>IF(COUNT(B116:D116)&lt;3,"—",INDEX($B$14:$D$14,MATCH(MAX(B116:D116),B116:D116,0)))</f>
        <v/>
      </c>
    </row>
    <row r="117">
      <c r="A117" s="3" t="inlineStr">
        <is>
          <t>2021-T3</t>
        </is>
      </c>
      <c r="B117" s="7" t="n">
        <v>0.6254432504903843</v>
      </c>
      <c r="C117" s="7" t="n">
        <v>0.5859463291263129</v>
      </c>
      <c r="D117" s="7" t="n">
        <v>0.4857583163439473</v>
      </c>
      <c r="E117" s="3">
        <f>IF(COUNT(B117:D117)&lt;3,"—",INDEX($B$14:$D$14,MATCH(MAX(B117:D117),B117:D117,0)))</f>
        <v/>
      </c>
    </row>
    <row r="118">
      <c r="A118" s="3" t="inlineStr">
        <is>
          <t>2021-T4</t>
        </is>
      </c>
      <c r="B118" s="7" t="n">
        <v>0.5246085761049402</v>
      </c>
      <c r="C118" s="7" t="n">
        <v>0.4911995158977516</v>
      </c>
      <c r="D118" s="7" t="n">
        <v>0.3373791387184245</v>
      </c>
      <c r="E118" s="3">
        <f>IF(COUNT(B118:D118)&lt;3,"—",INDEX($B$14:$D$14,MATCH(MAX(B118:D118),B118:D118,0)))</f>
        <v/>
      </c>
    </row>
    <row r="119">
      <c r="A119" s="3" t="inlineStr">
        <is>
          <t>2022-T1</t>
        </is>
      </c>
      <c r="B119" s="7" t="n">
        <v>0.5694865635149772</v>
      </c>
      <c r="C119" s="7" t="n">
        <v>0.3849289973279192</v>
      </c>
      <c r="D119" s="7" t="n">
        <v>0.2845051915202769</v>
      </c>
      <c r="E119" s="3">
        <f>IF(COUNT(B119:D119)&lt;3,"—",INDEX($B$14:$D$14,MATCH(MAX(B119:D119),B119:D119,0)))</f>
        <v/>
      </c>
    </row>
    <row r="120">
      <c r="A120" s="3" t="inlineStr">
        <is>
          <t>2022-T2</t>
        </is>
      </c>
      <c r="B120" s="7" t="n">
        <v>0.5150319824396395</v>
      </c>
      <c r="C120" s="7" t="n">
        <v>0.2991880122182557</v>
      </c>
      <c r="D120" s="7" t="n">
        <v>0.2454129772657629</v>
      </c>
      <c r="E120" s="3">
        <f>IF(COUNT(B120:D120)&lt;3,"—",INDEX($B$14:$D$14,MATCH(MAX(B120:D120),B120:D120,0)))</f>
        <v/>
      </c>
    </row>
    <row r="121">
      <c r="A121" s="3" t="inlineStr">
        <is>
          <t>2022-T3</t>
        </is>
      </c>
      <c r="B121" s="7" t="n">
        <v>0.4893641123956574</v>
      </c>
      <c r="C121" s="7" t="n">
        <v>0.4058135487208093</v>
      </c>
      <c r="D121" s="7" t="n">
        <v>0.4041021686148991</v>
      </c>
      <c r="E121" s="3">
        <f>IF(COUNT(B121:D121)&lt;3,"—",INDEX($B$14:$D$14,MATCH(MAX(B121:D121),B121:D121,0)))</f>
        <v/>
      </c>
    </row>
    <row r="122">
      <c r="A122" s="3" t="inlineStr">
        <is>
          <t>2022-T4</t>
        </is>
      </c>
      <c r="B122" s="7" t="n">
        <v>0.3242796730843371</v>
      </c>
      <c r="C122" s="7" t="n">
        <v>0.3136595317127749</v>
      </c>
      <c r="D122" s="7" t="n">
        <v>0.2807457899551585</v>
      </c>
      <c r="E122" s="3">
        <f>IF(COUNT(B122:D122)&lt;3,"—",INDEX($B$14:$D$14,MATCH(MAX(B122:D122),B122:D122,0)))</f>
        <v/>
      </c>
    </row>
    <row r="123">
      <c r="A123" s="3" t="inlineStr">
        <is>
          <t>2023-T1</t>
        </is>
      </c>
      <c r="B123" s="7" t="n">
        <v>0.5460031049283127</v>
      </c>
      <c r="C123" s="7" t="n">
        <v>0.3468929221281983</v>
      </c>
      <c r="D123" s="7" t="n">
        <v>0.3116470176843548</v>
      </c>
      <c r="E123" s="3">
        <f>IF(COUNT(B123:D123)&lt;3,"—",INDEX($B$14:$D$14,MATCH(MAX(B123:D123),B123:D123,0)))</f>
        <v/>
      </c>
    </row>
    <row r="124">
      <c r="A124" s="3" t="inlineStr">
        <is>
          <t>2023-T2</t>
        </is>
      </c>
      <c r="B124" s="7" t="n">
        <v>0.5315683235979404</v>
      </c>
      <c r="C124" s="7" t="n">
        <v>0.358403859617595</v>
      </c>
      <c r="D124" s="7" t="n">
        <v>0.4160538654144726</v>
      </c>
      <c r="E124" s="3">
        <f>IF(COUNT(B124:D124)&lt;3,"—",INDEX($B$14:$D$14,MATCH(MAX(B124:D124),B124:D124,0)))</f>
        <v/>
      </c>
    </row>
    <row r="125">
      <c r="A125" s="3" t="inlineStr">
        <is>
          <t>2023-T3</t>
        </is>
      </c>
      <c r="B125" s="7" t="n">
        <v>0.6654187792987017</v>
      </c>
      <c r="C125" s="7" t="n">
        <v>0.4743470756934873</v>
      </c>
      <c r="D125" s="7" t="n">
        <v>0.6875125301706706</v>
      </c>
      <c r="E125" s="3">
        <f>IF(COUNT(B125:D125)&lt;3,"—",INDEX($B$14:$D$14,MATCH(MAX(B125:D125),B125:D125,0)))</f>
        <v/>
      </c>
    </row>
    <row r="126">
      <c r="A126" s="3" t="inlineStr">
        <is>
          <t>2023-T4</t>
        </is>
      </c>
      <c r="B126" s="7" t="n">
        <v>0.512629880200988</v>
      </c>
      <c r="C126" s="7" t="n">
        <v>0.4009527969155298</v>
      </c>
      <c r="D126" s="7" t="n">
        <v>0.3549563510092815</v>
      </c>
      <c r="E126" s="3">
        <f>IF(COUNT(B126:D126)&lt;3,"—",INDEX($B$14:$D$14,MATCH(MAX(B126:D126),B126:D126,0)))</f>
        <v/>
      </c>
    </row>
    <row r="127">
      <c r="A127" s="3" t="inlineStr">
        <is>
          <t>2024-T1</t>
        </is>
      </c>
      <c r="B127" s="7" t="n">
        <v>0.5143939953438056</v>
      </c>
      <c r="C127" s="7" t="n">
        <v>0.4249717685985353</v>
      </c>
      <c r="D127" s="7" t="n">
        <v>0.535253081662539</v>
      </c>
      <c r="E127" s="3">
        <f>IF(COUNT(B127:D127)&lt;3,"—",INDEX($B$14:$D$14,MATCH(MAX(B127:D127),B127:D127,0)))</f>
        <v/>
      </c>
    </row>
    <row r="128">
      <c r="A128" s="3" t="inlineStr">
        <is>
          <t>2024-T2</t>
        </is>
      </c>
      <c r="B128" s="7" t="n">
        <v>0.4980119379994223</v>
      </c>
      <c r="C128" s="7" t="n">
        <v>0.4494105193029433</v>
      </c>
      <c r="D128" s="7" t="n">
        <v>0.5211663579154308</v>
      </c>
      <c r="E128" s="3">
        <f>IF(COUNT(B128:D128)&lt;3,"—",INDEX($B$14:$D$14,MATCH(MAX(B128:D128),B128:D128,0)))</f>
        <v/>
      </c>
    </row>
    <row r="129">
      <c r="A129" s="3" t="inlineStr">
        <is>
          <t>2024-T3</t>
        </is>
      </c>
      <c r="B129" s="7" t="n">
        <v>0.3638664583225136</v>
      </c>
      <c r="C129" s="7" t="n">
        <v>0.2161100260337292</v>
      </c>
      <c r="D129" s="7" t="n">
        <v>0.3065522829937278</v>
      </c>
      <c r="E129" s="3">
        <f>IF(COUNT(B129:D129)&lt;3,"—",INDEX($B$14:$D$14,MATCH(MAX(B129:D129),B129:D129,0)))</f>
        <v/>
      </c>
    </row>
    <row r="130">
      <c r="A130" s="3" t="inlineStr">
        <is>
          <t>2024-T4</t>
        </is>
      </c>
      <c r="B130" s="7" t="n">
        <v>0.5237419110932411</v>
      </c>
      <c r="C130" s="7" t="n">
        <v>0.3759295470531327</v>
      </c>
      <c r="D130" s="7" t="n">
        <v>0.4116805512768246</v>
      </c>
      <c r="E130" s="3">
        <f>IF(COUNT(B130:D130)&lt;3,"—",INDEX($B$14:$D$14,MATCH(MAX(B130:D130),B130:D130,0)))</f>
        <v/>
      </c>
    </row>
    <row r="131">
      <c r="A131" s="3" t="inlineStr">
        <is>
          <t>2025-T1</t>
        </is>
      </c>
      <c r="B131" s="7" t="n">
        <v>0.516702120724354</v>
      </c>
      <c r="C131" s="7" t="n">
        <v>0.2922284792512085</v>
      </c>
      <c r="D131" s="7" t="n">
        <v>0.2199213020406606</v>
      </c>
      <c r="E131" s="3">
        <f>IF(COUNT(B131:D131)&lt;3,"—",INDEX($B$14:$D$14,MATCH(MAX(B131:D131),B131:D131,0)))</f>
        <v/>
      </c>
    </row>
    <row r="132">
      <c r="A132" s="3" t="inlineStr">
        <is>
          <t>2025-T2</t>
        </is>
      </c>
      <c r="B132" s="7" t="n">
        <v>0.4837780675048909</v>
      </c>
      <c r="C132" s="7" t="n">
        <v>0.2933282887395437</v>
      </c>
      <c r="D132" s="7" t="n">
        <v>0.2425440953145491</v>
      </c>
      <c r="E132" s="3">
        <f>IF(COUNT(B132:D132)&lt;3,"—",INDEX($B$14:$D$14,MATCH(MAX(B132:D132),B132:D132,0)))</f>
        <v/>
      </c>
    </row>
    <row r="133">
      <c r="A133" s="3" t="inlineStr">
        <is>
          <t>2025-T3</t>
        </is>
      </c>
      <c r="B133" s="7" t="n">
        <v>0.5533979793636626</v>
      </c>
      <c r="C133" s="7" t="n">
        <v>0.239894341509573</v>
      </c>
      <c r="D133" s="7" t="n">
        <v>0.1720380220198222</v>
      </c>
      <c r="E133" s="3">
        <f>IF(COUNT(B133:D133)&lt;3,"—",INDEX($B$14:$D$14,MATCH(MAX(B133:D133),B133:D133,0)))</f>
        <v/>
      </c>
    </row>
    <row r="134">
      <c r="A134" s="3" t="inlineStr">
        <is>
          <t>2025-T4</t>
        </is>
      </c>
      <c r="B134" s="7" t="n">
        <v>0.6365850355682641</v>
      </c>
      <c r="C134" s="7" t="n">
        <v>0.3646668797670103</v>
      </c>
      <c r="D134" s="7" t="n">
        <v>0.2675824480581563</v>
      </c>
      <c r="E134" s="3">
        <f>IF(COUNT(B134:D134)&lt;3,"—",INDEX($B$14:$D$14,MATCH(MAX(B134:D134),B134:D134,0)))</f>
        <v/>
      </c>
    </row>
    <row r="135">
      <c r="A135" s="3" t="inlineStr">
        <is>
          <t>2026-T1</t>
        </is>
      </c>
      <c r="B135" s="7" t="n">
        <v>0.5557911358276879</v>
      </c>
      <c r="C135" s="7" t="n">
        <v>0.5539138167276983</v>
      </c>
      <c r="D135" s="7" t="n">
        <v>0.1819464447886214</v>
      </c>
      <c r="E135" s="3">
        <f>IF(COUNT(B135:D135)&lt;3,"—",INDEX($B$14:$D$14,MATCH(MAX(B135:D135),B135:D135,0)))</f>
        <v/>
      </c>
    </row>
    <row r="136">
      <c r="A136" s="3" t="inlineStr">
        <is>
          <t>2026-T2</t>
        </is>
      </c>
      <c r="B136" s="7" t="n">
        <v>0.4140576107812133</v>
      </c>
      <c r="C136" s="7" t="n">
        <v>0.5738836056381905</v>
      </c>
      <c r="D136" s="7" t="n">
        <v>0.1807550972549584</v>
      </c>
      <c r="E136" s="3">
        <f>IF(COUNT(B136:D136)&lt;3,"—",INDEX($B$14:$D$14,MATCH(MAX(B136:D136),B136:D136,0)))</f>
        <v/>
      </c>
    </row>
    <row r="137">
      <c r="A137" s="3" t="inlineStr">
        <is>
          <t>2026-T3</t>
        </is>
      </c>
      <c r="B137" s="7" t="n">
        <v>0.4917319720216262</v>
      </c>
      <c r="C137" s="7" t="n">
        <v>0.608314108790675</v>
      </c>
      <c r="D137" s="7" t="n">
        <v>0.2459144718267767</v>
      </c>
      <c r="E137" s="3">
        <f>IF(COUNT(B137:D137)&lt;3,"—",INDEX($B$14:$D$14,MATCH(MAX(B137:D137),B137:D137,0)))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¿Predicen? Percentil contra el retorno de los años siguientes, un renglón por trimestre</t>
        </is>
      </c>
    </row>
    <row r="3">
      <c r="A3" s="6" t="inlineStr">
        <is>
          <t>NNN REIT, Inc. (NNN)</t>
        </is>
      </c>
    </row>
    <row r="4">
      <c r="A4" s="2" t="inlineStr">
        <is>
          <t>Método</t>
        </is>
      </c>
      <c r="B4" s="2" t="inlineStr">
        <is>
          <t>Correlación 1 año</t>
        </is>
      </c>
      <c r="C4" s="2" t="inlineStr">
        <is>
          <t>Correlación 5 años</t>
        </is>
      </c>
      <c r="D4" s="2" t="inlineStr">
        <is>
          <t>5 años si barato</t>
        </is>
      </c>
      <c r="E4" s="2" t="inlineStr">
        <is>
          <t>5 años si medio</t>
        </is>
      </c>
      <c r="F4" s="2" t="inlineStr">
        <is>
          <t>5 años si caro</t>
        </is>
      </c>
      <c r="G4" s="2" t="inlineStr">
        <is>
          <t>Brecha barato − caro</t>
        </is>
      </c>
      <c r="H4" s="2" t="inlineStr">
        <is>
          <t>Caro contra el efectivo</t>
        </is>
      </c>
      <c r="I4" s="2" t="inlineStr">
        <is>
          <t>Veces que caro le ganó al efectivo</t>
        </is>
      </c>
      <c r="J4" s="2" t="inlineStr">
        <is>
          <t>TIR con el método (solo ese papel)</t>
        </is>
      </c>
      <c r="K4" s="2" t="inlineStr">
        <is>
          <t>TIR sin reglas</t>
        </is>
      </c>
      <c r="L4" s="2" t="inlineStr">
        <is>
          <t>Ventaja</t>
        </is>
      </c>
    </row>
    <row r="5">
      <c r="A5" s="3" t="inlineStr">
        <is>
          <t>Múltiplo P/FFO</t>
        </is>
      </c>
      <c r="B5" s="12" t="n">
        <v>0.291</v>
      </c>
      <c r="C5" s="12" t="n">
        <v>0.457</v>
      </c>
      <c r="D5" s="11" t="n">
        <v>0.1932979424592757</v>
      </c>
      <c r="E5" s="11" t="n">
        <v>0.1356568578804618</v>
      </c>
      <c r="F5" s="11" t="n">
        <v>0.08054282028369597</v>
      </c>
      <c r="G5" s="11" t="n">
        <v>0.1127551221755797</v>
      </c>
      <c r="H5" s="11" t="n">
        <v>0.06825511816263674</v>
      </c>
      <c r="I5" s="11" t="n">
        <v>0.8461538461538461</v>
      </c>
      <c r="J5" s="9" t="n">
        <v>0.0864911030574874</v>
      </c>
      <c r="K5" s="9" t="n">
        <v>0.08819330926119424</v>
      </c>
      <c r="L5" s="10" t="n">
        <v>-17</v>
      </c>
    </row>
    <row r="6">
      <c r="A6" s="3" t="inlineStr">
        <is>
          <t>Prima sobre el Treasury</t>
        </is>
      </c>
      <c r="B6" s="12" t="n">
        <v>0.293</v>
      </c>
      <c r="C6" s="12" t="n">
        <v>0.529</v>
      </c>
      <c r="D6" s="11" t="n">
        <v>0.1738541352890096</v>
      </c>
      <c r="E6" s="11" t="n">
        <v>0.09528329763916354</v>
      </c>
      <c r="F6" s="11" t="n">
        <v>0.08052255288274002</v>
      </c>
      <c r="G6" s="11" t="n">
        <v>0.0933315824062696</v>
      </c>
      <c r="H6" s="11" t="n">
        <v>0.06492506251014651</v>
      </c>
      <c r="I6" s="11" t="n">
        <v>0.7368421052631579</v>
      </c>
      <c r="J6" s="9" t="n">
        <v>0.08705454492756194</v>
      </c>
      <c r="K6" s="9" t="n">
        <v>0.08819330926119424</v>
      </c>
      <c r="L6" s="10" t="n">
        <v>-11</v>
      </c>
    </row>
    <row r="7">
      <c r="A7" s="3" t="inlineStr">
        <is>
          <t>Prima sobre la tasa real</t>
        </is>
      </c>
      <c r="B7" s="12" t="n">
        <v>0.141</v>
      </c>
      <c r="C7" s="12" t="n">
        <v>0.553</v>
      </c>
      <c r="D7" s="11" t="n">
        <v>0.1633540646231062</v>
      </c>
      <c r="E7" s="11" t="n">
        <v>0.09778159830742461</v>
      </c>
      <c r="F7" s="11" t="n">
        <v>0.08054282028369597</v>
      </c>
      <c r="G7" s="11" t="n">
        <v>0.08281124433941023</v>
      </c>
      <c r="H7" s="11" t="n">
        <v>0.0528922065175359</v>
      </c>
      <c r="I7" s="11" t="n">
        <v>0.8</v>
      </c>
      <c r="J7" s="9" t="n">
        <v>0.0869419047455867</v>
      </c>
      <c r="K7" s="9" t="n">
        <v>0.08819330926119424</v>
      </c>
      <c r="L7" s="10" t="n">
        <v>-13</v>
      </c>
    </row>
    <row r="8">
      <c r="A8" s="3" t="inlineStr">
        <is>
          <t>Prima sobre bonos Baa</t>
        </is>
      </c>
      <c r="B8" s="12" t="n">
        <v>0.222</v>
      </c>
      <c r="C8" s="12" t="n">
        <v>0.369</v>
      </c>
      <c r="D8" s="11" t="n">
        <v>0.1633540646231062</v>
      </c>
      <c r="E8" s="11" t="n">
        <v>0.08525427850900502</v>
      </c>
      <c r="F8" s="11" t="n">
        <v>0.1002798989756857</v>
      </c>
      <c r="G8" s="11" t="n">
        <v>0.06307416564742052</v>
      </c>
      <c r="H8" s="11" t="n">
        <v>0.09165513024374228</v>
      </c>
      <c r="I8" s="11" t="n">
        <v>0.8571428571428571</v>
      </c>
      <c r="J8" s="9" t="n">
        <v>0.08709074636920186</v>
      </c>
      <c r="K8" s="9" t="n">
        <v>0.08819330926119424</v>
      </c>
      <c r="L8" s="10" t="n">
        <v>-11</v>
      </c>
    </row>
    <row r="9">
      <c r="A9" s="3" t="inlineStr">
        <is>
          <t>Yield de dividendo</t>
        </is>
      </c>
      <c r="B9" s="12" t="n">
        <v>0.332</v>
      </c>
      <c r="C9" s="12" t="n">
        <v>0.471</v>
      </c>
      <c r="D9" s="11" t="n">
        <v>0.2053941333706062</v>
      </c>
      <c r="E9" s="11" t="n">
        <v>0.1033110734906586</v>
      </c>
      <c r="F9" s="11" t="n">
        <v>0.08843103409040765</v>
      </c>
      <c r="G9" s="11" t="n">
        <v>0.1169630992801985</v>
      </c>
      <c r="H9" s="11" t="n">
        <v>0.06965206185966821</v>
      </c>
      <c r="I9" s="11" t="n">
        <v>0.868421052631579</v>
      </c>
      <c r="J9" s="9" t="n">
        <v>0.08738616719426151</v>
      </c>
      <c r="K9" s="9" t="n">
        <v>0.08819330926119424</v>
      </c>
      <c r="L9" s="10" t="n">
        <v>-8</v>
      </c>
    </row>
    <row r="10">
      <c r="A10" s="3" t="inlineStr">
        <is>
          <t>Dividendo sobre el Treasury</t>
        </is>
      </c>
      <c r="B10" s="12" t="n">
        <v>0.392</v>
      </c>
      <c r="C10" s="12" t="n">
        <v>0.593</v>
      </c>
      <c r="D10" s="11" t="n">
        <v>0.1606991440199715</v>
      </c>
      <c r="E10" s="11" t="n">
        <v>0.1048541263601421</v>
      </c>
      <c r="F10" s="11" t="n">
        <v>0.05572096124951842</v>
      </c>
      <c r="G10" s="11" t="n">
        <v>0.1049781827704531</v>
      </c>
      <c r="H10" s="11" t="n">
        <v>0.03784820442073</v>
      </c>
      <c r="I10" s="11" t="n">
        <v>0.7368421052631579</v>
      </c>
      <c r="J10" s="9" t="n">
        <v>0.08814257659312255</v>
      </c>
      <c r="K10" s="9" t="n">
        <v>0.08819330926119424</v>
      </c>
      <c r="L10" s="10" t="n">
        <v>-1</v>
      </c>
    </row>
    <row r="11">
      <c r="A11" s="3" t="inlineStr">
        <is>
          <t>Múltiplo contra sus últimos 5 años</t>
        </is>
      </c>
      <c r="B11" s="12" t="n">
        <v>0.126</v>
      </c>
      <c r="C11" s="12" t="n">
        <v>0.19</v>
      </c>
      <c r="D11" s="11" t="n">
        <v>0.1633540646231062</v>
      </c>
      <c r="E11" s="11" t="n">
        <v>0.08809452144363172</v>
      </c>
      <c r="F11" s="11" t="n">
        <v>0.1109570745210147</v>
      </c>
      <c r="G11" s="11" t="n">
        <v>0.05239699010209153</v>
      </c>
      <c r="H11" s="11" t="n">
        <v>0.1032229626869576</v>
      </c>
      <c r="I11" s="11" t="n">
        <v>0.9375</v>
      </c>
      <c r="J11" s="9" t="n">
        <v>0.08605655791062436</v>
      </c>
      <c r="K11" s="9" t="n">
        <v>0.08819330926119424</v>
      </c>
      <c r="L11" s="10" t="n">
        <v>-21</v>
      </c>
    </row>
    <row r="12">
      <c r="A12" s="3" t="inlineStr">
        <is>
          <t>Consenso de los siete</t>
        </is>
      </c>
      <c r="B12" s="12" t="n">
        <v>0.299</v>
      </c>
      <c r="C12" s="12" t="n">
        <v>0.534</v>
      </c>
      <c r="D12" s="11" t="n">
        <v>0.2007033459976273</v>
      </c>
      <c r="E12" s="11" t="n">
        <v>0.1123694983303237</v>
      </c>
      <c r="F12" s="11" t="n">
        <v>0.07337394082447568</v>
      </c>
      <c r="G12" s="11" t="n">
        <v>0.1273294051731516</v>
      </c>
      <c r="H12" s="11" t="n">
        <v>0.05665648969276404</v>
      </c>
      <c r="I12" s="11" t="n">
        <v>0.75</v>
      </c>
      <c r="J12" s="9" t="n">
        <v>0.08735929329695732</v>
      </c>
      <c r="K12" s="9" t="n">
        <v>0.08819330926119424</v>
      </c>
      <c r="L12" s="10" t="n">
        <v>-8</v>
      </c>
    </row>
    <row r="15">
      <c r="A15" s="6" t="inlineStr">
        <is>
          <t>Realty Income Corporation (O)</t>
        </is>
      </c>
    </row>
    <row r="16">
      <c r="A16" s="2" t="inlineStr">
        <is>
          <t>Método</t>
        </is>
      </c>
      <c r="B16" s="2" t="inlineStr">
        <is>
          <t>Correlación 1 año</t>
        </is>
      </c>
      <c r="C16" s="2" t="inlineStr">
        <is>
          <t>Correlación 5 años</t>
        </is>
      </c>
      <c r="D16" s="2" t="inlineStr">
        <is>
          <t>5 años si barato</t>
        </is>
      </c>
      <c r="E16" s="2" t="inlineStr">
        <is>
          <t>5 años si medio</t>
        </is>
      </c>
      <c r="F16" s="2" t="inlineStr">
        <is>
          <t>5 años si caro</t>
        </is>
      </c>
      <c r="G16" s="2" t="inlineStr">
        <is>
          <t>Brecha barato − caro</t>
        </is>
      </c>
      <c r="H16" s="2" t="inlineStr">
        <is>
          <t>Caro contra el efectivo</t>
        </is>
      </c>
      <c r="I16" s="2" t="inlineStr">
        <is>
          <t>Veces que caro le ganó al efectivo</t>
        </is>
      </c>
      <c r="J16" s="2" t="inlineStr">
        <is>
          <t>TIR con el método (solo ese papel)</t>
        </is>
      </c>
      <c r="K16" s="2" t="inlineStr">
        <is>
          <t>TIR sin reglas</t>
        </is>
      </c>
      <c r="L16" s="2" t="inlineStr">
        <is>
          <t>Ventaja</t>
        </is>
      </c>
    </row>
    <row r="17">
      <c r="A17" s="3" t="inlineStr">
        <is>
          <t>Múltiplo P/FFO</t>
        </is>
      </c>
      <c r="B17" s="12" t="n">
        <v>0.379</v>
      </c>
      <c r="C17" s="12" t="n">
        <v>0.456</v>
      </c>
      <c r="D17" s="11" t="n">
        <v>0.2233544533442606</v>
      </c>
      <c r="E17" s="11" t="n">
        <v>0.1692414294341726</v>
      </c>
      <c r="F17" s="11" t="n">
        <v>0.1024585013679744</v>
      </c>
      <c r="G17" s="11" t="n">
        <v>0.1208959519762862</v>
      </c>
      <c r="H17" s="11" t="n">
        <v>0.09266366888195132</v>
      </c>
      <c r="I17" s="11" t="n">
        <v>0.9130434782608695</v>
      </c>
      <c r="J17" s="9" t="n">
        <v>0.09489453262394071</v>
      </c>
      <c r="K17" s="9" t="n">
        <v>0.09835061340719792</v>
      </c>
      <c r="L17" s="10" t="n">
        <v>-35</v>
      </c>
    </row>
    <row r="18">
      <c r="A18" s="3" t="inlineStr">
        <is>
          <t>Prima sobre el Treasury</t>
        </is>
      </c>
      <c r="B18" s="12" t="n">
        <v>0.386</v>
      </c>
      <c r="C18" s="12" t="n">
        <v>0.277</v>
      </c>
      <c r="D18" s="11" t="n">
        <v>0.1765464997541815</v>
      </c>
      <c r="E18" s="11" t="n">
        <v>0.1177675639649426</v>
      </c>
      <c r="F18" s="11" t="n">
        <v>0.1091919752547971</v>
      </c>
      <c r="G18" s="11" t="n">
        <v>0.06735452449938439</v>
      </c>
      <c r="H18" s="11" t="n">
        <v>0.09397174190661828</v>
      </c>
      <c r="I18" s="11" t="n">
        <v>0.8666666666666667</v>
      </c>
      <c r="J18" s="9" t="n">
        <v>0.09668466866677665</v>
      </c>
      <c r="K18" s="9" t="n">
        <v>0.09835061340719792</v>
      </c>
      <c r="L18" s="10" t="n">
        <v>-17</v>
      </c>
    </row>
    <row r="19">
      <c r="A19" s="3" t="inlineStr">
        <is>
          <t>Prima sobre la tasa real</t>
        </is>
      </c>
      <c r="B19" s="12" t="n">
        <v>0.057</v>
      </c>
      <c r="C19" s="12" t="n">
        <v>0.296</v>
      </c>
      <c r="D19" s="11" t="n">
        <v>0.1765464997541815</v>
      </c>
      <c r="E19" s="11" t="n">
        <v>0.1036200437829939</v>
      </c>
      <c r="F19" s="11" t="n">
        <v>0.1024585013679744</v>
      </c>
      <c r="G19" s="11" t="n">
        <v>0.07408799838620705</v>
      </c>
      <c r="H19" s="11" t="n">
        <v>0.09266366888195132</v>
      </c>
      <c r="I19" s="11" t="n">
        <v>0.9032258064516129</v>
      </c>
      <c r="J19" s="9" t="n">
        <v>0.09519388156079361</v>
      </c>
      <c r="K19" s="9" t="n">
        <v>0.09835061340719792</v>
      </c>
      <c r="L19" s="10" t="n">
        <v>-32</v>
      </c>
    </row>
    <row r="20">
      <c r="A20" s="3" t="inlineStr">
        <is>
          <t>Prima sobre bonos Baa</t>
        </is>
      </c>
      <c r="B20" s="12" t="n">
        <v>0.331</v>
      </c>
      <c r="C20" s="12" t="n">
        <v>0.004</v>
      </c>
      <c r="D20" s="11" t="n">
        <v>0.07983902195801096</v>
      </c>
      <c r="E20" s="11" t="n">
        <v>0.1146350901652313</v>
      </c>
      <c r="F20" s="11" t="n">
        <v>0.119094324770292</v>
      </c>
      <c r="G20" s="11" t="n">
        <v>-0.03925530281228107</v>
      </c>
      <c r="H20" s="11" t="n">
        <v>0.1112744735101194</v>
      </c>
      <c r="I20" s="11" t="n">
        <v>0.9534883720930233</v>
      </c>
      <c r="J20" s="9" t="n">
        <v>0.09573698058130892</v>
      </c>
      <c r="K20" s="9" t="n">
        <v>0.09835061340719792</v>
      </c>
      <c r="L20" s="10" t="n">
        <v>-26</v>
      </c>
    </row>
    <row r="21">
      <c r="A21" s="3" t="inlineStr">
        <is>
          <t>Yield de dividendo</t>
        </is>
      </c>
      <c r="B21" s="12" t="n">
        <v>0.26</v>
      </c>
      <c r="C21" s="12" t="n">
        <v>0.608</v>
      </c>
      <c r="D21" s="11" t="n">
        <v>0.2233544533442606</v>
      </c>
      <c r="E21" s="11" t="n">
        <v>0.1715639118839063</v>
      </c>
      <c r="F21" s="11" t="n">
        <v>0.107531335840407</v>
      </c>
      <c r="G21" s="11" t="n">
        <v>0.1158231175038537</v>
      </c>
      <c r="H21" s="11" t="n">
        <v>0.09397174190661828</v>
      </c>
      <c r="I21" s="11" t="n">
        <v>0.918918918918919</v>
      </c>
      <c r="J21" s="9" t="n">
        <v>0.09509280434282995</v>
      </c>
      <c r="K21" s="9" t="n">
        <v>0.09835061340719792</v>
      </c>
      <c r="L21" s="10" t="n">
        <v>-33</v>
      </c>
    </row>
    <row r="22">
      <c r="A22" s="3" t="inlineStr">
        <is>
          <t>Dividendo sobre el Treasury</t>
        </is>
      </c>
      <c r="B22" s="12" t="n">
        <v>0.344</v>
      </c>
      <c r="C22" s="12" t="n">
        <v>0.45</v>
      </c>
      <c r="D22" s="11" t="n">
        <v>0.180765283213831</v>
      </c>
      <c r="E22" s="11" t="n">
        <v>0.1131383339207104</v>
      </c>
      <c r="F22" s="11" t="n">
        <v>0.1165291930619941</v>
      </c>
      <c r="G22" s="11" t="n">
        <v>0.06423609015183696</v>
      </c>
      <c r="H22" s="11" t="n">
        <v>0.09266366888195132</v>
      </c>
      <c r="I22" s="11" t="n">
        <v>0.8695652173913043</v>
      </c>
      <c r="J22" s="9" t="n">
        <v>0.09765868358033029</v>
      </c>
      <c r="K22" s="9" t="n">
        <v>0.09835061340719792</v>
      </c>
      <c r="L22" s="10" t="n">
        <v>-7</v>
      </c>
    </row>
    <row r="23">
      <c r="A23" s="3" t="inlineStr">
        <is>
          <t>Múltiplo contra sus últimos 5 años</t>
        </is>
      </c>
      <c r="B23" s="12" t="n">
        <v>0.221</v>
      </c>
      <c r="C23" s="12" t="n">
        <v>0.295</v>
      </c>
      <c r="D23" s="11" t="n">
        <v>0.1318259522473779</v>
      </c>
      <c r="E23" s="11" t="n">
        <v>0.1024585013679744</v>
      </c>
      <c r="F23" s="11" t="n">
        <v>0.09019222107126668</v>
      </c>
      <c r="G23" s="11" t="n">
        <v>0.04163373117611124</v>
      </c>
      <c r="H23" s="11" t="n">
        <v>0.06800223237394221</v>
      </c>
      <c r="I23" s="11" t="n">
        <v>0.9</v>
      </c>
      <c r="J23" s="9" t="n">
        <v>0.09815810320901677</v>
      </c>
      <c r="K23" s="9" t="n">
        <v>0.09835061340719792</v>
      </c>
      <c r="L23" s="10" t="n">
        <v>-2</v>
      </c>
    </row>
    <row r="24">
      <c r="A24" s="3" t="inlineStr">
        <is>
          <t>Consenso de los siete</t>
        </is>
      </c>
      <c r="B24" s="12" t="n">
        <v>0.372</v>
      </c>
      <c r="C24" s="12" t="n">
        <v>0.363</v>
      </c>
      <c r="D24" s="11" t="n">
        <v>0.1992984965204622</v>
      </c>
      <c r="E24" s="11" t="n">
        <v>0.1288768565946476</v>
      </c>
      <c r="F24" s="11" t="n">
        <v>0.0939531698639775</v>
      </c>
      <c r="G24" s="11" t="n">
        <v>0.1053453266564847</v>
      </c>
      <c r="H24" s="11" t="n">
        <v>0.08065124129693246</v>
      </c>
      <c r="I24" s="11" t="n">
        <v>0.8461538461538461</v>
      </c>
      <c r="J24" s="9" t="n">
        <v>0.0962532741061365</v>
      </c>
      <c r="K24" s="9" t="n">
        <v>0.09835061340719792</v>
      </c>
      <c r="L24" s="10" t="n">
        <v>-21</v>
      </c>
    </row>
    <row r="27">
      <c r="A27" s="6" t="inlineStr">
        <is>
          <t>W. P. Carey Inc. (WPC)</t>
        </is>
      </c>
    </row>
    <row r="28">
      <c r="A28" s="2" t="inlineStr">
        <is>
          <t>Método</t>
        </is>
      </c>
      <c r="B28" s="2" t="inlineStr">
        <is>
          <t>Correlación 1 año</t>
        </is>
      </c>
      <c r="C28" s="2" t="inlineStr">
        <is>
          <t>Correlación 5 años</t>
        </is>
      </c>
      <c r="D28" s="2" t="inlineStr">
        <is>
          <t>5 años si barato</t>
        </is>
      </c>
      <c r="E28" s="2" t="inlineStr">
        <is>
          <t>5 años si medio</t>
        </is>
      </c>
      <c r="F28" s="2" t="inlineStr">
        <is>
          <t>5 años si caro</t>
        </is>
      </c>
      <c r="G28" s="2" t="inlineStr">
        <is>
          <t>Brecha barato − caro</t>
        </is>
      </c>
      <c r="H28" s="2" t="inlineStr">
        <is>
          <t>Caro contra el efectivo</t>
        </is>
      </c>
      <c r="I28" s="2" t="inlineStr">
        <is>
          <t>Veces que caro le ganó al efectivo</t>
        </is>
      </c>
      <c r="J28" s="2" t="inlineStr">
        <is>
          <t>TIR con el método (solo ese papel)</t>
        </is>
      </c>
      <c r="K28" s="2" t="inlineStr">
        <is>
          <t>TIR sin reglas</t>
        </is>
      </c>
      <c r="L28" s="2" t="inlineStr">
        <is>
          <t>Ventaja</t>
        </is>
      </c>
    </row>
    <row r="29">
      <c r="A29" s="3" t="inlineStr">
        <is>
          <t>Múltiplo P/FFO</t>
        </is>
      </c>
      <c r="B29" s="12" t="n">
        <v>0.265</v>
      </c>
      <c r="C29" s="12" t="n">
        <v>0.5659999999999999</v>
      </c>
      <c r="D29" s="11" t="n">
        <v>0.2427325161836474</v>
      </c>
      <c r="E29" s="11" t="n">
        <v>0.154651590693092</v>
      </c>
      <c r="F29" s="11" t="n">
        <v>0.06322499480565114</v>
      </c>
      <c r="G29" s="11" t="n">
        <v>0.1795075213779963</v>
      </c>
      <c r="H29" s="11" t="n">
        <v>0.0552527195458925</v>
      </c>
      <c r="I29" s="11" t="n">
        <v>0.8085106382978723</v>
      </c>
      <c r="J29" s="9" t="n">
        <v>0.09009289358248189</v>
      </c>
      <c r="K29" s="9" t="n">
        <v>0.09342356523306358</v>
      </c>
      <c r="L29" s="10" t="n">
        <v>-33</v>
      </c>
    </row>
    <row r="30">
      <c r="A30" s="3" t="inlineStr">
        <is>
          <t>Prima sobre el Treasury</t>
        </is>
      </c>
      <c r="B30" s="12" t="n">
        <v>0.371</v>
      </c>
      <c r="C30" s="12" t="n">
        <v>0.505</v>
      </c>
      <c r="D30" s="11" t="n">
        <v>0.1628910457487842</v>
      </c>
      <c r="E30" s="11" t="n">
        <v>0.0906233096855279</v>
      </c>
      <c r="F30" s="11" t="n">
        <v>0.04863557512244077</v>
      </c>
      <c r="G30" s="11" t="n">
        <v>0.1142554706263434</v>
      </c>
      <c r="H30" s="11" t="n">
        <v>0.04433782892578098</v>
      </c>
      <c r="I30" s="11" t="n">
        <v>0.64</v>
      </c>
      <c r="J30" s="9" t="n">
        <v>0.09287153834586576</v>
      </c>
      <c r="K30" s="9" t="n">
        <v>0.09342356523306358</v>
      </c>
      <c r="L30" s="10" t="n">
        <v>-6</v>
      </c>
    </row>
    <row r="31">
      <c r="A31" s="3" t="inlineStr">
        <is>
          <t>Prima sobre la tasa real</t>
        </is>
      </c>
      <c r="B31" s="12" t="n">
        <v>0.134</v>
      </c>
      <c r="C31" s="12" t="n">
        <v>0.459</v>
      </c>
      <c r="D31" s="11" t="n">
        <v>0.1399702571146731</v>
      </c>
      <c r="E31" s="11" t="n">
        <v>0.09973810431994667</v>
      </c>
      <c r="F31" s="11" t="n">
        <v>0.06322499480565114</v>
      </c>
      <c r="G31" s="11" t="n">
        <v>0.07674526230902201</v>
      </c>
      <c r="H31" s="11" t="n">
        <v>0.0552527195458925</v>
      </c>
      <c r="I31" s="11" t="n">
        <v>0.7391304347826086</v>
      </c>
      <c r="J31" s="9" t="n">
        <v>0.09223991753197418</v>
      </c>
      <c r="K31" s="9" t="n">
        <v>0.09342356523306358</v>
      </c>
      <c r="L31" s="10" t="n">
        <v>-12</v>
      </c>
    </row>
    <row r="32">
      <c r="A32" s="3" t="inlineStr">
        <is>
          <t>Prima sobre bonos Baa</t>
        </is>
      </c>
      <c r="B32" s="12" t="n">
        <v>0.355</v>
      </c>
      <c r="C32" s="12" t="n">
        <v>0.481</v>
      </c>
      <c r="D32" s="11" t="n">
        <v>0.1276215546511598</v>
      </c>
      <c r="E32" s="11" t="n">
        <v>0.07480086191931146</v>
      </c>
      <c r="F32" s="11" t="n">
        <v>0.04950584782210088</v>
      </c>
      <c r="G32" s="11" t="n">
        <v>0.07811570682905888</v>
      </c>
      <c r="H32" s="11" t="n">
        <v>0.0460140867839145</v>
      </c>
      <c r="I32" s="11" t="n">
        <v>0.6666666666666666</v>
      </c>
      <c r="J32" s="9" t="n">
        <v>0.094189422785333</v>
      </c>
      <c r="K32" s="9" t="n">
        <v>0.09342356523306358</v>
      </c>
      <c r="L32" s="10" t="n">
        <v>8</v>
      </c>
    </row>
    <row r="33">
      <c r="A33" s="3" t="inlineStr">
        <is>
          <t>Yield de dividendo</t>
        </is>
      </c>
      <c r="B33" s="12" t="n">
        <v>0.25</v>
      </c>
      <c r="C33" s="12" t="n">
        <v>0.326</v>
      </c>
      <c r="D33" s="11" t="n">
        <v>0.2751349343232992</v>
      </c>
      <c r="E33" s="11" t="n">
        <v>0.1044508857884119</v>
      </c>
      <c r="F33" s="11" t="n">
        <v>0.08338530605904537</v>
      </c>
      <c r="G33" s="11" t="n">
        <v>0.1917496282642538</v>
      </c>
      <c r="H33" s="11" t="n">
        <v>0.06713862437257989</v>
      </c>
      <c r="I33" s="11" t="n">
        <v>0.7857142857142857</v>
      </c>
      <c r="J33" s="9" t="n">
        <v>0.09063268880967668</v>
      </c>
      <c r="K33" s="9" t="n">
        <v>0.09342356523306358</v>
      </c>
      <c r="L33" s="10" t="n">
        <v>-28</v>
      </c>
    </row>
    <row r="34">
      <c r="A34" s="3" t="inlineStr">
        <is>
          <t>Dividendo sobre el Treasury</t>
        </is>
      </c>
      <c r="B34" s="12" t="n">
        <v>0.312</v>
      </c>
      <c r="C34" s="12" t="n">
        <v>0.15</v>
      </c>
      <c r="D34" s="11" t="n">
        <v>0.0906233096855279</v>
      </c>
      <c r="E34" s="11" t="n">
        <v>0.09912343738465035</v>
      </c>
      <c r="F34" s="11" t="n">
        <v>0.1183769921652</v>
      </c>
      <c r="G34" s="11" t="n">
        <v>-0.02775368247967214</v>
      </c>
      <c r="H34" s="11" t="n">
        <v>0.09673123544873907</v>
      </c>
      <c r="I34" s="11" t="n">
        <v>0.7368421052631579</v>
      </c>
      <c r="J34" s="9" t="n">
        <v>0.09207098063956883</v>
      </c>
      <c r="K34" s="9" t="n">
        <v>0.09342356523306358</v>
      </c>
      <c r="L34" s="10" t="n">
        <v>-14</v>
      </c>
    </row>
    <row r="35">
      <c r="A35" s="3" t="inlineStr">
        <is>
          <t>Múltiplo contra sus últimos 5 años</t>
        </is>
      </c>
      <c r="B35" s="12" t="n">
        <v>0.051</v>
      </c>
      <c r="C35" s="12" t="n">
        <v>0.304</v>
      </c>
      <c r="D35" s="11" t="n">
        <v>0.1113228923369868</v>
      </c>
      <c r="E35" s="11" t="n">
        <v>0.1130414543810091</v>
      </c>
      <c r="F35" s="11" t="n">
        <v>0.07704271024712339</v>
      </c>
      <c r="G35" s="11" t="n">
        <v>0.03428018208986339</v>
      </c>
      <c r="H35" s="11" t="n">
        <v>0.06854868351877696</v>
      </c>
      <c r="I35" s="11" t="n">
        <v>0.8095238095238095</v>
      </c>
      <c r="J35" s="9" t="n">
        <v>0.09188183064784318</v>
      </c>
      <c r="K35" s="9" t="n">
        <v>0.09342356523306358</v>
      </c>
      <c r="L35" s="10" t="n">
        <v>-15</v>
      </c>
    </row>
    <row r="36">
      <c r="A36" s="3" t="inlineStr">
        <is>
          <t>Consenso de los siete</t>
        </is>
      </c>
      <c r="B36" s="12" t="n">
        <v>0.375</v>
      </c>
      <c r="C36" s="12" t="n">
        <v>0.525</v>
      </c>
      <c r="D36" s="11" t="n">
        <v>0.2401140939860018</v>
      </c>
      <c r="E36" s="11" t="n">
        <v>0.09574678281541438</v>
      </c>
      <c r="F36" s="11" t="n">
        <v>0.04249346005678323</v>
      </c>
      <c r="G36" s="11" t="n">
        <v>0.1976206339292186</v>
      </c>
      <c r="H36" s="11" t="n">
        <v>0.02933758131104613</v>
      </c>
      <c r="I36" s="11" t="n">
        <v>0.5714285714285714</v>
      </c>
      <c r="J36" s="9" t="n">
        <v>0.09225190905969777</v>
      </c>
      <c r="K36" s="9" t="n">
        <v>0.09342356523306358</v>
      </c>
      <c r="L36" s="10" t="n">
        <v>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2" t="inlineStr">
        <is>
          <t>Trimestre</t>
        </is>
      </c>
      <c r="B1" s="2" t="inlineStr">
        <is>
          <t>Fecha</t>
        </is>
      </c>
      <c r="C1" s="2" t="inlineStr">
        <is>
          <t>Precio</t>
        </is>
      </c>
      <c r="D1" s="2" t="inlineStr">
        <is>
          <t>Flujo por acción, 12 meses</t>
        </is>
      </c>
      <c r="E1" s="2" t="inlineStr">
        <is>
          <t>Dividendo anualizado</t>
        </is>
      </c>
      <c r="F1" s="2" t="inlineStr">
        <is>
          <t>Treasury 10 años</t>
        </is>
      </c>
      <c r="G1" s="2" t="inlineStr">
        <is>
          <t>Inflación 12 meses</t>
        </is>
      </c>
      <c r="H1" s="2" t="inlineStr">
        <is>
          <t>Bonos Baa</t>
        </is>
      </c>
      <c r="I1" s="2" t="inlineStr">
        <is>
          <t>Múltiplo precio/flujo</t>
        </is>
      </c>
      <c r="J1" s="2" t="inlineStr">
        <is>
          <t>Yield de flujo</t>
        </is>
      </c>
      <c r="K1" s="2" t="inlineStr">
        <is>
          <t>Yield de dividendo</t>
        </is>
      </c>
      <c r="L1" s="2" t="inlineStr">
        <is>
          <t>Tasa real</t>
        </is>
      </c>
      <c r="M1" s="2" t="inlineStr">
        <is>
          <t>Prima sobre el Treasury</t>
        </is>
      </c>
      <c r="N1" s="2" t="inlineStr">
        <is>
          <t>Prima sobre la tasa real</t>
        </is>
      </c>
      <c r="O1" s="2" t="inlineStr">
        <is>
          <t>Prima sobre bonos Baa</t>
        </is>
      </c>
      <c r="P1" s="2" t="inlineStr">
        <is>
          <t>Dividendo sobre el Treasury</t>
        </is>
      </c>
      <c r="Q1" s="2" t="inlineStr">
        <is>
          <t>Percentil: Múltiplo P/FFO</t>
        </is>
      </c>
      <c r="R1" s="2" t="inlineStr">
        <is>
          <t>Percentil: Prima sobre el Treasury</t>
        </is>
      </c>
      <c r="S1" s="2" t="inlineStr">
        <is>
          <t>Percentil: Prima sobre la tasa real</t>
        </is>
      </c>
      <c r="T1" s="2" t="inlineStr">
        <is>
          <t>Percentil: Prima sobre bonos Baa</t>
        </is>
      </c>
      <c r="U1" s="2" t="inlineStr">
        <is>
          <t>Percentil: Yield de dividendo</t>
        </is>
      </c>
      <c r="V1" s="2" t="inlineStr">
        <is>
          <t>Percentil: Dividendo sobre el Treasury</t>
        </is>
      </c>
      <c r="W1" s="2" t="inlineStr">
        <is>
          <t>Percentil: Múltiplo contra sus últimos 5 años</t>
        </is>
      </c>
      <c r="X1" s="2" t="inlineStr">
        <is>
          <t>Percentil: Consenso de los siete</t>
        </is>
      </c>
      <c r="Y1" s="2" t="inlineStr">
        <is>
          <t>Señal del consenso</t>
        </is>
      </c>
      <c r="Z1" s="2" t="inlineStr">
        <is>
          <t>Retorno anual, 1 año después</t>
        </is>
      </c>
      <c r="AA1" s="2" t="inlineStr">
        <is>
          <t>Retorno anual, 5 años después</t>
        </is>
      </c>
    </row>
    <row r="2">
      <c r="A2" s="3" t="inlineStr">
        <is>
          <t>1992-T1</t>
        </is>
      </c>
      <c r="B2" s="13" t="n">
        <v>33694</v>
      </c>
      <c r="C2" s="14" t="n">
        <v>9.875</v>
      </c>
      <c r="E2" s="14" t="n">
        <v>1.08</v>
      </c>
      <c r="F2" s="5" t="n">
        <v>0.07539999999999999</v>
      </c>
      <c r="G2" s="5" t="n">
        <v>0.02818991097922829</v>
      </c>
      <c r="H2" s="5" t="n">
        <v>0.0922</v>
      </c>
      <c r="I2" s="15">
        <f>IFERROR(C2/D2,"")</f>
        <v/>
      </c>
      <c r="J2" s="9">
        <f>IFERROR(D2/C2,"")</f>
        <v/>
      </c>
      <c r="K2" s="9">
        <f>IFERROR(E2/C2,"")</f>
        <v/>
      </c>
      <c r="L2" s="9">
        <f>IFERROR(F2-G2,"")</f>
        <v/>
      </c>
      <c r="M2" s="9">
        <f>IFERROR(J2-F2,"")</f>
        <v/>
      </c>
      <c r="N2" s="9">
        <f>IFERROR(J2-L2,"")</f>
        <v/>
      </c>
      <c r="O2" s="9">
        <f>IFERROR(J2-H2,"")</f>
        <v/>
      </c>
      <c r="P2" s="9">
        <f>IFERROR(K2-F2,"")</f>
        <v/>
      </c>
      <c r="Q2" s="7" t="n"/>
      <c r="R2" s="7" t="n"/>
      <c r="S2" s="7" t="n"/>
      <c r="T2" s="7" t="n"/>
      <c r="U2" s="7" t="n"/>
      <c r="V2" s="7" t="n"/>
      <c r="W2" s="7" t="n"/>
      <c r="X2" s="7" t="n"/>
      <c r="Y2" s="3">
        <f>IF(X2="","",IF(X2&gt;='Léeme'!$B$6,"barato",IF(X2&lt;'Léeme'!$B$7,"caro","medio")))</f>
        <v/>
      </c>
      <c r="Z2" s="11" t="n">
        <v>0.5178513954847555</v>
      </c>
      <c r="AA2" s="11" t="n">
        <v>0.163044168656421</v>
      </c>
    </row>
    <row r="3">
      <c r="A3" s="3" t="inlineStr">
        <is>
          <t>1992-T2</t>
        </is>
      </c>
      <c r="B3" s="13" t="n">
        <v>33785</v>
      </c>
      <c r="C3" s="14" t="n">
        <v>10</v>
      </c>
      <c r="E3" s="14" t="n">
        <v>1.08</v>
      </c>
      <c r="F3" s="5" t="n">
        <v>0.07139999999999999</v>
      </c>
      <c r="G3" s="5" t="n">
        <v>0.03023598820059004</v>
      </c>
      <c r="H3" s="5" t="n">
        <v>0.09</v>
      </c>
      <c r="I3" s="15">
        <f>IFERROR(C3/D3,"")</f>
        <v/>
      </c>
      <c r="J3" s="9">
        <f>IFERROR(D3/C3,"")</f>
        <v/>
      </c>
      <c r="K3" s="9">
        <f>IFERROR(E3/C3,"")</f>
        <v/>
      </c>
      <c r="L3" s="9">
        <f>IFERROR(F3-G3,"")</f>
        <v/>
      </c>
      <c r="M3" s="9">
        <f>IFERROR(J3-F3,"")</f>
        <v/>
      </c>
      <c r="N3" s="9">
        <f>IFERROR(J3-L3,"")</f>
        <v/>
      </c>
      <c r="O3" s="9">
        <f>IFERROR(J3-H3,"")</f>
        <v/>
      </c>
      <c r="P3" s="9">
        <f>IFERROR(K3-F3,"")</f>
        <v/>
      </c>
      <c r="Q3" s="7" t="n"/>
      <c r="R3" s="7" t="n"/>
      <c r="S3" s="7" t="n"/>
      <c r="T3" s="7" t="n"/>
      <c r="U3" s="7" t="n"/>
      <c r="V3" s="7" t="n"/>
      <c r="W3" s="7" t="n"/>
      <c r="X3" s="7" t="n"/>
      <c r="Y3" s="3">
        <f>IF(X3="","",IF(X3&gt;='Léeme'!$B$6,"barato",IF(X3&lt;'Léeme'!$B$7,"caro","medio")))</f>
        <v/>
      </c>
      <c r="Z3" s="11" t="n">
        <v>0.4511221731582744</v>
      </c>
      <c r="AA3" s="11" t="n">
        <v>0.1677368753564303</v>
      </c>
    </row>
    <row r="4">
      <c r="A4" s="3" t="inlineStr">
        <is>
          <t>1992-T3</t>
        </is>
      </c>
      <c r="B4" s="13" t="n">
        <v>33877</v>
      </c>
      <c r="C4" s="14" t="n">
        <v>11.625</v>
      </c>
      <c r="E4" s="14" t="n">
        <v>1.08</v>
      </c>
      <c r="F4" s="5" t="n">
        <v>0.06370000000000001</v>
      </c>
      <c r="G4" s="5" t="n">
        <v>0.03074670571010252</v>
      </c>
      <c r="H4" s="5" t="n">
        <v>0.08650000000000001</v>
      </c>
      <c r="I4" s="15">
        <f>IFERROR(C4/D4,"")</f>
        <v/>
      </c>
      <c r="J4" s="9">
        <f>IFERROR(D4/C4,"")</f>
        <v/>
      </c>
      <c r="K4" s="9">
        <f>IFERROR(E4/C4,"")</f>
        <v/>
      </c>
      <c r="L4" s="9">
        <f>IFERROR(F4-G4,"")</f>
        <v/>
      </c>
      <c r="M4" s="9">
        <f>IFERROR(J4-F4,"")</f>
        <v/>
      </c>
      <c r="N4" s="9">
        <f>IFERROR(J4-L4,"")</f>
        <v/>
      </c>
      <c r="O4" s="9">
        <f>IFERROR(J4-H4,"")</f>
        <v/>
      </c>
      <c r="P4" s="9">
        <f>IFERROR(K4-F4,"")</f>
        <v/>
      </c>
      <c r="Q4" s="7" t="n"/>
      <c r="R4" s="7" t="n"/>
      <c r="S4" s="7" t="n"/>
      <c r="T4" s="7" t="n"/>
      <c r="U4" s="7" t="n"/>
      <c r="V4" s="7" t="n"/>
      <c r="W4" s="7" t="n"/>
      <c r="X4" s="7" t="n"/>
      <c r="Y4" s="3">
        <f>IF(X4="","",IF(X4&gt;='Léeme'!$B$6,"barato",IF(X4&lt;'Léeme'!$B$7,"caro","medio")))</f>
        <v/>
      </c>
      <c r="Z4" s="11" t="n">
        <v>0.2890257762014379</v>
      </c>
      <c r="AA4" s="11" t="n">
        <v>0.1410013637556924</v>
      </c>
    </row>
    <row r="5">
      <c r="A5" s="3" t="inlineStr">
        <is>
          <t>1992-T4</t>
        </is>
      </c>
      <c r="B5" s="13" t="n">
        <v>33969</v>
      </c>
      <c r="C5" s="14" t="n">
        <v>12.125</v>
      </c>
      <c r="E5" s="14" t="n">
        <v>1.08</v>
      </c>
      <c r="F5" s="5" t="n">
        <v>0.067</v>
      </c>
      <c r="G5" s="5" t="n">
        <v>0.0312046444121914</v>
      </c>
      <c r="H5" s="5" t="n">
        <v>0.08740000000000001</v>
      </c>
      <c r="I5" s="15">
        <f>IFERROR(C5/D5,"")</f>
        <v/>
      </c>
      <c r="J5" s="9">
        <f>IFERROR(D5/C5,"")</f>
        <v/>
      </c>
      <c r="K5" s="9">
        <f>IFERROR(E5/C5,"")</f>
        <v/>
      </c>
      <c r="L5" s="9">
        <f>IFERROR(F5-G5,"")</f>
        <v/>
      </c>
      <c r="M5" s="9">
        <f>IFERROR(J5-F5,"")</f>
        <v/>
      </c>
      <c r="N5" s="9">
        <f>IFERROR(J5-L5,"")</f>
        <v/>
      </c>
      <c r="O5" s="9">
        <f>IFERROR(J5-H5,"")</f>
        <v/>
      </c>
      <c r="P5" s="9">
        <f>IFERROR(K5-F5,"")</f>
        <v/>
      </c>
      <c r="Q5" s="7" t="n"/>
      <c r="R5" s="7" t="n"/>
      <c r="S5" s="7" t="n"/>
      <c r="T5" s="7" t="n"/>
      <c r="U5" s="7" t="n"/>
      <c r="V5" s="7" t="n"/>
      <c r="W5" s="7" t="n"/>
      <c r="X5" s="7" t="n"/>
      <c r="Y5" s="3">
        <f>IF(X5="","",IF(X5&gt;='Léeme'!$B$6,"barato",IF(X5&lt;'Léeme'!$B$7,"caro","medio")))</f>
        <v/>
      </c>
      <c r="Z5" s="11" t="n">
        <v>0.2113626935393147</v>
      </c>
      <c r="AA5" s="11" t="n">
        <v>0.1569407378470429</v>
      </c>
    </row>
    <row r="6">
      <c r="A6" s="3" t="inlineStr">
        <is>
          <t>1993-T1</t>
        </is>
      </c>
      <c r="B6" s="13" t="n">
        <v>34059</v>
      </c>
      <c r="C6" s="14" t="n">
        <v>13.875</v>
      </c>
      <c r="D6" s="14" t="n">
        <v>1.15</v>
      </c>
      <c r="E6" s="14" t="n">
        <v>1.08</v>
      </c>
      <c r="F6" s="5" t="n">
        <v>0.0603</v>
      </c>
      <c r="G6" s="5" t="n">
        <v>0.03246753246753253</v>
      </c>
      <c r="H6" s="5" t="n">
        <v>0.08199999999999999</v>
      </c>
      <c r="I6" s="15">
        <f>IFERROR(C6/D6,"")</f>
        <v/>
      </c>
      <c r="J6" s="9">
        <f>IFERROR(D6/C6,"")</f>
        <v/>
      </c>
      <c r="K6" s="9">
        <f>IFERROR(E6/C6,"")</f>
        <v/>
      </c>
      <c r="L6" s="9">
        <f>IFERROR(F6-G6,"")</f>
        <v/>
      </c>
      <c r="M6" s="9">
        <f>IFERROR(J6-F6,"")</f>
        <v/>
      </c>
      <c r="N6" s="9">
        <f>IFERROR(J6-L6,"")</f>
        <v/>
      </c>
      <c r="O6" s="9">
        <f>IFERROR(J6-H6,"")</f>
        <v/>
      </c>
      <c r="P6" s="9">
        <f>IFERROR(K6-F6,"")</f>
        <v/>
      </c>
      <c r="Q6" s="7" t="n"/>
      <c r="R6" s="7" t="n"/>
      <c r="S6" s="7" t="n"/>
      <c r="T6" s="7" t="n"/>
      <c r="U6" s="7" t="n"/>
      <c r="V6" s="7" t="n"/>
      <c r="W6" s="7" t="n"/>
      <c r="X6" s="7" t="n"/>
      <c r="Y6" s="3">
        <f>IF(X6="","",IF(X6&gt;='Léeme'!$B$6,"barato",IF(X6&lt;'Léeme'!$B$7,"caro","medio")))</f>
        <v/>
      </c>
      <c r="Z6" s="11" t="n">
        <v>0.0669501138409474</v>
      </c>
      <c r="AA6" s="11" t="n">
        <v>0.1221279665077666</v>
      </c>
    </row>
    <row r="7">
      <c r="A7" s="3" t="inlineStr">
        <is>
          <t>1993-T2</t>
        </is>
      </c>
      <c r="B7" s="13" t="n">
        <v>34150</v>
      </c>
      <c r="C7" s="14" t="n">
        <v>13.5</v>
      </c>
      <c r="D7" s="14" t="n">
        <v>1.15</v>
      </c>
      <c r="E7" s="14" t="n">
        <v>1.08</v>
      </c>
      <c r="F7" s="5" t="n">
        <v>0.058</v>
      </c>
      <c r="G7" s="5" t="n">
        <v>0.0322118826055835</v>
      </c>
      <c r="H7" s="5" t="n">
        <v>0.0795</v>
      </c>
      <c r="I7" s="15">
        <f>IFERROR(C7/D7,"")</f>
        <v/>
      </c>
      <c r="J7" s="9">
        <f>IFERROR(D7/C7,"")</f>
        <v/>
      </c>
      <c r="K7" s="9">
        <f>IFERROR(E7/C7,"")</f>
        <v/>
      </c>
      <c r="L7" s="9">
        <f>IFERROR(F7-G7,"")</f>
        <v/>
      </c>
      <c r="M7" s="9">
        <f>IFERROR(J7-F7,"")</f>
        <v/>
      </c>
      <c r="N7" s="9">
        <f>IFERROR(J7-L7,"")</f>
        <v/>
      </c>
      <c r="O7" s="9">
        <f>IFERROR(J7-H7,"")</f>
        <v/>
      </c>
      <c r="P7" s="9">
        <f>IFERROR(K7-F7,"")</f>
        <v/>
      </c>
      <c r="Q7" s="7" t="n"/>
      <c r="R7" s="7" t="n"/>
      <c r="S7" s="7" t="n"/>
      <c r="T7" s="7" t="n"/>
      <c r="U7" s="7" t="n"/>
      <c r="V7" s="7" t="n"/>
      <c r="W7" s="7" t="n"/>
      <c r="X7" s="7" t="n"/>
      <c r="Y7" s="3">
        <f>IF(X7="","",IF(X7&gt;='Léeme'!$B$6,"barato",IF(X7&lt;'Léeme'!$B$7,"caro","medio")))</f>
        <v/>
      </c>
      <c r="Z7" s="11" t="n">
        <v>0.07698205580892048</v>
      </c>
      <c r="AA7" s="11" t="n">
        <v>0.1090707197910439</v>
      </c>
    </row>
    <row r="8">
      <c r="A8" s="3" t="inlineStr">
        <is>
          <t>1993-T3</t>
        </is>
      </c>
      <c r="B8" s="13" t="n">
        <v>34242</v>
      </c>
      <c r="C8" s="14" t="n">
        <v>14</v>
      </c>
      <c r="D8" s="14" t="n">
        <v>1.15</v>
      </c>
      <c r="E8" s="14" t="n">
        <v>1.12</v>
      </c>
      <c r="F8" s="5" t="n">
        <v>0.05400000000000001</v>
      </c>
      <c r="G8" s="5" t="n">
        <v>0.02840909090909083</v>
      </c>
      <c r="H8" s="5" t="n">
        <v>0.0736</v>
      </c>
      <c r="I8" s="15">
        <f>IFERROR(C8/D8,"")</f>
        <v/>
      </c>
      <c r="J8" s="9">
        <f>IFERROR(D8/C8,"")</f>
        <v/>
      </c>
      <c r="K8" s="9">
        <f>IFERROR(E8/C8,"")</f>
        <v/>
      </c>
      <c r="L8" s="9">
        <f>IFERROR(F8-G8,"")</f>
        <v/>
      </c>
      <c r="M8" s="9">
        <f>IFERROR(J8-F8,"")</f>
        <v/>
      </c>
      <c r="N8" s="9">
        <f>IFERROR(J8-L8,"")</f>
        <v/>
      </c>
      <c r="O8" s="9">
        <f>IFERROR(J8-H8,"")</f>
        <v/>
      </c>
      <c r="P8" s="9">
        <f>IFERROR(K8-F8,"")</f>
        <v/>
      </c>
      <c r="Q8" s="7" t="n"/>
      <c r="R8" s="7" t="n"/>
      <c r="S8" s="7" t="n"/>
      <c r="T8" s="7" t="n"/>
      <c r="U8" s="7" t="n"/>
      <c r="V8" s="7" t="n"/>
      <c r="W8" s="7" t="n"/>
      <c r="X8" s="7" t="n"/>
      <c r="Y8" s="3">
        <f>IF(X8="","",IF(X8&gt;='Léeme'!$B$6,"barato",IF(X8&lt;'Léeme'!$B$7,"caro","medio")))</f>
        <v/>
      </c>
      <c r="Z8" s="11" t="n">
        <v>-0.06588440839334964</v>
      </c>
      <c r="AA8" s="11" t="n">
        <v>0.07870665865068327</v>
      </c>
    </row>
    <row r="9">
      <c r="A9" s="3" t="inlineStr">
        <is>
          <t>1993-T4</t>
        </is>
      </c>
      <c r="B9" s="13" t="n">
        <v>34334</v>
      </c>
      <c r="C9" s="14" t="n">
        <v>13.75</v>
      </c>
      <c r="D9" s="14" t="n">
        <v>1.15</v>
      </c>
      <c r="E9" s="14" t="n">
        <v>1.12</v>
      </c>
      <c r="F9" s="5" t="n">
        <v>0.0583</v>
      </c>
      <c r="G9" s="5" t="n">
        <v>0.02744546094299793</v>
      </c>
      <c r="H9" s="5" t="n">
        <v>0.0775</v>
      </c>
      <c r="I9" s="15">
        <f>IFERROR(C9/D9,"")</f>
        <v/>
      </c>
      <c r="J9" s="9">
        <f>IFERROR(D9/C9,"")</f>
        <v/>
      </c>
      <c r="K9" s="9">
        <f>IFERROR(E9/C9,"")</f>
        <v/>
      </c>
      <c r="L9" s="9">
        <f>IFERROR(F9-G9,"")</f>
        <v/>
      </c>
      <c r="M9" s="9">
        <f>IFERROR(J9-F9,"")</f>
        <v/>
      </c>
      <c r="N9" s="9">
        <f>IFERROR(J9-L9,"")</f>
        <v/>
      </c>
      <c r="O9" s="9">
        <f>IFERROR(J9-H9,"")</f>
        <v/>
      </c>
      <c r="P9" s="9">
        <f>IFERROR(K9-F9,"")</f>
        <v/>
      </c>
      <c r="Q9" s="7" t="n"/>
      <c r="R9" s="7" t="n"/>
      <c r="S9" s="7" t="n"/>
      <c r="T9" s="7" t="n"/>
      <c r="U9" s="7" t="n"/>
      <c r="V9" s="7" t="n"/>
      <c r="W9" s="7" t="n"/>
      <c r="X9" s="7" t="n"/>
      <c r="Y9" s="3">
        <f>IF(X9="","",IF(X9&gt;='Léeme'!$B$6,"barato",IF(X9&lt;'Léeme'!$B$7,"caro","medio")))</f>
        <v/>
      </c>
      <c r="Z9" s="11" t="n">
        <v>-0.04572496134154702</v>
      </c>
      <c r="AA9" s="11" t="n">
        <v>0.0615873660023607</v>
      </c>
    </row>
    <row r="10">
      <c r="A10" s="3" t="inlineStr">
        <is>
          <t>1994-T1</t>
        </is>
      </c>
      <c r="B10" s="13" t="n">
        <v>34424</v>
      </c>
      <c r="C10" s="14" t="n">
        <v>13.875</v>
      </c>
      <c r="D10" s="14" t="n">
        <v>1.05</v>
      </c>
      <c r="E10" s="14" t="n">
        <v>1.12</v>
      </c>
      <c r="F10" s="5" t="n">
        <v>0.0677</v>
      </c>
      <c r="G10" s="5" t="n">
        <v>0.02515723270440251</v>
      </c>
      <c r="H10" s="5" t="n">
        <v>0.0832</v>
      </c>
      <c r="I10" s="15">
        <f>IFERROR(C10/D10,"")</f>
        <v/>
      </c>
      <c r="J10" s="9">
        <f>IFERROR(D10/C10,"")</f>
        <v/>
      </c>
      <c r="K10" s="9">
        <f>IFERROR(E10/C10,"")</f>
        <v/>
      </c>
      <c r="L10" s="9">
        <f>IFERROR(F10-G10,"")</f>
        <v/>
      </c>
      <c r="M10" s="9">
        <f>IFERROR(J10-F10,"")</f>
        <v/>
      </c>
      <c r="N10" s="9">
        <f>IFERROR(J10-L10,"")</f>
        <v/>
      </c>
      <c r="O10" s="9">
        <f>IFERROR(J10-H10,"")</f>
        <v/>
      </c>
      <c r="P10" s="9">
        <f>IFERROR(K10-F10,"")</f>
        <v/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3">
        <f>IF(X10="","",IF(X10&gt;='Léeme'!$B$6,"barato",IF(X10&lt;'Léeme'!$B$7,"caro","medio")))</f>
        <v/>
      </c>
      <c r="Z10" s="11" t="n">
        <v>-0.06130770962813581</v>
      </c>
      <c r="AA10" s="11" t="n">
        <v>0.0247970976052474</v>
      </c>
    </row>
    <row r="11">
      <c r="A11" s="3" t="inlineStr">
        <is>
          <t>1994-T2</t>
        </is>
      </c>
      <c r="B11" s="13" t="n">
        <v>34515</v>
      </c>
      <c r="C11" s="14" t="n">
        <v>13.625</v>
      </c>
      <c r="D11" s="14" t="n">
        <v>1.05</v>
      </c>
      <c r="E11" s="14" t="n">
        <v>1.12</v>
      </c>
      <c r="F11" s="5" t="n">
        <v>0.07339999999999999</v>
      </c>
      <c r="G11" s="5" t="n">
        <v>0.02288488210818307</v>
      </c>
      <c r="H11" s="5" t="n">
        <v>0.08779999999999999</v>
      </c>
      <c r="I11" s="15">
        <f>IFERROR(C11/D11,"")</f>
        <v/>
      </c>
      <c r="J11" s="9">
        <f>IFERROR(D11/C11,"")</f>
        <v/>
      </c>
      <c r="K11" s="9">
        <f>IFERROR(E11/C11,"")</f>
        <v/>
      </c>
      <c r="L11" s="9">
        <f>IFERROR(F11-G11,"")</f>
        <v/>
      </c>
      <c r="M11" s="9">
        <f>IFERROR(J11-F11,"")</f>
        <v/>
      </c>
      <c r="N11" s="9">
        <f>IFERROR(J11-L11,"")</f>
        <v/>
      </c>
      <c r="O11" s="9">
        <f>IFERROR(J11-H11,"")</f>
        <v/>
      </c>
      <c r="P11" s="9">
        <f>IFERROR(K11-F11,"")</f>
        <v/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3">
        <f>IF(X11="","",IF(X11&gt;='Léeme'!$B$6,"barato",IF(X11&lt;'Léeme'!$B$7,"caro","medio")))</f>
        <v/>
      </c>
      <c r="Z11" s="11" t="n">
        <v>0.0377990702043689</v>
      </c>
      <c r="AA11" s="11" t="n">
        <v>0.05841226423805068</v>
      </c>
    </row>
    <row r="12">
      <c r="A12" s="3" t="inlineStr">
        <is>
          <t>1994-T3</t>
        </is>
      </c>
      <c r="B12" s="13" t="n">
        <v>34607</v>
      </c>
      <c r="C12" s="14" t="n">
        <v>12.25</v>
      </c>
      <c r="D12" s="14" t="n">
        <v>1.05</v>
      </c>
      <c r="E12" s="14" t="n">
        <v>1.16</v>
      </c>
      <c r="F12" s="5" t="n">
        <v>0.0762</v>
      </c>
      <c r="G12" s="5" t="n">
        <v>0.02900552486187835</v>
      </c>
      <c r="H12" s="5" t="n">
        <v>0.0916</v>
      </c>
      <c r="I12" s="15">
        <f>IFERROR(C12/D12,"")</f>
        <v/>
      </c>
      <c r="J12" s="9">
        <f>IFERROR(D12/C12,"")</f>
        <v/>
      </c>
      <c r="K12" s="9">
        <f>IFERROR(E12/C12,"")</f>
        <v/>
      </c>
      <c r="L12" s="9">
        <f>IFERROR(F12-G12,"")</f>
        <v/>
      </c>
      <c r="M12" s="9">
        <f>IFERROR(J12-F12,"")</f>
        <v/>
      </c>
      <c r="N12" s="9">
        <f>IFERROR(J12-L12,"")</f>
        <v/>
      </c>
      <c r="O12" s="9">
        <f>IFERROR(J12-H12,"")</f>
        <v/>
      </c>
      <c r="P12" s="9">
        <f>IFERROR(K12-F12,"")</f>
        <v/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3">
        <f>IF(X12="","",IF(X12&gt;='Léeme'!$B$6,"barato",IF(X12&lt;'Léeme'!$B$7,"caro","medio")))</f>
        <v/>
      </c>
      <c r="Z12" s="11" t="n">
        <v>0.1666443887926405</v>
      </c>
      <c r="AA12" s="11" t="n">
        <v>0.04134472514218657</v>
      </c>
    </row>
    <row r="13">
      <c r="A13" s="3" t="inlineStr">
        <is>
          <t>1994-T4</t>
        </is>
      </c>
      <c r="B13" s="13" t="n">
        <v>34698</v>
      </c>
      <c r="C13" s="14" t="n">
        <v>12.25</v>
      </c>
      <c r="D13" s="14" t="n">
        <v>1.05</v>
      </c>
      <c r="E13" s="14" t="n">
        <v>1.16</v>
      </c>
      <c r="F13" s="5" t="n">
        <v>0.0784</v>
      </c>
      <c r="G13" s="5" t="n">
        <v>0.02602739726027403</v>
      </c>
      <c r="H13" s="5" t="n">
        <v>0.091</v>
      </c>
      <c r="I13" s="15">
        <f>IFERROR(C13/D13,"")</f>
        <v/>
      </c>
      <c r="J13" s="9">
        <f>IFERROR(D13/C13,"")</f>
        <v/>
      </c>
      <c r="K13" s="9">
        <f>IFERROR(E13/C13,"")</f>
        <v/>
      </c>
      <c r="L13" s="9">
        <f>IFERROR(F13-G13,"")</f>
        <v/>
      </c>
      <c r="M13" s="9">
        <f>IFERROR(J13-F13,"")</f>
        <v/>
      </c>
      <c r="N13" s="9">
        <f>IFERROR(J13-L13,"")</f>
        <v/>
      </c>
      <c r="O13" s="9">
        <f>IFERROR(J13-H13,"")</f>
        <v/>
      </c>
      <c r="P13" s="9">
        <f>IFERROR(K13-F13,"")</f>
        <v/>
      </c>
      <c r="Q13" s="7" t="n"/>
      <c r="R13" s="7" t="n"/>
      <c r="S13" s="7" t="n"/>
      <c r="T13" s="7" t="n"/>
      <c r="U13" s="7" t="n">
        <v>0.7777777777777778</v>
      </c>
      <c r="V13" s="7" t="n">
        <v>0.2638888888888889</v>
      </c>
      <c r="W13" s="7" t="n"/>
      <c r="X13" s="7" t="n"/>
      <c r="Y13" s="3">
        <f>IF(X13="","",IF(X13&gt;='Léeme'!$B$6,"barato",IF(X13&lt;'Léeme'!$B$7,"caro","medio")))</f>
        <v/>
      </c>
      <c r="Z13" s="11" t="n">
        <v>0.1207584420341434</v>
      </c>
      <c r="AA13" s="11" t="n">
        <v>0.03065907516655852</v>
      </c>
    </row>
    <row r="14">
      <c r="A14" s="3" t="inlineStr">
        <is>
          <t>1995-T1</t>
        </is>
      </c>
      <c r="B14" s="13" t="n">
        <v>34789</v>
      </c>
      <c r="C14" s="14" t="n">
        <v>12.125</v>
      </c>
      <c r="D14" s="14" t="n">
        <v>1.16</v>
      </c>
      <c r="E14" s="14" t="n">
        <v>1.16</v>
      </c>
      <c r="F14" s="5" t="n">
        <v>0.07200000000000001</v>
      </c>
      <c r="G14" s="5" t="n">
        <v>0.02862985685071595</v>
      </c>
      <c r="H14" s="5" t="n">
        <v>0.0866</v>
      </c>
      <c r="I14" s="15">
        <f>IFERROR(C14/D14,"")</f>
        <v/>
      </c>
      <c r="J14" s="9">
        <f>IFERROR(D14/C14,"")</f>
        <v/>
      </c>
      <c r="K14" s="9">
        <f>IFERROR(E14/C14,"")</f>
        <v/>
      </c>
      <c r="L14" s="9">
        <f>IFERROR(F14-G14,"")</f>
        <v/>
      </c>
      <c r="M14" s="9">
        <f>IFERROR(J14-F14,"")</f>
        <v/>
      </c>
      <c r="N14" s="9">
        <f>IFERROR(J14-L14,"")</f>
        <v/>
      </c>
      <c r="O14" s="9">
        <f>IFERROR(J14-H14,"")</f>
        <v/>
      </c>
      <c r="P14" s="9">
        <f>IFERROR(K14-F14,"")</f>
        <v/>
      </c>
      <c r="Q14" s="7" t="n"/>
      <c r="R14" s="7" t="n"/>
      <c r="S14" s="7" t="n"/>
      <c r="T14" s="7" t="n"/>
      <c r="U14" s="7" t="n">
        <v>0.782051282051282</v>
      </c>
      <c r="V14" s="7" t="n">
        <v>0.5769230769230769</v>
      </c>
      <c r="W14" s="7" t="n"/>
      <c r="X14" s="7" t="n"/>
      <c r="Y14" s="3">
        <f>IF(X14="","",IF(X14&gt;='Léeme'!$B$6,"barato",IF(X14&lt;'Léeme'!$B$7,"caro","medio")))</f>
        <v/>
      </c>
      <c r="Z14" s="11" t="n">
        <v>0.1752002877803727</v>
      </c>
      <c r="AA14" s="11" t="n">
        <v>0.04135142176369766</v>
      </c>
    </row>
    <row r="15">
      <c r="A15" s="3" t="inlineStr">
        <is>
          <t>1995-T2</t>
        </is>
      </c>
      <c r="B15" s="13" t="n">
        <v>34880</v>
      </c>
      <c r="C15" s="14" t="n">
        <v>13.125</v>
      </c>
      <c r="D15" s="14" t="n">
        <v>1.16</v>
      </c>
      <c r="E15" s="14" t="n">
        <v>1.16</v>
      </c>
      <c r="F15" s="5" t="n">
        <v>0.0621</v>
      </c>
      <c r="G15" s="5" t="n">
        <v>0.03118644067796605</v>
      </c>
      <c r="H15" s="5" t="n">
        <v>0.0799</v>
      </c>
      <c r="I15" s="15">
        <f>IFERROR(C15/D15,"")</f>
        <v/>
      </c>
      <c r="J15" s="9">
        <f>IFERROR(D15/C15,"")</f>
        <v/>
      </c>
      <c r="K15" s="9">
        <f>IFERROR(E15/C15,"")</f>
        <v/>
      </c>
      <c r="L15" s="9">
        <f>IFERROR(F15-G15,"")</f>
        <v/>
      </c>
      <c r="M15" s="9">
        <f>IFERROR(J15-F15,"")</f>
        <v/>
      </c>
      <c r="N15" s="9">
        <f>IFERROR(J15-L15,"")</f>
        <v/>
      </c>
      <c r="O15" s="9">
        <f>IFERROR(J15-H15,"")</f>
        <v/>
      </c>
      <c r="P15" s="9">
        <f>IFERROR(K15-F15,"")</f>
        <v/>
      </c>
      <c r="Q15" s="7" t="n"/>
      <c r="R15" s="7" t="n"/>
      <c r="S15" s="7" t="n"/>
      <c r="T15" s="7" t="n"/>
      <c r="U15" s="7" t="n">
        <v>0.4404761904761905</v>
      </c>
      <c r="V15" s="7" t="n">
        <v>0.7023809523809523</v>
      </c>
      <c r="W15" s="7" t="n"/>
      <c r="X15" s="7" t="n"/>
      <c r="Y15" s="3">
        <f>IF(X15="","",IF(X15&gt;='Léeme'!$B$6,"barato",IF(X15&lt;'Léeme'!$B$7,"caro","medio")))</f>
        <v/>
      </c>
      <c r="Z15" s="11" t="n">
        <v>0.1352454039772235</v>
      </c>
      <c r="AA15" s="11" t="n">
        <v>0.02724443251207354</v>
      </c>
    </row>
    <row r="16">
      <c r="A16" s="3" t="inlineStr">
        <is>
          <t>1995-T3</t>
        </is>
      </c>
      <c r="B16" s="13" t="n">
        <v>34971</v>
      </c>
      <c r="C16" s="14" t="n">
        <v>13.25</v>
      </c>
      <c r="D16" s="14" t="n">
        <v>1.16</v>
      </c>
      <c r="E16" s="14" t="n">
        <v>1.16</v>
      </c>
      <c r="F16" s="5" t="n">
        <v>0.0617</v>
      </c>
      <c r="G16" s="5" t="n">
        <v>0.02617449664429539</v>
      </c>
      <c r="H16" s="5" t="n">
        <v>0.0795</v>
      </c>
      <c r="I16" s="15">
        <f>IFERROR(C16/D16,"")</f>
        <v/>
      </c>
      <c r="J16" s="9">
        <f>IFERROR(D16/C16,"")</f>
        <v/>
      </c>
      <c r="K16" s="9">
        <f>IFERROR(E16/C16,"")</f>
        <v/>
      </c>
      <c r="L16" s="9">
        <f>IFERROR(F16-G16,"")</f>
        <v/>
      </c>
      <c r="M16" s="9">
        <f>IFERROR(J16-F16,"")</f>
        <v/>
      </c>
      <c r="N16" s="9">
        <f>IFERROR(J16-L16,"")</f>
        <v/>
      </c>
      <c r="O16" s="9">
        <f>IFERROR(J16-H16,"")</f>
        <v/>
      </c>
      <c r="P16" s="9">
        <f>IFERROR(K16-F16,"")</f>
        <v/>
      </c>
      <c r="Q16" s="7" t="n"/>
      <c r="R16" s="7" t="n"/>
      <c r="S16" s="7" t="n"/>
      <c r="T16" s="7" t="n"/>
      <c r="U16" s="7" t="n">
        <v>0.4111111111111111</v>
      </c>
      <c r="V16" s="7" t="n">
        <v>0.6111111111111112</v>
      </c>
      <c r="W16" s="7" t="n"/>
      <c r="X16" s="7" t="n"/>
      <c r="Y16" s="3">
        <f>IF(X16="","",IF(X16&gt;='Léeme'!$B$6,"barato",IF(X16&lt;'Léeme'!$B$7,"caro","medio")))</f>
        <v/>
      </c>
      <c r="Z16" s="11" t="n">
        <v>0.1034478457898167</v>
      </c>
      <c r="AA16" s="11" t="n">
        <v>0.02356457394551992</v>
      </c>
    </row>
    <row r="17">
      <c r="A17" s="3" t="inlineStr">
        <is>
          <t>1995-T4</t>
        </is>
      </c>
      <c r="B17" s="13" t="n">
        <v>35062</v>
      </c>
      <c r="C17" s="14" t="n">
        <v>12.75</v>
      </c>
      <c r="D17" s="14" t="n">
        <v>1.16</v>
      </c>
      <c r="E17" s="14" t="n">
        <v>1.16</v>
      </c>
      <c r="F17" s="5" t="n">
        <v>0.0558</v>
      </c>
      <c r="G17" s="5" t="n">
        <v>0.02603471295060067</v>
      </c>
      <c r="H17" s="5" t="n">
        <v>0.0741</v>
      </c>
      <c r="I17" s="15">
        <f>IFERROR(C17/D17,"")</f>
        <v/>
      </c>
      <c r="J17" s="9">
        <f>IFERROR(D17/C17,"")</f>
        <v/>
      </c>
      <c r="K17" s="9">
        <f>IFERROR(E17/C17,"")</f>
        <v/>
      </c>
      <c r="L17" s="9">
        <f>IFERROR(F17-G17,"")</f>
        <v/>
      </c>
      <c r="M17" s="9">
        <f>IFERROR(J17-F17,"")</f>
        <v/>
      </c>
      <c r="N17" s="9">
        <f>IFERROR(J17-L17,"")</f>
        <v/>
      </c>
      <c r="O17" s="9">
        <f>IFERROR(J17-H17,"")</f>
        <v/>
      </c>
      <c r="P17" s="9">
        <f>IFERROR(K17-F17,"")</f>
        <v/>
      </c>
      <c r="Q17" s="7" t="n"/>
      <c r="R17" s="7" t="n"/>
      <c r="S17" s="7" t="n"/>
      <c r="T17" s="7" t="n"/>
      <c r="U17" s="7" t="n">
        <v>0.5729166666666666</v>
      </c>
      <c r="V17" s="7" t="n">
        <v>0.8645833333333334</v>
      </c>
      <c r="W17" s="7" t="n"/>
      <c r="X17" s="7" t="n"/>
      <c r="Y17" s="3">
        <f>IF(X17="","",IF(X17&gt;='Léeme'!$B$6,"barato",IF(X17&lt;'Léeme'!$B$7,"caro","medio")))</f>
        <v/>
      </c>
      <c r="Z17" s="11" t="n">
        <v>0.3147471643140605</v>
      </c>
      <c r="AA17" s="11" t="n">
        <v>0.02910165280261512</v>
      </c>
    </row>
    <row r="18">
      <c r="A18" s="3" t="inlineStr">
        <is>
          <t>1996-T1</t>
        </is>
      </c>
      <c r="B18" s="13" t="n">
        <v>35153</v>
      </c>
      <c r="C18" s="14" t="n">
        <v>13.25</v>
      </c>
      <c r="D18" s="14" t="n">
        <v>1.24</v>
      </c>
      <c r="E18" s="14" t="n">
        <v>1.16</v>
      </c>
      <c r="F18" s="5" t="n">
        <v>0.0634</v>
      </c>
      <c r="G18" s="5" t="n">
        <v>0.02717031146454607</v>
      </c>
      <c r="H18" s="5" t="n">
        <v>0.08169999999999999</v>
      </c>
      <c r="I18" s="15">
        <f>IFERROR(C18/D18,"")</f>
        <v/>
      </c>
      <c r="J18" s="9">
        <f>IFERROR(D18/C18,"")</f>
        <v/>
      </c>
      <c r="K18" s="9">
        <f>IFERROR(E18/C18,"")</f>
        <v/>
      </c>
      <c r="L18" s="9">
        <f>IFERROR(F18-G18,"")</f>
        <v/>
      </c>
      <c r="M18" s="9">
        <f>IFERROR(J18-F18,"")</f>
        <v/>
      </c>
      <c r="N18" s="9">
        <f>IFERROR(J18-L18,"")</f>
        <v/>
      </c>
      <c r="O18" s="9">
        <f>IFERROR(J18-H18,"")</f>
        <v/>
      </c>
      <c r="P18" s="9">
        <f>IFERROR(K18-F18,"")</f>
        <v/>
      </c>
      <c r="Q18" s="7" t="n">
        <v>0.9054054054054054</v>
      </c>
      <c r="R18" s="7" t="n">
        <v>0.8783783783783784</v>
      </c>
      <c r="S18" s="7" t="n">
        <v>0.7972972972972973</v>
      </c>
      <c r="T18" s="7" t="n">
        <v>0.9054054054054054</v>
      </c>
      <c r="U18" s="7" t="n">
        <v>0.3725490196078431</v>
      </c>
      <c r="V18" s="7" t="n">
        <v>0.4803921568627451</v>
      </c>
      <c r="W18" s="7" t="n"/>
      <c r="X18" s="7" t="n">
        <v>0.7232379438261791</v>
      </c>
      <c r="Y18" s="3">
        <f>IF(X18="","",IF(X18&gt;='Léeme'!$B$6,"barato",IF(X18&lt;'Léeme'!$B$7,"caro","medio")))</f>
        <v/>
      </c>
      <c r="Z18" s="11" t="n">
        <v>0.2012613010094613</v>
      </c>
      <c r="AA18" s="11" t="n">
        <v>0.04606012829865058</v>
      </c>
    </row>
    <row r="19">
      <c r="A19" s="3" t="inlineStr">
        <is>
          <t>1996-T2</t>
        </is>
      </c>
      <c r="B19" s="13" t="n">
        <v>35244</v>
      </c>
      <c r="C19" s="14" t="n">
        <v>13.875</v>
      </c>
      <c r="D19" s="14" t="n">
        <v>1.24</v>
      </c>
      <c r="E19" s="14" t="n">
        <v>1.16</v>
      </c>
      <c r="F19" s="5" t="n">
        <v>0.0673</v>
      </c>
      <c r="G19" s="5" t="n">
        <v>0.02827087442472065</v>
      </c>
      <c r="H19" s="5" t="n">
        <v>0.0834</v>
      </c>
      <c r="I19" s="15">
        <f>IFERROR(C19/D19,"")</f>
        <v/>
      </c>
      <c r="J19" s="9">
        <f>IFERROR(D19/C19,"")</f>
        <v/>
      </c>
      <c r="K19" s="9">
        <f>IFERROR(E19/C19,"")</f>
        <v/>
      </c>
      <c r="L19" s="9">
        <f>IFERROR(F19-G19,"")</f>
        <v/>
      </c>
      <c r="M19" s="9">
        <f>IFERROR(J19-F19,"")</f>
        <v/>
      </c>
      <c r="N19" s="9">
        <f>IFERROR(J19-L19,"")</f>
        <v/>
      </c>
      <c r="O19" s="9">
        <f>IFERROR(J19-H19,"")</f>
        <v/>
      </c>
      <c r="P19" s="9">
        <f>IFERROR(K19-F19,"")</f>
        <v/>
      </c>
      <c r="Q19" s="7" t="n">
        <v>0.7125</v>
      </c>
      <c r="R19" s="7" t="n">
        <v>0.3625</v>
      </c>
      <c r="S19" s="7" t="n">
        <v>0.3375</v>
      </c>
      <c r="T19" s="7" t="n">
        <v>0.4375</v>
      </c>
      <c r="U19" s="7" t="n">
        <v>0.3055555555555556</v>
      </c>
      <c r="V19" s="7" t="n">
        <v>0.1944444444444444</v>
      </c>
      <c r="W19" s="7" t="n"/>
      <c r="X19" s="7" t="n">
        <v>0.3916666666666668</v>
      </c>
      <c r="Y19" s="3">
        <f>IF(X19="","",IF(X19&gt;='Léeme'!$B$6,"barato",IF(X19&lt;'Léeme'!$B$7,"caro","medio")))</f>
        <v/>
      </c>
      <c r="Z19" s="11" t="n">
        <v>0.1792598128966465</v>
      </c>
      <c r="AA19" s="11" t="n">
        <v>0.07273098502778441</v>
      </c>
    </row>
    <row r="20">
      <c r="A20" s="3" t="inlineStr">
        <is>
          <t>1996-T3</t>
        </is>
      </c>
      <c r="B20" s="13" t="n">
        <v>35338</v>
      </c>
      <c r="C20" s="14" t="n">
        <v>13.625</v>
      </c>
      <c r="D20" s="14" t="n">
        <v>1.24</v>
      </c>
      <c r="E20" s="14" t="n">
        <v>1.2</v>
      </c>
      <c r="F20" s="5" t="n">
        <v>0.0672</v>
      </c>
      <c r="G20" s="5" t="n">
        <v>0.02812295618051008</v>
      </c>
      <c r="H20" s="5" t="n">
        <v>0.08210000000000001</v>
      </c>
      <c r="I20" s="15">
        <f>IFERROR(C20/D20,"")</f>
        <v/>
      </c>
      <c r="J20" s="9">
        <f>IFERROR(D20/C20,"")</f>
        <v/>
      </c>
      <c r="K20" s="9">
        <f>IFERROR(E20/C20,"")</f>
        <v/>
      </c>
      <c r="L20" s="9">
        <f>IFERROR(F20-G20,"")</f>
        <v/>
      </c>
      <c r="M20" s="9">
        <f>IFERROR(J20-F20,"")</f>
        <v/>
      </c>
      <c r="N20" s="9">
        <f>IFERROR(J20-L20,"")</f>
        <v/>
      </c>
      <c r="O20" s="9">
        <f>IFERROR(J20-H20,"")</f>
        <v/>
      </c>
      <c r="P20" s="9">
        <f>IFERROR(K20-F20,"")</f>
        <v/>
      </c>
      <c r="Q20" s="7" t="n">
        <v>0.8372093023255814</v>
      </c>
      <c r="R20" s="7" t="n">
        <v>0.4767441860465116</v>
      </c>
      <c r="S20" s="7" t="n">
        <v>0.4069767441860465</v>
      </c>
      <c r="T20" s="7" t="n">
        <v>0.6627906976744186</v>
      </c>
      <c r="U20" s="7" t="n">
        <v>0.4210526315789473</v>
      </c>
      <c r="V20" s="7" t="n">
        <v>0.3421052631578947</v>
      </c>
      <c r="W20" s="7" t="n"/>
      <c r="X20" s="7" t="n">
        <v>0.5244798041615667</v>
      </c>
      <c r="Y20" s="3">
        <f>IF(X20="","",IF(X20&gt;='Léeme'!$B$6,"barato",IF(X20&lt;'Léeme'!$B$7,"caro","medio")))</f>
        <v/>
      </c>
      <c r="Z20" s="11" t="n">
        <v>0.2476083904538386</v>
      </c>
      <c r="AA20" s="11" t="n">
        <v>0.07191560432135113</v>
      </c>
    </row>
    <row r="21">
      <c r="A21" s="3" t="inlineStr">
        <is>
          <t>1996-T4</t>
        </is>
      </c>
      <c r="B21" s="13" t="n">
        <v>35430</v>
      </c>
      <c r="C21" s="14" t="n">
        <v>15.875</v>
      </c>
      <c r="D21" s="14" t="n">
        <v>1.24</v>
      </c>
      <c r="E21" s="14" t="n">
        <v>1.2</v>
      </c>
      <c r="F21" s="5" t="n">
        <v>0.0643</v>
      </c>
      <c r="G21" s="5" t="n">
        <v>0.03253090435914108</v>
      </c>
      <c r="H21" s="5" t="n">
        <v>0.0786</v>
      </c>
      <c r="I21" s="15">
        <f>IFERROR(C21/D21,"")</f>
        <v/>
      </c>
      <c r="J21" s="9">
        <f>IFERROR(D21/C21,"")</f>
        <v/>
      </c>
      <c r="K21" s="9">
        <f>IFERROR(E21/C21,"")</f>
        <v/>
      </c>
      <c r="L21" s="9">
        <f>IFERROR(F21-G21,"")</f>
        <v/>
      </c>
      <c r="M21" s="9">
        <f>IFERROR(J21-F21,"")</f>
        <v/>
      </c>
      <c r="N21" s="9">
        <f>IFERROR(J21-L21,"")</f>
        <v/>
      </c>
      <c r="O21" s="9">
        <f>IFERROR(J21-H21,"")</f>
        <v/>
      </c>
      <c r="P21" s="9">
        <f>IFERROR(K21-F21,"")</f>
        <v/>
      </c>
      <c r="Q21" s="7" t="n">
        <v>0.1413043478260869</v>
      </c>
      <c r="R21" s="7" t="n">
        <v>0.2717391304347826</v>
      </c>
      <c r="S21" s="7" t="n">
        <v>0.2934782608695652</v>
      </c>
      <c r="T21" s="7" t="n">
        <v>0.2717391304347826</v>
      </c>
      <c r="U21" s="7" t="n">
        <v>0.008333333333333333</v>
      </c>
      <c r="V21" s="7" t="n">
        <v>0.075</v>
      </c>
      <c r="W21" s="7" t="n"/>
      <c r="X21" s="7" t="n">
        <v>0.1769323671497585</v>
      </c>
      <c r="Y21" s="3">
        <f>IF(X21="","",IF(X21&gt;='Léeme'!$B$6,"barato",IF(X21&lt;'Léeme'!$B$7,"caro","medio")))</f>
        <v/>
      </c>
      <c r="Z21" s="11" t="n">
        <v>0.1977325158621022</v>
      </c>
      <c r="AA21" s="11" t="n">
        <v>0.03603097285080814</v>
      </c>
    </row>
    <row r="22">
      <c r="A22" s="3" t="inlineStr">
        <is>
          <t>1997-T1</t>
        </is>
      </c>
      <c r="B22" s="13" t="n">
        <v>35520</v>
      </c>
      <c r="C22" s="14" t="n">
        <v>14.75</v>
      </c>
      <c r="D22" s="14" t="n">
        <v>1.34</v>
      </c>
      <c r="E22" s="14" t="n">
        <v>1.2</v>
      </c>
      <c r="F22" s="5" t="n">
        <v>0.0692</v>
      </c>
      <c r="G22" s="5" t="n">
        <v>0.03032258064516125</v>
      </c>
      <c r="H22" s="5" t="n">
        <v>0.0832</v>
      </c>
      <c r="I22" s="15">
        <f>IFERROR(C22/D22,"")</f>
        <v/>
      </c>
      <c r="J22" s="9">
        <f>IFERROR(D22/C22,"")</f>
        <v/>
      </c>
      <c r="K22" s="9">
        <f>IFERROR(E22/C22,"")</f>
        <v/>
      </c>
      <c r="L22" s="9">
        <f>IFERROR(F22-G22,"")</f>
        <v/>
      </c>
      <c r="M22" s="9">
        <f>IFERROR(J22-F22,"")</f>
        <v/>
      </c>
      <c r="N22" s="9">
        <f>IFERROR(J22-L22,"")</f>
        <v/>
      </c>
      <c r="O22" s="9">
        <f>IFERROR(J22-H22,"")</f>
        <v/>
      </c>
      <c r="P22" s="9">
        <f>IFERROR(K22-F22,"")</f>
        <v/>
      </c>
      <c r="Q22" s="7" t="n">
        <v>0.7653061224489796</v>
      </c>
      <c r="R22" s="7" t="n">
        <v>0.3775510204081632</v>
      </c>
      <c r="S22" s="7" t="n">
        <v>0.4387755102040816</v>
      </c>
      <c r="T22" s="7" t="n">
        <v>0.5816326530612245</v>
      </c>
      <c r="U22" s="7" t="n">
        <v>0.246031746031746</v>
      </c>
      <c r="V22" s="7" t="n">
        <v>0.119047619047619</v>
      </c>
      <c r="W22" s="7" t="n"/>
      <c r="X22" s="7" t="n">
        <v>0.4213907785336357</v>
      </c>
      <c r="Y22" s="3">
        <f>IF(X22="","",IF(X22&gt;='Léeme'!$B$6,"barato",IF(X22&lt;'Léeme'!$B$7,"caro","medio")))</f>
        <v/>
      </c>
      <c r="Z22" s="11" t="n">
        <v>0.2689956842748316</v>
      </c>
      <c r="AA22" s="11" t="n">
        <v>0.06723880718303943</v>
      </c>
    </row>
    <row r="23">
      <c r="A23" s="3" t="inlineStr">
        <is>
          <t>1997-T2</t>
        </is>
      </c>
      <c r="B23" s="13" t="n">
        <v>35611</v>
      </c>
      <c r="C23" s="14" t="n">
        <v>15.3125</v>
      </c>
      <c r="D23" s="14" t="n">
        <v>1.34</v>
      </c>
      <c r="E23" s="14" t="n">
        <v>1.2</v>
      </c>
      <c r="F23" s="5" t="n">
        <v>0.06509999999999999</v>
      </c>
      <c r="G23" s="5" t="n">
        <v>0.02237851662404089</v>
      </c>
      <c r="H23" s="5" t="n">
        <v>0.07969999999999999</v>
      </c>
      <c r="I23" s="15">
        <f>IFERROR(C23/D23,"")</f>
        <v/>
      </c>
      <c r="J23" s="9">
        <f>IFERROR(D23/C23,"")</f>
        <v/>
      </c>
      <c r="K23" s="9">
        <f>IFERROR(E23/C23,"")</f>
        <v/>
      </c>
      <c r="L23" s="9">
        <f>IFERROR(F23-G23,"")</f>
        <v/>
      </c>
      <c r="M23" s="9">
        <f>IFERROR(J23-F23,"")</f>
        <v/>
      </c>
      <c r="N23" s="9">
        <f>IFERROR(J23-L23,"")</f>
        <v/>
      </c>
      <c r="O23" s="9">
        <f>IFERROR(J23-H23,"")</f>
        <v/>
      </c>
      <c r="P23" s="9">
        <f>IFERROR(K23-F23,"")</f>
        <v/>
      </c>
      <c r="Q23" s="7" t="n">
        <v>0.5288461538461539</v>
      </c>
      <c r="R23" s="7" t="n">
        <v>0.3942307692307692</v>
      </c>
      <c r="S23" s="7" t="n">
        <v>0.2403846153846154</v>
      </c>
      <c r="T23" s="7" t="n">
        <v>0.5865384615384616</v>
      </c>
      <c r="U23" s="7" t="n">
        <v>0.09848484848484848</v>
      </c>
      <c r="V23" s="7" t="n">
        <v>0.1590909090909091</v>
      </c>
      <c r="W23" s="7" t="n"/>
      <c r="X23" s="7" t="n">
        <v>0.3345959595959596</v>
      </c>
      <c r="Y23" s="3">
        <f>IF(X23="","",IF(X23&gt;='Léeme'!$B$6,"barato",IF(X23&lt;'Léeme'!$B$7,"caro","medio")))</f>
        <v/>
      </c>
      <c r="Z23" s="11" t="n">
        <v>0.1214378322760346</v>
      </c>
      <c r="AA23" s="11" t="n">
        <v>0.08876754673718357</v>
      </c>
    </row>
    <row r="24">
      <c r="A24" s="3" t="inlineStr">
        <is>
          <t>1997-T3</t>
        </is>
      </c>
      <c r="B24" s="13" t="n">
        <v>35703</v>
      </c>
      <c r="C24" s="14" t="n">
        <v>15.9375</v>
      </c>
      <c r="D24" s="14" t="n">
        <v>1.34</v>
      </c>
      <c r="E24" s="14" t="n">
        <v>1.2</v>
      </c>
      <c r="F24" s="5" t="n">
        <v>0.0612</v>
      </c>
      <c r="G24" s="5" t="n">
        <v>0.02290076335877878</v>
      </c>
      <c r="H24" s="5" t="n">
        <v>0.0764</v>
      </c>
      <c r="I24" s="15">
        <f>IFERROR(C24/D24,"")</f>
        <v/>
      </c>
      <c r="J24" s="9">
        <f>IFERROR(D24/C24,"")</f>
        <v/>
      </c>
      <c r="K24" s="9">
        <f>IFERROR(E24/C24,"")</f>
        <v/>
      </c>
      <c r="L24" s="9">
        <f>IFERROR(F24-G24,"")</f>
        <v/>
      </c>
      <c r="M24" s="9">
        <f>IFERROR(J24-F24,"")</f>
        <v/>
      </c>
      <c r="N24" s="9">
        <f>IFERROR(J24-L24,"")</f>
        <v/>
      </c>
      <c r="O24" s="9">
        <f>IFERROR(J24-H24,"")</f>
        <v/>
      </c>
      <c r="P24" s="9">
        <f>IFERROR(K24-F24,"")</f>
        <v/>
      </c>
      <c r="Q24" s="7" t="n">
        <v>0.3</v>
      </c>
      <c r="R24" s="7" t="n">
        <v>0.4454545454545454</v>
      </c>
      <c r="S24" s="7" t="n">
        <v>0.2818181818181818</v>
      </c>
      <c r="T24" s="7" t="n">
        <v>0.5727272727272728</v>
      </c>
      <c r="U24" s="7" t="n">
        <v>0.007246376811594203</v>
      </c>
      <c r="V24" s="7" t="n">
        <v>0.1956521739130435</v>
      </c>
      <c r="W24" s="7" t="n"/>
      <c r="X24" s="7" t="n">
        <v>0.3004830917874396</v>
      </c>
      <c r="Y24" s="3">
        <f>IF(X24="","",IF(X24&gt;='Léeme'!$B$6,"barato",IF(X24&lt;'Léeme'!$B$7,"caro","medio")))</f>
        <v/>
      </c>
      <c r="Z24" s="11" t="n">
        <v>-0.02647393849109581</v>
      </c>
      <c r="AA24" s="11" t="n">
        <v>0.08174101028082648</v>
      </c>
    </row>
    <row r="25">
      <c r="A25" s="3" t="inlineStr">
        <is>
          <t>1997-T4</t>
        </is>
      </c>
      <c r="B25" s="13" t="n">
        <v>35795</v>
      </c>
      <c r="C25" s="14" t="n">
        <v>17.875</v>
      </c>
      <c r="D25" s="14" t="n">
        <v>1.34</v>
      </c>
      <c r="E25" s="14" t="n">
        <v>1.2</v>
      </c>
      <c r="F25" s="5" t="n">
        <v>0.0575</v>
      </c>
      <c r="G25" s="5" t="n">
        <v>0.01890359168241962</v>
      </c>
      <c r="H25" s="5" t="n">
        <v>0.0732</v>
      </c>
      <c r="I25" s="15">
        <f>IFERROR(C25/D25,"")</f>
        <v/>
      </c>
      <c r="J25" s="9">
        <f>IFERROR(D25/C25,"")</f>
        <v/>
      </c>
      <c r="K25" s="9">
        <f>IFERROR(E25/C25,"")</f>
        <v/>
      </c>
      <c r="L25" s="9">
        <f>IFERROR(F25-G25,"")</f>
        <v/>
      </c>
      <c r="M25" s="9">
        <f>IFERROR(J25-F25,"")</f>
        <v/>
      </c>
      <c r="N25" s="9">
        <f>IFERROR(J25-L25,"")</f>
        <v/>
      </c>
      <c r="O25" s="9">
        <f>IFERROR(J25-H25,"")</f>
        <v/>
      </c>
      <c r="P25" s="9">
        <f>IFERROR(K25-F25,"")</f>
        <v/>
      </c>
      <c r="Q25" s="7" t="n">
        <v>0.008620689655172414</v>
      </c>
      <c r="R25" s="7" t="n">
        <v>0.25</v>
      </c>
      <c r="S25" s="7" t="n">
        <v>0.146551724137931</v>
      </c>
      <c r="T25" s="7" t="n">
        <v>0.2844827586206897</v>
      </c>
      <c r="U25" s="7" t="n">
        <v>0.006944444444444444</v>
      </c>
      <c r="V25" s="7" t="n">
        <v>0.03472222222222222</v>
      </c>
      <c r="W25" s="7" t="n"/>
      <c r="X25" s="7" t="n">
        <v>0.1218869731800766</v>
      </c>
      <c r="Y25" s="3">
        <f>IF(X25="","",IF(X25&gt;='Léeme'!$B$6,"barato",IF(X25&lt;'Léeme'!$B$7,"caro","medio")))</f>
        <v/>
      </c>
      <c r="Z25" s="11" t="n">
        <v>-0.2120524069346351</v>
      </c>
      <c r="AA25" s="11" t="n">
        <v>0.04692615129353395</v>
      </c>
    </row>
    <row r="26">
      <c r="A26" s="3" t="inlineStr">
        <is>
          <t>1998-T1</t>
        </is>
      </c>
      <c r="B26" s="13" t="n">
        <v>35885</v>
      </c>
      <c r="C26" s="14" t="n">
        <v>17.625</v>
      </c>
      <c r="D26" s="14" t="n">
        <v>1.4132</v>
      </c>
      <c r="E26" s="14" t="n">
        <v>1.2</v>
      </c>
      <c r="F26" s="5" t="n">
        <v>0.0567</v>
      </c>
      <c r="G26" s="5" t="n">
        <v>0.01440200375704448</v>
      </c>
      <c r="H26" s="5" t="n">
        <v>0.0736</v>
      </c>
      <c r="I26" s="15">
        <f>IFERROR(C26/D26,"")</f>
        <v/>
      </c>
      <c r="J26" s="9">
        <f>IFERROR(D26/C26,"")</f>
        <v/>
      </c>
      <c r="K26" s="9">
        <f>IFERROR(E26/C26,"")</f>
        <v/>
      </c>
      <c r="L26" s="9">
        <f>IFERROR(F26-G26,"")</f>
        <v/>
      </c>
      <c r="M26" s="9">
        <f>IFERROR(J26-F26,"")</f>
        <v/>
      </c>
      <c r="N26" s="9">
        <f>IFERROR(J26-L26,"")</f>
        <v/>
      </c>
      <c r="O26" s="9">
        <f>IFERROR(J26-H26,"")</f>
        <v/>
      </c>
      <c r="P26" s="9">
        <f>IFERROR(K26-F26,"")</f>
        <v/>
      </c>
      <c r="Q26" s="7" t="n">
        <v>0.2049180327868853</v>
      </c>
      <c r="R26" s="7" t="n">
        <v>0.4836065573770492</v>
      </c>
      <c r="S26" s="7" t="n">
        <v>0.1885245901639344</v>
      </c>
      <c r="T26" s="7" t="n">
        <v>0.4672131147540984</v>
      </c>
      <c r="U26" s="7" t="n">
        <v>0.02</v>
      </c>
      <c r="V26" s="7" t="n">
        <v>0.1133333333333333</v>
      </c>
      <c r="W26" s="7" t="n"/>
      <c r="X26" s="7" t="n">
        <v>0.2462659380692167</v>
      </c>
      <c r="Y26" s="3">
        <f>IF(X26="","",IF(X26&gt;='Léeme'!$B$6,"barato",IF(X26&lt;'Léeme'!$B$7,"caro","medio")))</f>
        <v/>
      </c>
      <c r="Z26" s="11" t="n">
        <v>-0.3221687046735244</v>
      </c>
      <c r="AA26" s="11" t="n">
        <v>0.0474345449993665</v>
      </c>
    </row>
    <row r="27">
      <c r="A27" s="3" t="inlineStr">
        <is>
          <t>1998-T2</t>
        </is>
      </c>
      <c r="B27" s="13" t="n">
        <v>35976</v>
      </c>
      <c r="C27" s="14" t="n">
        <v>16.1875</v>
      </c>
      <c r="D27" s="14" t="n">
        <v>1.4132</v>
      </c>
      <c r="E27" s="14" t="n">
        <v>1.24</v>
      </c>
      <c r="F27" s="5" t="n">
        <v>0.0544</v>
      </c>
      <c r="G27" s="5" t="n">
        <v>0.01688555347091936</v>
      </c>
      <c r="H27" s="5" t="n">
        <v>0.0713</v>
      </c>
      <c r="I27" s="15">
        <f>IFERROR(C27/D27,"")</f>
        <v/>
      </c>
      <c r="J27" s="9">
        <f>IFERROR(D27/C27,"")</f>
        <v/>
      </c>
      <c r="K27" s="9">
        <f>IFERROR(E27/C27,"")</f>
        <v/>
      </c>
      <c r="L27" s="9">
        <f>IFERROR(F27-G27,"")</f>
        <v/>
      </c>
      <c r="M27" s="9">
        <f>IFERROR(J27-F27,"")</f>
        <v/>
      </c>
      <c r="N27" s="9">
        <f>IFERROR(J27-L27,"")</f>
        <v/>
      </c>
      <c r="O27" s="9">
        <f>IFERROR(J27-H27,"")</f>
        <v/>
      </c>
      <c r="P27" s="9">
        <f>IFERROR(K27-F27,"")</f>
        <v/>
      </c>
      <c r="Q27" s="7" t="n">
        <v>0.5859375</v>
      </c>
      <c r="R27" s="7" t="n">
        <v>0.9609375</v>
      </c>
      <c r="S27" s="7" t="n">
        <v>0.4609375</v>
      </c>
      <c r="T27" s="7" t="n">
        <v>0.9765625</v>
      </c>
      <c r="U27" s="7" t="n">
        <v>0.1602564102564103</v>
      </c>
      <c r="V27" s="7" t="n">
        <v>0.5448717948717948</v>
      </c>
      <c r="W27" s="7" t="n"/>
      <c r="X27" s="7" t="n">
        <v>0.6149172008547008</v>
      </c>
      <c r="Y27" s="3">
        <f>IF(X27="","",IF(X27&gt;='Léeme'!$B$6,"barato",IF(X27&lt;'Léeme'!$B$7,"caro","medio")))</f>
        <v/>
      </c>
      <c r="Z27" s="11" t="n">
        <v>-0.1475153138003994</v>
      </c>
      <c r="AA27" s="11" t="n">
        <v>0.09414975709670492</v>
      </c>
    </row>
    <row r="28">
      <c r="A28" s="3" t="inlineStr">
        <is>
          <t>1998-T3</t>
        </is>
      </c>
      <c r="B28" s="13" t="n">
        <v>36068</v>
      </c>
      <c r="C28" s="14" t="n">
        <v>14.625</v>
      </c>
      <c r="D28" s="14" t="n">
        <v>1.4132</v>
      </c>
      <c r="E28" s="14" t="n">
        <v>1.24</v>
      </c>
      <c r="F28" s="5" t="n">
        <v>0.0444</v>
      </c>
      <c r="G28" s="5" t="n">
        <v>0.01616915422885579</v>
      </c>
      <c r="H28" s="5" t="n">
        <v>0.0709</v>
      </c>
      <c r="I28" s="15">
        <f>IFERROR(C28/D28,"")</f>
        <v/>
      </c>
      <c r="J28" s="9">
        <f>IFERROR(D28/C28,"")</f>
        <v/>
      </c>
      <c r="K28" s="9">
        <f>IFERROR(E28/C28,"")</f>
        <v/>
      </c>
      <c r="L28" s="9">
        <f>IFERROR(F28-G28,"")</f>
        <v/>
      </c>
      <c r="M28" s="9">
        <f>IFERROR(J28-F28,"")</f>
        <v/>
      </c>
      <c r="N28" s="9">
        <f>IFERROR(J28-L28,"")</f>
        <v/>
      </c>
      <c r="O28" s="9">
        <f>IFERROR(J28-H28,"")</f>
        <v/>
      </c>
      <c r="P28" s="9">
        <f>IFERROR(K28-F28,"")</f>
        <v/>
      </c>
      <c r="Q28" s="7" t="n">
        <v>0.9776119402985075</v>
      </c>
      <c r="R28" s="7" t="n">
        <v>0.9776119402985075</v>
      </c>
      <c r="S28" s="7" t="n">
        <v>0.9776119402985075</v>
      </c>
      <c r="T28" s="7" t="n">
        <v>0.9776119402985075</v>
      </c>
      <c r="U28" s="7" t="n">
        <v>0.5</v>
      </c>
      <c r="V28" s="7" t="n">
        <v>0.9567901234567902</v>
      </c>
      <c r="W28" s="7" t="n"/>
      <c r="X28" s="7" t="n">
        <v>0.8945396474418034</v>
      </c>
      <c r="Y28" s="3">
        <f>IF(X28="","",IF(X28&gt;='Léeme'!$B$6,"barato",IF(X28&lt;'Léeme'!$B$7,"caro","medio")))</f>
        <v/>
      </c>
      <c r="Z28" s="11" t="n">
        <v>-0.2168293010005098</v>
      </c>
      <c r="AA28" s="11" t="n">
        <v>0.1135517852599248</v>
      </c>
    </row>
    <row r="29">
      <c r="A29" s="3" t="inlineStr">
        <is>
          <t>1998-T4</t>
        </is>
      </c>
      <c r="B29" s="13" t="n">
        <v>36160</v>
      </c>
      <c r="C29" s="14" t="n">
        <v>13.25</v>
      </c>
      <c r="D29" s="14" t="n">
        <v>1.4132</v>
      </c>
      <c r="E29" s="14" t="n">
        <v>1.24</v>
      </c>
      <c r="F29" s="5" t="n">
        <v>0.04650000000000001</v>
      </c>
      <c r="G29" s="5" t="n">
        <v>0.01484230055658631</v>
      </c>
      <c r="H29" s="5" t="n">
        <v>0.0726</v>
      </c>
      <c r="I29" s="15">
        <f>IFERROR(C29/D29,"")</f>
        <v/>
      </c>
      <c r="J29" s="9">
        <f>IFERROR(D29/C29,"")</f>
        <v/>
      </c>
      <c r="K29" s="9">
        <f>IFERROR(E29/C29,"")</f>
        <v/>
      </c>
      <c r="L29" s="9">
        <f>IFERROR(F29-G29,"")</f>
        <v/>
      </c>
      <c r="M29" s="9">
        <f>IFERROR(J29-F29,"")</f>
        <v/>
      </c>
      <c r="N29" s="9">
        <f>IFERROR(J29-L29,"")</f>
        <v/>
      </c>
      <c r="O29" s="9">
        <f>IFERROR(J29-H29,"")</f>
        <v/>
      </c>
      <c r="P29" s="9">
        <f>IFERROR(K29-F29,"")</f>
        <v/>
      </c>
      <c r="Q29" s="7" t="n">
        <v>0.9785714285714285</v>
      </c>
      <c r="R29" s="7" t="n">
        <v>0.9928571428571429</v>
      </c>
      <c r="S29" s="7" t="n">
        <v>0.9928571428571429</v>
      </c>
      <c r="T29" s="7" t="n">
        <v>0.9785714285714285</v>
      </c>
      <c r="U29" s="7" t="n">
        <v>0.7797619047619048</v>
      </c>
      <c r="V29" s="7" t="n">
        <v>0.9940476190476191</v>
      </c>
      <c r="W29" s="7" t="n"/>
      <c r="X29" s="7" t="n">
        <v>0.9527777777777778</v>
      </c>
      <c r="Y29" s="3">
        <f>IF(X29="","",IF(X29&gt;='Léeme'!$B$6,"barato",IF(X29&lt;'Léeme'!$B$7,"caro","medio")))</f>
        <v/>
      </c>
      <c r="Z29" s="11" t="n">
        <v>-0.1870922501069239</v>
      </c>
      <c r="AA29" s="11" t="n">
        <v>0.1453649550510927</v>
      </c>
    </row>
    <row r="30">
      <c r="A30" s="3" t="inlineStr">
        <is>
          <t>1999-T1</t>
        </is>
      </c>
      <c r="B30" s="13" t="n">
        <v>36250</v>
      </c>
      <c r="C30" s="14" t="n">
        <v>11.1875</v>
      </c>
      <c r="D30" s="14" t="n">
        <v>1.4463</v>
      </c>
      <c r="E30" s="14" t="n">
        <v>1.24</v>
      </c>
      <c r="F30" s="5" t="n">
        <v>0.0525</v>
      </c>
      <c r="G30" s="5" t="n">
        <v>0.01666666666666661</v>
      </c>
      <c r="H30" s="5" t="n">
        <v>0.07530000000000001</v>
      </c>
      <c r="I30" s="15">
        <f>IFERROR(C30/D30,"")</f>
        <v/>
      </c>
      <c r="J30" s="9">
        <f>IFERROR(D30/C30,"")</f>
        <v/>
      </c>
      <c r="K30" s="9">
        <f>IFERROR(E30/C30,"")</f>
        <v/>
      </c>
      <c r="L30" s="9">
        <f>IFERROR(F30-G30,"")</f>
        <v/>
      </c>
      <c r="M30" s="9">
        <f>IFERROR(J30-F30,"")</f>
        <v/>
      </c>
      <c r="N30" s="9">
        <f>IFERROR(J30-L30,"")</f>
        <v/>
      </c>
      <c r="O30" s="9">
        <f>IFERROR(J30-H30,"")</f>
        <v/>
      </c>
      <c r="P30" s="9">
        <f>IFERROR(K30-F30,"")</f>
        <v/>
      </c>
      <c r="Q30" s="7" t="n">
        <v>0.9931506849315068</v>
      </c>
      <c r="R30" s="7" t="n">
        <v>0.9931506849315068</v>
      </c>
      <c r="S30" s="7" t="n">
        <v>0.9931506849315068</v>
      </c>
      <c r="T30" s="7" t="n">
        <v>0.9931506849315068</v>
      </c>
      <c r="U30" s="7" t="n">
        <v>0.9712643678160919</v>
      </c>
      <c r="V30" s="7" t="n">
        <v>0.9942528735632183</v>
      </c>
      <c r="W30" s="7" t="n">
        <v>0.9864864864864865</v>
      </c>
      <c r="X30" s="7" t="n">
        <v>0.9892294953702606</v>
      </c>
      <c r="Y30" s="3">
        <f>IF(X30="","",IF(X30&gt;='Léeme'!$B$6,"barato",IF(X30&lt;'Léeme'!$B$7,"caro","medio")))</f>
        <v/>
      </c>
      <c r="Z30" s="11" t="n">
        <v>0.01699867894353435</v>
      </c>
      <c r="AA30" s="11" t="n">
        <v>0.2087101214852933</v>
      </c>
    </row>
    <row r="31">
      <c r="A31" s="3" t="inlineStr">
        <is>
          <t>1999-T2</t>
        </is>
      </c>
      <c r="B31" s="13" t="n">
        <v>36341</v>
      </c>
      <c r="C31" s="14" t="n">
        <v>12.875</v>
      </c>
      <c r="D31" s="14" t="n">
        <v>1.4463</v>
      </c>
      <c r="E31" s="14" t="n">
        <v>1.24</v>
      </c>
      <c r="F31" s="5" t="n">
        <v>0.0581</v>
      </c>
      <c r="G31" s="5" t="n">
        <v>0.02091020910209096</v>
      </c>
      <c r="H31" s="5" t="n">
        <v>0.0805</v>
      </c>
      <c r="I31" s="15">
        <f>IFERROR(C31/D31,"")</f>
        <v/>
      </c>
      <c r="J31" s="9">
        <f>IFERROR(D31/C31,"")</f>
        <v/>
      </c>
      <c r="K31" s="9">
        <f>IFERROR(E31/C31,"")</f>
        <v/>
      </c>
      <c r="L31" s="9">
        <f>IFERROR(F31-G31,"")</f>
        <v/>
      </c>
      <c r="M31" s="9">
        <f>IFERROR(J31-F31,"")</f>
        <v/>
      </c>
      <c r="N31" s="9">
        <f>IFERROR(J31-L31,"")</f>
        <v/>
      </c>
      <c r="O31" s="9">
        <f>IFERROR(J31-H31,"")</f>
        <v/>
      </c>
      <c r="P31" s="9">
        <f>IFERROR(K31-F31,"")</f>
        <v/>
      </c>
      <c r="Q31" s="7" t="n">
        <v>0.9539473684210527</v>
      </c>
      <c r="R31" s="7" t="n">
        <v>0.9144736842105263</v>
      </c>
      <c r="S31" s="7" t="n">
        <v>0.9276315789473685</v>
      </c>
      <c r="T31" s="7" t="n">
        <v>0.9144736842105263</v>
      </c>
      <c r="U31" s="7" t="n">
        <v>0.8722222222222222</v>
      </c>
      <c r="V31" s="7" t="n">
        <v>0.8833333333333333</v>
      </c>
      <c r="W31" s="7" t="n">
        <v>0.9125</v>
      </c>
      <c r="X31" s="7" t="n">
        <v>0.9112259816207183</v>
      </c>
      <c r="Y31" s="3">
        <f>IF(X31="","",IF(X31&gt;='Léeme'!$B$6,"barato",IF(X31&lt;'Léeme'!$B$7,"caro","medio")))</f>
        <v/>
      </c>
      <c r="Z31" s="11" t="n">
        <v>-0.1062666991632194</v>
      </c>
      <c r="AA31" s="11" t="n">
        <v>0.1423380168561303</v>
      </c>
    </row>
    <row r="32">
      <c r="A32" s="3" t="inlineStr">
        <is>
          <t>1999-T3</t>
        </is>
      </c>
      <c r="B32" s="13" t="n">
        <v>36433</v>
      </c>
      <c r="C32" s="14" t="n">
        <v>10.625</v>
      </c>
      <c r="D32" s="14" t="n">
        <v>1.4463</v>
      </c>
      <c r="E32" s="14" t="n">
        <v>1.24</v>
      </c>
      <c r="F32" s="5" t="n">
        <v>0.059</v>
      </c>
      <c r="G32" s="5" t="n">
        <v>0.0226438188494491</v>
      </c>
      <c r="H32" s="5" t="n">
        <v>0.0828</v>
      </c>
      <c r="I32" s="15">
        <f>IFERROR(C32/D32,"")</f>
        <v/>
      </c>
      <c r="J32" s="9">
        <f>IFERROR(D32/C32,"")</f>
        <v/>
      </c>
      <c r="K32" s="9">
        <f>IFERROR(E32/C32,"")</f>
        <v/>
      </c>
      <c r="L32" s="9">
        <f>IFERROR(F32-G32,"")</f>
        <v/>
      </c>
      <c r="M32" s="9">
        <f>IFERROR(J32-F32,"")</f>
        <v/>
      </c>
      <c r="N32" s="9">
        <f>IFERROR(J32-L32,"")</f>
        <v/>
      </c>
      <c r="O32" s="9">
        <f>IFERROR(J32-H32,"")</f>
        <v/>
      </c>
      <c r="P32" s="9">
        <f>IFERROR(K32-F32,"")</f>
        <v/>
      </c>
      <c r="Q32" s="7" t="n">
        <v>0.9936708860759493</v>
      </c>
      <c r="R32" s="7" t="n">
        <v>0.9936708860759493</v>
      </c>
      <c r="S32" s="7" t="n">
        <v>0.9936708860759493</v>
      </c>
      <c r="T32" s="7" t="n">
        <v>0.9810126582278481</v>
      </c>
      <c r="U32" s="7" t="n">
        <v>0.9946236559139785</v>
      </c>
      <c r="V32" s="7" t="n">
        <v>0.9838709677419355</v>
      </c>
      <c r="W32" s="7" t="n">
        <v>0.9883720930232558</v>
      </c>
      <c r="X32" s="7" t="n">
        <v>0.9898417190192665</v>
      </c>
      <c r="Y32" s="3">
        <f>IF(X32="","",IF(X32&gt;='Léeme'!$B$6,"barato",IF(X32&lt;'Léeme'!$B$7,"caro","medio")))</f>
        <v/>
      </c>
      <c r="Z32" s="11" t="n">
        <v>0.07039019158885784</v>
      </c>
      <c r="AA32" s="11" t="n">
        <v>0.1993285467393355</v>
      </c>
    </row>
    <row r="33">
      <c r="A33" s="3" t="inlineStr">
        <is>
          <t>1999-T4</t>
        </is>
      </c>
      <c r="B33" s="13" t="n">
        <v>36525</v>
      </c>
      <c r="C33" s="14" t="n">
        <v>9.9375</v>
      </c>
      <c r="D33" s="14" t="n">
        <v>1.4463</v>
      </c>
      <c r="E33" s="14" t="n">
        <v>1.24</v>
      </c>
      <c r="F33" s="5" t="n">
        <v>0.0645</v>
      </c>
      <c r="G33" s="5" t="n">
        <v>0.02620353443022561</v>
      </c>
      <c r="H33" s="5" t="n">
        <v>0.0823</v>
      </c>
      <c r="I33" s="15">
        <f>IFERROR(C33/D33,"")</f>
        <v/>
      </c>
      <c r="J33" s="9">
        <f>IFERROR(D33/C33,"")</f>
        <v/>
      </c>
      <c r="K33" s="9">
        <f>IFERROR(E33/C33,"")</f>
        <v/>
      </c>
      <c r="L33" s="9">
        <f>IFERROR(F33-G33,"")</f>
        <v/>
      </c>
      <c r="M33" s="9">
        <f>IFERROR(J33-F33,"")</f>
        <v/>
      </c>
      <c r="N33" s="9">
        <f>IFERROR(J33-L33,"")</f>
        <v/>
      </c>
      <c r="O33" s="9">
        <f>IFERROR(J33-H33,"")</f>
        <v/>
      </c>
      <c r="P33" s="9">
        <f>IFERROR(K33-F33,"")</f>
        <v/>
      </c>
      <c r="Q33" s="7" t="n">
        <v>0.9939024390243902</v>
      </c>
      <c r="R33" s="7" t="n">
        <v>0.9939024390243902</v>
      </c>
      <c r="S33" s="7" t="n">
        <v>0.9939024390243902</v>
      </c>
      <c r="T33" s="7" t="n">
        <v>0.9939024390243902</v>
      </c>
      <c r="U33" s="7" t="n">
        <v>0.9947916666666666</v>
      </c>
      <c r="V33" s="7" t="n">
        <v>0.9947916666666666</v>
      </c>
      <c r="W33" s="7" t="n">
        <v>0.9891304347826086</v>
      </c>
      <c r="X33" s="7" t="n">
        <v>0.9934747891733576</v>
      </c>
      <c r="Y33" s="3">
        <f>IF(X33="","",IF(X33&gt;='Léeme'!$B$6,"barato",IF(X33&lt;'Léeme'!$B$7,"caro","medio")))</f>
        <v/>
      </c>
      <c r="Z33" s="11" t="n">
        <v>0.1263075381071006</v>
      </c>
      <c r="AA33" s="11" t="n">
        <v>0.2434767024377924</v>
      </c>
    </row>
    <row r="34">
      <c r="A34" s="3" t="inlineStr">
        <is>
          <t>2000-T1</t>
        </is>
      </c>
      <c r="B34" s="13" t="n">
        <v>36616</v>
      </c>
      <c r="C34" s="14" t="n">
        <v>10.4375</v>
      </c>
      <c r="D34" s="14" t="n">
        <v>1.5142</v>
      </c>
      <c r="E34" s="14" t="n">
        <v>1.24</v>
      </c>
      <c r="F34" s="5" t="n">
        <v>0.0603</v>
      </c>
      <c r="G34" s="5" t="n">
        <v>0.03217972070431085</v>
      </c>
      <c r="H34" s="5" t="n">
        <v>0.08359999999999999</v>
      </c>
      <c r="I34" s="15">
        <f>IFERROR(C34/D34,"")</f>
        <v/>
      </c>
      <c r="J34" s="9">
        <f>IFERROR(D34/C34,"")</f>
        <v/>
      </c>
      <c r="K34" s="9">
        <f>IFERROR(E34/C34,"")</f>
        <v/>
      </c>
      <c r="L34" s="9">
        <f>IFERROR(F34-G34,"")</f>
        <v/>
      </c>
      <c r="M34" s="9">
        <f>IFERROR(J34-F34,"")</f>
        <v/>
      </c>
      <c r="N34" s="9">
        <f>IFERROR(J34-L34,"")</f>
        <v/>
      </c>
      <c r="O34" s="9">
        <f>IFERROR(J34-H34,"")</f>
        <v/>
      </c>
      <c r="P34" s="9">
        <f>IFERROR(K34-F34,"")</f>
        <v/>
      </c>
      <c r="Q34" s="7" t="n">
        <v>0.9823529411764705</v>
      </c>
      <c r="R34" s="7" t="n">
        <v>0.9941176470588236</v>
      </c>
      <c r="S34" s="7" t="n">
        <v>0.9941176470588236</v>
      </c>
      <c r="T34" s="7" t="n">
        <v>0.9823529411764705</v>
      </c>
      <c r="U34" s="7" t="n">
        <v>0.9646464646464646</v>
      </c>
      <c r="V34" s="7" t="n">
        <v>0.9848484848484849</v>
      </c>
      <c r="W34" s="7" t="n">
        <v>0.9693877551020408</v>
      </c>
      <c r="X34" s="7" t="n">
        <v>0.981689125866797</v>
      </c>
      <c r="Y34" s="3">
        <f>IF(X34="","",IF(X34&gt;='Léeme'!$B$6,"barato",IF(X34&lt;'Léeme'!$B$7,"caro","medio")))</f>
        <v/>
      </c>
      <c r="Z34" s="11" t="n">
        <v>0.2387540353986695</v>
      </c>
      <c r="AA34" s="11" t="n">
        <v>0.2020781452559191</v>
      </c>
    </row>
    <row r="35">
      <c r="A35" s="3" t="inlineStr">
        <is>
          <t>2000-T2</t>
        </is>
      </c>
      <c r="B35" s="13" t="n">
        <v>36707</v>
      </c>
      <c r="C35" s="14" t="n">
        <v>10.515625</v>
      </c>
      <c r="D35" s="14" t="n">
        <v>1.5142</v>
      </c>
      <c r="E35" s="14" t="n">
        <v>1.24</v>
      </c>
      <c r="F35" s="5" t="n">
        <v>0.0603</v>
      </c>
      <c r="G35" s="5" t="n">
        <v>0.03132530120481913</v>
      </c>
      <c r="H35" s="5" t="n">
        <v>0.08439999999999999</v>
      </c>
      <c r="I35" s="15">
        <f>IFERROR(C35/D35,"")</f>
        <v/>
      </c>
      <c r="J35" s="9">
        <f>IFERROR(D35/C35,"")</f>
        <v/>
      </c>
      <c r="K35" s="9">
        <f>IFERROR(E35/C35,"")</f>
        <v/>
      </c>
      <c r="L35" s="9">
        <f>IFERROR(F35-G35,"")</f>
        <v/>
      </c>
      <c r="M35" s="9">
        <f>IFERROR(J35-F35,"")</f>
        <v/>
      </c>
      <c r="N35" s="9">
        <f>IFERROR(J35-L35,"")</f>
        <v/>
      </c>
      <c r="O35" s="9">
        <f>IFERROR(J35-H35,"")</f>
        <v/>
      </c>
      <c r="P35" s="9">
        <f>IFERROR(K35-F35,"")</f>
        <v/>
      </c>
      <c r="Q35" s="7" t="n">
        <v>0.9715909090909091</v>
      </c>
      <c r="R35" s="7" t="n">
        <v>0.9829545454545454</v>
      </c>
      <c r="S35" s="7" t="n">
        <v>0.9829545454545454</v>
      </c>
      <c r="T35" s="7" t="n">
        <v>0.9715909090909091</v>
      </c>
      <c r="U35" s="7" t="n">
        <v>0.9558823529411765</v>
      </c>
      <c r="V35" s="7" t="n">
        <v>0.9558823529411765</v>
      </c>
      <c r="W35" s="7" t="n">
        <v>0.9519230769230769</v>
      </c>
      <c r="X35" s="7" t="n">
        <v>0.9675398131280485</v>
      </c>
      <c r="Y35" s="3">
        <f>IF(X35="","",IF(X35&gt;='Léeme'!$B$6,"barato",IF(X35&lt;'Léeme'!$B$7,"caro","medio")))</f>
        <v/>
      </c>
      <c r="Z35" s="11" t="n">
        <v>0.481596938133567</v>
      </c>
      <c r="AA35" s="11" t="n">
        <v>0.2232951913884766</v>
      </c>
    </row>
    <row r="36">
      <c r="A36" s="3" t="inlineStr">
        <is>
          <t>2000-T3</t>
        </is>
      </c>
      <c r="B36" s="13" t="n">
        <v>36798</v>
      </c>
      <c r="C36" s="14" t="n">
        <v>10.375</v>
      </c>
      <c r="D36" s="14" t="n">
        <v>1.5142</v>
      </c>
      <c r="E36" s="14" t="n">
        <v>1.24</v>
      </c>
      <c r="F36" s="5" t="n">
        <v>0.058</v>
      </c>
      <c r="G36" s="5" t="n">
        <v>0.03351286654697772</v>
      </c>
      <c r="H36" s="5" t="n">
        <v>0.0832</v>
      </c>
      <c r="I36" s="15">
        <f>IFERROR(C36/D36,"")</f>
        <v/>
      </c>
      <c r="J36" s="9">
        <f>IFERROR(D36/C36,"")</f>
        <v/>
      </c>
      <c r="K36" s="9">
        <f>IFERROR(E36/C36,"")</f>
        <v/>
      </c>
      <c r="L36" s="9">
        <f>IFERROR(F36-G36,"")</f>
        <v/>
      </c>
      <c r="M36" s="9">
        <f>IFERROR(J36-F36,"")</f>
        <v/>
      </c>
      <c r="N36" s="9">
        <f>IFERROR(J36-L36,"")</f>
        <v/>
      </c>
      <c r="O36" s="9">
        <f>IFERROR(J36-H36,"")</f>
        <v/>
      </c>
      <c r="P36" s="9">
        <f>IFERROR(K36-F36,"")</f>
        <v/>
      </c>
      <c r="Q36" s="7" t="n">
        <v>0.9945054945054945</v>
      </c>
      <c r="R36" s="7" t="n">
        <v>0.9945054945054945</v>
      </c>
      <c r="S36" s="7" t="n">
        <v>0.9835164835164835</v>
      </c>
      <c r="T36" s="7" t="n">
        <v>0.9835164835164835</v>
      </c>
      <c r="U36" s="7" t="n">
        <v>0.9666666666666667</v>
      </c>
      <c r="V36" s="7" t="n">
        <v>0.9952380952380953</v>
      </c>
      <c r="W36" s="7" t="n">
        <v>0.9727272727272728</v>
      </c>
      <c r="X36" s="7" t="n">
        <v>0.9843822843822844</v>
      </c>
      <c r="Y36" s="3">
        <f>IF(X36="","",IF(X36&gt;='Léeme'!$B$6,"barato",IF(X36&lt;'Léeme'!$B$7,"caro","medio")))</f>
        <v/>
      </c>
      <c r="Z36" s="11" t="n">
        <v>0.3898839675862336</v>
      </c>
      <c r="AA36" s="11" t="n">
        <v>0.2182834964955802</v>
      </c>
    </row>
    <row r="37">
      <c r="A37" s="3" t="inlineStr">
        <is>
          <t>2000-T4</t>
        </is>
      </c>
      <c r="B37" s="13" t="n">
        <v>36889</v>
      </c>
      <c r="C37" s="14" t="n">
        <v>10.1875</v>
      </c>
      <c r="D37" s="14" t="n">
        <v>1.5142</v>
      </c>
      <c r="E37" s="14" t="n">
        <v>1.26</v>
      </c>
      <c r="F37" s="5" t="n">
        <v>0.0512</v>
      </c>
      <c r="G37" s="5" t="n">
        <v>0.03444180522565321</v>
      </c>
      <c r="H37" s="5" t="n">
        <v>0.0796</v>
      </c>
      <c r="I37" s="15">
        <f>IFERROR(C37/D37,"")</f>
        <v/>
      </c>
      <c r="J37" s="9">
        <f>IFERROR(D37/C37,"")</f>
        <v/>
      </c>
      <c r="K37" s="9">
        <f>IFERROR(E37/C37,"")</f>
        <v/>
      </c>
      <c r="L37" s="9">
        <f>IFERROR(F37-G37,"")</f>
        <v/>
      </c>
      <c r="M37" s="9">
        <f>IFERROR(J37-F37,"")</f>
        <v/>
      </c>
      <c r="N37" s="9">
        <f>IFERROR(J37-L37,"")</f>
        <v/>
      </c>
      <c r="O37" s="9">
        <f>IFERROR(J37-H37,"")</f>
        <v/>
      </c>
      <c r="P37" s="9">
        <f>IFERROR(K37-F37,"")</f>
        <v/>
      </c>
      <c r="Q37" s="7" t="n">
        <v>0.973404255319149</v>
      </c>
      <c r="R37" s="7" t="n">
        <v>0.9946808510638298</v>
      </c>
      <c r="S37" s="7" t="n">
        <v>0.9946808510638298</v>
      </c>
      <c r="T37" s="7" t="n">
        <v>0.9840425531914894</v>
      </c>
      <c r="U37" s="7" t="n">
        <v>0.9675925925925926</v>
      </c>
      <c r="V37" s="7" t="n">
        <v>0.9953703703703703</v>
      </c>
      <c r="W37" s="7" t="n">
        <v>0.9224137931034483</v>
      </c>
      <c r="X37" s="7" t="n">
        <v>0.9760264666721012</v>
      </c>
      <c r="Y37" s="3">
        <f>IF(X37="","",IF(X37&gt;='Léeme'!$B$6,"barato",IF(X37&lt;'Léeme'!$B$7,"caro","medio")))</f>
        <v/>
      </c>
      <c r="Z37" s="11" t="n">
        <v>0.3888025432643387</v>
      </c>
      <c r="AA37" s="11" t="n">
        <v>0.2274119848003544</v>
      </c>
    </row>
    <row r="38">
      <c r="A38" s="3" t="inlineStr">
        <is>
          <t>2001-T1</t>
        </is>
      </c>
      <c r="B38" s="13" t="n">
        <v>36980</v>
      </c>
      <c r="C38" s="14" t="n">
        <v>11.8</v>
      </c>
      <c r="D38" s="14" t="n">
        <v>1.4453</v>
      </c>
      <c r="E38" s="14" t="n">
        <v>1.26</v>
      </c>
      <c r="F38" s="5" t="n">
        <v>0.0493</v>
      </c>
      <c r="G38" s="5" t="n">
        <v>0.03529411764705892</v>
      </c>
      <c r="H38" s="5" t="n">
        <v>0.08</v>
      </c>
      <c r="I38" s="15">
        <f>IFERROR(C38/D38,"")</f>
        <v/>
      </c>
      <c r="J38" s="9">
        <f>IFERROR(D38/C38,"")</f>
        <v/>
      </c>
      <c r="K38" s="9">
        <f>IFERROR(E38/C38,"")</f>
        <v/>
      </c>
      <c r="L38" s="9">
        <f>IFERROR(F38-G38,"")</f>
        <v/>
      </c>
      <c r="M38" s="9">
        <f>IFERROR(J38-F38,"")</f>
        <v/>
      </c>
      <c r="N38" s="9">
        <f>IFERROR(J38-L38,"")</f>
        <v/>
      </c>
      <c r="O38" s="9">
        <f>IFERROR(J38-H38,"")</f>
        <v/>
      </c>
      <c r="P38" s="9">
        <f>IFERROR(K38-F38,"")</f>
        <v/>
      </c>
      <c r="Q38" s="7" t="n">
        <v>0.7783505154639175</v>
      </c>
      <c r="R38" s="7" t="n">
        <v>0.8195876288659794</v>
      </c>
      <c r="S38" s="7" t="n">
        <v>0.8814432989690721</v>
      </c>
      <c r="T38" s="7" t="n">
        <v>0.7989690721649485</v>
      </c>
      <c r="U38" s="7" t="n">
        <v>0.7522522522522522</v>
      </c>
      <c r="V38" s="7" t="n">
        <v>0.8783783783783784</v>
      </c>
      <c r="W38" s="7" t="n">
        <v>0.6147540983606558</v>
      </c>
      <c r="X38" s="7" t="n">
        <v>0.789105034922172</v>
      </c>
      <c r="Y38" s="3">
        <f>IF(X38="","",IF(X38&gt;='Léeme'!$B$6,"barato",IF(X38&lt;'Léeme'!$B$7,"caro","medio")))</f>
        <v/>
      </c>
      <c r="Z38" s="11" t="n">
        <v>0.2776762189884014</v>
      </c>
      <c r="AA38" s="11" t="n">
        <v>0.2173184511437178</v>
      </c>
    </row>
    <row r="39">
      <c r="A39" s="3" t="inlineStr">
        <is>
          <t>2001-T2</t>
        </is>
      </c>
      <c r="B39" s="13" t="n">
        <v>37071</v>
      </c>
      <c r="C39" s="14" t="n">
        <v>14.25</v>
      </c>
      <c r="D39" s="14" t="n">
        <v>1.4453</v>
      </c>
      <c r="E39" s="14" t="n">
        <v>1.26</v>
      </c>
      <c r="F39" s="5" t="n">
        <v>0.0542</v>
      </c>
      <c r="G39" s="5" t="n">
        <v>0.03563084112149539</v>
      </c>
      <c r="H39" s="5" t="n">
        <v>0.0801</v>
      </c>
      <c r="I39" s="15">
        <f>IFERROR(C39/D39,"")</f>
        <v/>
      </c>
      <c r="J39" s="9">
        <f>IFERROR(D39/C39,"")</f>
        <v/>
      </c>
      <c r="K39" s="9">
        <f>IFERROR(E39/C39,"")</f>
        <v/>
      </c>
      <c r="L39" s="9">
        <f>IFERROR(F39-G39,"")</f>
        <v/>
      </c>
      <c r="M39" s="9">
        <f>IFERROR(J39-F39,"")</f>
        <v/>
      </c>
      <c r="N39" s="9">
        <f>IFERROR(J39-L39,"")</f>
        <v/>
      </c>
      <c r="O39" s="9">
        <f>IFERROR(J39-H39,"")</f>
        <v/>
      </c>
      <c r="P39" s="9">
        <f>IFERROR(K39-F39,"")</f>
        <v/>
      </c>
      <c r="Q39" s="7" t="n">
        <v>0.6850000000000001</v>
      </c>
      <c r="R39" s="7" t="n">
        <v>0.655</v>
      </c>
      <c r="S39" s="7" t="n">
        <v>0.755</v>
      </c>
      <c r="T39" s="7" t="n">
        <v>0.655</v>
      </c>
      <c r="U39" s="7" t="n">
        <v>0.4605263157894737</v>
      </c>
      <c r="V39" s="7" t="n">
        <v>0.6359649122807017</v>
      </c>
      <c r="W39" s="7" t="n">
        <v>0.1015625</v>
      </c>
      <c r="X39" s="7" t="n">
        <v>0.5640076754385964</v>
      </c>
      <c r="Y39" s="3">
        <f>IF(X39="","",IF(X39&gt;='Léeme'!$B$6,"barato",IF(X39&lt;'Léeme'!$B$7,"caro","medio")))</f>
        <v/>
      </c>
      <c r="Z39" s="11" t="n">
        <v>0.2085817577411109</v>
      </c>
      <c r="AA39" s="11" t="n">
        <v>0.1356568578804618</v>
      </c>
    </row>
    <row r="40">
      <c r="A40" s="3" t="inlineStr">
        <is>
          <t>2001-T3</t>
        </is>
      </c>
      <c r="B40" s="13" t="n">
        <v>37162</v>
      </c>
      <c r="C40" s="14" t="n">
        <v>13.25</v>
      </c>
      <c r="D40" s="14" t="n">
        <v>1.4453</v>
      </c>
      <c r="E40" s="14" t="n">
        <v>1.26</v>
      </c>
      <c r="F40" s="5" t="n">
        <v>0.046</v>
      </c>
      <c r="G40" s="5" t="n">
        <v>0.0272148233931675</v>
      </c>
      <c r="H40" s="5" t="n">
        <v>0.0805</v>
      </c>
      <c r="I40" s="15">
        <f>IFERROR(C40/D40,"")</f>
        <v/>
      </c>
      <c r="J40" s="9">
        <f>IFERROR(D40/C40,"")</f>
        <v/>
      </c>
      <c r="K40" s="9">
        <f>IFERROR(E40/C40,"")</f>
        <v/>
      </c>
      <c r="L40" s="9">
        <f>IFERROR(F40-G40,"")</f>
        <v/>
      </c>
      <c r="M40" s="9">
        <f>IFERROR(J40-F40,"")</f>
        <v/>
      </c>
      <c r="N40" s="9">
        <f>IFERROR(J40-L40,"")</f>
        <v/>
      </c>
      <c r="O40" s="9">
        <f>IFERROR(J40-H40,"")</f>
        <v/>
      </c>
      <c r="P40" s="9">
        <f>IFERROR(K40-F40,"")</f>
        <v/>
      </c>
      <c r="Q40" s="7" t="n">
        <v>0.7135922330097088</v>
      </c>
      <c r="R40" s="7" t="n">
        <v>0.7718446601941747</v>
      </c>
      <c r="S40" s="7" t="n">
        <v>0.7815533980582524</v>
      </c>
      <c r="T40" s="7" t="n">
        <v>0.6844660194174758</v>
      </c>
      <c r="U40" s="7" t="n">
        <v>0.6709401709401709</v>
      </c>
      <c r="V40" s="7" t="n">
        <v>0.8333333333333334</v>
      </c>
      <c r="W40" s="7" t="n">
        <v>0.2462686567164179</v>
      </c>
      <c r="X40" s="7" t="n">
        <v>0.6717140673813619</v>
      </c>
      <c r="Y40" s="3">
        <f>IF(X40="","",IF(X40&gt;='Léeme'!$B$6,"barato",IF(X40&lt;'Léeme'!$B$7,"caro","medio")))</f>
        <v/>
      </c>
      <c r="Z40" s="11" t="n">
        <v>0.3123261156231401</v>
      </c>
      <c r="AA40" s="11" t="n">
        <v>0.171457076958208</v>
      </c>
    </row>
    <row r="41">
      <c r="A41" s="3" t="inlineStr">
        <is>
          <t>2001-T4</t>
        </is>
      </c>
      <c r="B41" s="13" t="n">
        <v>37256</v>
      </c>
      <c r="C41" s="14" t="n">
        <v>13</v>
      </c>
      <c r="D41" s="14" t="n">
        <v>1.4453</v>
      </c>
      <c r="E41" s="14" t="n">
        <v>1.26</v>
      </c>
      <c r="F41" s="5" t="n">
        <v>0.0507</v>
      </c>
      <c r="G41" s="5" t="n">
        <v>0.01894374282433997</v>
      </c>
      <c r="H41" s="5" t="n">
        <v>0.08019999999999999</v>
      </c>
      <c r="I41" s="15">
        <f>IFERROR(C41/D41,"")</f>
        <v/>
      </c>
      <c r="J41" s="9">
        <f>IFERROR(D41/C41,"")</f>
        <v/>
      </c>
      <c r="K41" s="9">
        <f>IFERROR(E41/C41,"")</f>
        <v/>
      </c>
      <c r="L41" s="9">
        <f>IFERROR(F41-G41,"")</f>
        <v/>
      </c>
      <c r="M41" s="9">
        <f>IFERROR(J41-F41,"")</f>
        <v/>
      </c>
      <c r="N41" s="9">
        <f>IFERROR(J41-L41,"")</f>
        <v/>
      </c>
      <c r="O41" s="9">
        <f>IFERROR(J41-H41,"")</f>
        <v/>
      </c>
      <c r="P41" s="9">
        <f>IFERROR(K41-F41,"")</f>
        <v/>
      </c>
      <c r="Q41" s="7" t="n">
        <v>0.7264150943396226</v>
      </c>
      <c r="R41" s="7" t="n">
        <v>0.7216981132075472</v>
      </c>
      <c r="S41" s="7" t="n">
        <v>0.7122641509433962</v>
      </c>
      <c r="T41" s="7" t="n">
        <v>0.6839622641509434</v>
      </c>
      <c r="U41" s="7" t="n">
        <v>0.7</v>
      </c>
      <c r="V41" s="7" t="n">
        <v>0.7541666666666667</v>
      </c>
      <c r="W41" s="7" t="n">
        <v>0.2642857142857143</v>
      </c>
      <c r="X41" s="7" t="n">
        <v>0.6518274290848415</v>
      </c>
      <c r="Y41" s="3">
        <f>IF(X41="","",IF(X41&gt;='Léeme'!$B$6,"barato",IF(X41&lt;'Léeme'!$B$7,"caro","medio")))</f>
        <v/>
      </c>
      <c r="Z41" s="11" t="n">
        <v>0.2620494891914975</v>
      </c>
      <c r="AA41" s="11" t="n">
        <v>0.1872673381792158</v>
      </c>
    </row>
    <row r="42">
      <c r="A42" s="3" t="inlineStr">
        <is>
          <t>2002-T1</t>
        </is>
      </c>
      <c r="B42" s="13" t="n">
        <v>37343</v>
      </c>
      <c r="C42" s="14" t="n">
        <v>13.96</v>
      </c>
      <c r="D42" s="14" t="n">
        <v>1.4067</v>
      </c>
      <c r="E42" s="14" t="n">
        <v>1.26</v>
      </c>
      <c r="F42" s="5" t="n">
        <v>0.0542</v>
      </c>
      <c r="G42" s="5" t="n">
        <v>0.01136363636363646</v>
      </c>
      <c r="H42" s="5" t="n">
        <v>0.08160000000000001</v>
      </c>
      <c r="I42" s="15">
        <f>IFERROR(C42/D42,"")</f>
        <v/>
      </c>
      <c r="J42" s="9">
        <f>IFERROR(D42/C42,"")</f>
        <v/>
      </c>
      <c r="K42" s="9">
        <f>IFERROR(E42/C42,"")</f>
        <v/>
      </c>
      <c r="L42" s="9">
        <f>IFERROR(F42-G42,"")</f>
        <v/>
      </c>
      <c r="M42" s="9">
        <f>IFERROR(J42-F42,"")</f>
        <v/>
      </c>
      <c r="N42" s="9">
        <f>IFERROR(J42-L42,"")</f>
        <v/>
      </c>
      <c r="O42" s="9">
        <f>IFERROR(J42-H42,"")</f>
        <v/>
      </c>
      <c r="P42" s="9">
        <f>IFERROR(K42-F42,"")</f>
        <v/>
      </c>
      <c r="Q42" s="7" t="n">
        <v>0.6284403669724771</v>
      </c>
      <c r="R42" s="7" t="n">
        <v>0.6009174311926605</v>
      </c>
      <c r="S42" s="7" t="n">
        <v>0.5458715596330275</v>
      </c>
      <c r="T42" s="7" t="n">
        <v>0.6009174311926605</v>
      </c>
      <c r="U42" s="7" t="n">
        <v>0.491869918699187</v>
      </c>
      <c r="V42" s="7" t="n">
        <v>0.6056910569105691</v>
      </c>
      <c r="W42" s="7" t="n">
        <v>0.04794520547945205</v>
      </c>
      <c r="X42" s="7" t="n">
        <v>0.5030932814400048</v>
      </c>
      <c r="Y42" s="3">
        <f>IF(X42="","",IF(X42&gt;='Léeme'!$B$6,"barato",IF(X42&lt;'Léeme'!$B$7,"caro","medio")))</f>
        <v/>
      </c>
      <c r="Z42" s="11" t="n">
        <v>0.157839995436059</v>
      </c>
      <c r="AA42" s="11" t="n">
        <v>0.1816562668418542</v>
      </c>
    </row>
    <row r="43">
      <c r="A43" s="3" t="inlineStr">
        <is>
          <t>2002-T2</t>
        </is>
      </c>
      <c r="B43" s="13" t="n">
        <v>37435</v>
      </c>
      <c r="C43" s="14" t="n">
        <v>16</v>
      </c>
      <c r="D43" s="14" t="n">
        <v>1.4067</v>
      </c>
      <c r="E43" s="14" t="n">
        <v>1.26</v>
      </c>
      <c r="F43" s="5" t="n">
        <v>0.0486</v>
      </c>
      <c r="G43" s="5" t="n">
        <v>0.01240834743372798</v>
      </c>
      <c r="H43" s="5" t="n">
        <v>0.07980000000000001</v>
      </c>
      <c r="I43" s="15">
        <f>IFERROR(C43/D43,"")</f>
        <v/>
      </c>
      <c r="J43" s="9">
        <f>IFERROR(D43/C43,"")</f>
        <v/>
      </c>
      <c r="K43" s="9">
        <f>IFERROR(E43/C43,"")</f>
        <v/>
      </c>
      <c r="L43" s="9">
        <f>IFERROR(F43-G43,"")</f>
        <v/>
      </c>
      <c r="M43" s="9">
        <f>IFERROR(J43-F43,"")</f>
        <v/>
      </c>
      <c r="N43" s="9">
        <f>IFERROR(J43-L43,"")</f>
        <v/>
      </c>
      <c r="O43" s="9">
        <f>IFERROR(J43-H43,"")</f>
        <v/>
      </c>
      <c r="P43" s="9">
        <f>IFERROR(K43-F43,"")</f>
        <v/>
      </c>
      <c r="Q43" s="7" t="n">
        <v>0.3616071428571428</v>
      </c>
      <c r="R43" s="7" t="n">
        <v>0.5848214285714286</v>
      </c>
      <c r="S43" s="7" t="n">
        <v>0.3169642857142857</v>
      </c>
      <c r="T43" s="7" t="n">
        <v>0.3526785714285715</v>
      </c>
      <c r="U43" s="7" t="n">
        <v>0.1626984126984127</v>
      </c>
      <c r="V43" s="7" t="n">
        <v>0.5436507936507936</v>
      </c>
      <c r="W43" s="7" t="n">
        <v>0.006578947368421052</v>
      </c>
      <c r="X43" s="7" t="n">
        <v>0.3327142260412937</v>
      </c>
      <c r="Y43" s="3">
        <f>IF(X43="","",IF(X43&gt;='Léeme'!$B$6,"barato",IF(X43&lt;'Léeme'!$B$7,"caro","medio")))</f>
        <v/>
      </c>
      <c r="Z43" s="11" t="n">
        <v>0.1420977725783312</v>
      </c>
      <c r="AA43" s="11" t="n">
        <v>0.127261342953386</v>
      </c>
    </row>
    <row r="44">
      <c r="A44" s="3" t="inlineStr">
        <is>
          <t>2002-T3</t>
        </is>
      </c>
      <c r="B44" s="13" t="n">
        <v>37529</v>
      </c>
      <c r="C44" s="14" t="n">
        <v>16.120001</v>
      </c>
      <c r="D44" s="14" t="n">
        <v>1.4067</v>
      </c>
      <c r="E44" s="14" t="n">
        <v>1.28</v>
      </c>
      <c r="F44" s="5" t="n">
        <v>0.0363</v>
      </c>
      <c r="G44" s="5" t="n">
        <v>0.01747463359639223</v>
      </c>
      <c r="H44" s="5" t="n">
        <v>0.07400000000000001</v>
      </c>
      <c r="I44" s="15">
        <f>IFERROR(C44/D44,"")</f>
        <v/>
      </c>
      <c r="J44" s="9">
        <f>IFERROR(D44/C44,"")</f>
        <v/>
      </c>
      <c r="K44" s="9">
        <f>IFERROR(E44/C44,"")</f>
        <v/>
      </c>
      <c r="L44" s="9">
        <f>IFERROR(F44-G44,"")</f>
        <v/>
      </c>
      <c r="M44" s="9">
        <f>IFERROR(J44-F44,"")</f>
        <v/>
      </c>
      <c r="N44" s="9">
        <f>IFERROR(J44-L44,"")</f>
        <v/>
      </c>
      <c r="O44" s="9">
        <f>IFERROR(J44-H44,"")</f>
        <v/>
      </c>
      <c r="P44" s="9">
        <f>IFERROR(K44-F44,"")</f>
        <v/>
      </c>
      <c r="Q44" s="7" t="n">
        <v>0.3347826086956522</v>
      </c>
      <c r="R44" s="7" t="n">
        <v>0.6391304347826087</v>
      </c>
      <c r="S44" s="7" t="n">
        <v>0.6478260869565218</v>
      </c>
      <c r="T44" s="7" t="n">
        <v>0.5434782608695652</v>
      </c>
      <c r="U44" s="7" t="n">
        <v>0.1821705426356589</v>
      </c>
      <c r="V44" s="7" t="n">
        <v>0.7093023255813954</v>
      </c>
      <c r="W44" s="7" t="n">
        <v>0.0189873417721519</v>
      </c>
      <c r="X44" s="7" t="n">
        <v>0.4393825144705077</v>
      </c>
      <c r="Y44" s="3">
        <f>IF(X44="","",IF(X44&gt;='Léeme'!$B$6,"barato",IF(X44&lt;'Léeme'!$B$7,"caro","medio")))</f>
        <v/>
      </c>
      <c r="Z44" s="11" t="n">
        <v>0.1253385622472489</v>
      </c>
      <c r="AA44" s="11" t="n">
        <v>0.1476035943807843</v>
      </c>
    </row>
    <row r="45">
      <c r="A45" s="3" t="inlineStr">
        <is>
          <t>2002-T4</t>
        </is>
      </c>
      <c r="B45" s="13" t="n">
        <v>37621</v>
      </c>
      <c r="C45" s="14" t="n">
        <v>15.33</v>
      </c>
      <c r="D45" s="14" t="n">
        <v>1.4067</v>
      </c>
      <c r="E45" s="14" t="n">
        <v>1.28</v>
      </c>
      <c r="F45" s="5" t="n">
        <v>0.0383</v>
      </c>
      <c r="G45" s="5" t="n">
        <v>0.0225352112676056</v>
      </c>
      <c r="H45" s="5" t="n">
        <v>0.073</v>
      </c>
      <c r="I45" s="15">
        <f>IFERROR(C45/D45,"")</f>
        <v/>
      </c>
      <c r="J45" s="9">
        <f>IFERROR(D45/C45,"")</f>
        <v/>
      </c>
      <c r="K45" s="9">
        <f>IFERROR(E45/C45,"")</f>
        <v/>
      </c>
      <c r="L45" s="9">
        <f>IFERROR(F45-G45,"")</f>
        <v/>
      </c>
      <c r="M45" s="9">
        <f>IFERROR(J45-F45,"")</f>
        <v/>
      </c>
      <c r="N45" s="9">
        <f>IFERROR(J45-L45,"")</f>
        <v/>
      </c>
      <c r="O45" s="9">
        <f>IFERROR(J45-H45,"")</f>
        <v/>
      </c>
      <c r="P45" s="9">
        <f>IFERROR(K45-F45,"")</f>
        <v/>
      </c>
      <c r="Q45" s="7" t="n">
        <v>0.5550847457627118</v>
      </c>
      <c r="R45" s="7" t="n">
        <v>0.673728813559322</v>
      </c>
      <c r="S45" s="7" t="n">
        <v>0.6991525423728814</v>
      </c>
      <c r="T45" s="7" t="n">
        <v>0.6228813559322034</v>
      </c>
      <c r="U45" s="7" t="n">
        <v>0.3371212121212121</v>
      </c>
      <c r="V45" s="7" t="n">
        <v>0.7537878787878788</v>
      </c>
      <c r="W45" s="7" t="n">
        <v>0.07926829268292683</v>
      </c>
      <c r="X45" s="7" t="n">
        <v>0.5315749773170194</v>
      </c>
      <c r="Y45" s="3">
        <f>IF(X45="","",IF(X45&gt;='Léeme'!$B$6,"barato",IF(X45&lt;'Léeme'!$B$7,"caro","medio")))</f>
        <v/>
      </c>
      <c r="Z45" s="11" t="n">
        <v>0.234913521816684</v>
      </c>
      <c r="AA45" s="11" t="n">
        <v>0.1484356967008689</v>
      </c>
    </row>
    <row r="46">
      <c r="A46" s="3" t="inlineStr">
        <is>
          <t>2003-T1</t>
        </is>
      </c>
      <c r="B46" s="13" t="n">
        <v>37711</v>
      </c>
      <c r="C46" s="14" t="n">
        <v>15.1</v>
      </c>
      <c r="D46" s="14" t="n">
        <v>1.43</v>
      </c>
      <c r="E46" s="14" t="n">
        <v>1.28</v>
      </c>
      <c r="F46" s="5" t="n">
        <v>0.0383</v>
      </c>
      <c r="G46" s="5" t="n">
        <v>0.03146067415730336</v>
      </c>
      <c r="H46" s="5" t="n">
        <v>0.0693</v>
      </c>
      <c r="I46" s="15">
        <f>IFERROR(C46/D46,"")</f>
        <v/>
      </c>
      <c r="J46" s="9">
        <f>IFERROR(D46/C46,"")</f>
        <v/>
      </c>
      <c r="K46" s="9">
        <f>IFERROR(E46/C46,"")</f>
        <v/>
      </c>
      <c r="L46" s="9">
        <f>IFERROR(F46-G46,"")</f>
        <v/>
      </c>
      <c r="M46" s="9">
        <f>IFERROR(J46-F46,"")</f>
        <v/>
      </c>
      <c r="N46" s="9">
        <f>IFERROR(J46-L46,"")</f>
        <v/>
      </c>
      <c r="O46" s="9">
        <f>IFERROR(J46-H46,"")</f>
        <v/>
      </c>
      <c r="P46" s="9">
        <f>IFERROR(K46-F46,"")</f>
        <v/>
      </c>
      <c r="Q46" s="7" t="n">
        <v>0.5991735537190083</v>
      </c>
      <c r="R46" s="7" t="n">
        <v>0.6900826446280992</v>
      </c>
      <c r="S46" s="7" t="n">
        <v>0.7892561983471075</v>
      </c>
      <c r="T46" s="7" t="n">
        <v>0.6570247933884298</v>
      </c>
      <c r="U46" s="7" t="n">
        <v>0.3740740740740741</v>
      </c>
      <c r="V46" s="7" t="n">
        <v>0.774074074074074</v>
      </c>
      <c r="W46" s="7" t="n">
        <v>0.1235294117647059</v>
      </c>
      <c r="X46" s="7" t="n">
        <v>0.5724592499993572</v>
      </c>
      <c r="Y46" s="3">
        <f>IF(X46="","",IF(X46&gt;='Léeme'!$B$6,"barato",IF(X46&lt;'Léeme'!$B$7,"caro","medio")))</f>
        <v/>
      </c>
      <c r="Z46" s="11" t="n">
        <v>0.3870686142522657</v>
      </c>
      <c r="AA46" s="11" t="n">
        <v>0.1374748333293114</v>
      </c>
    </row>
    <row r="47">
      <c r="A47" s="3" t="inlineStr">
        <is>
          <t>2003-T2</t>
        </is>
      </c>
      <c r="B47" s="13" t="n">
        <v>37802</v>
      </c>
      <c r="C47" s="14" t="n">
        <v>17.24</v>
      </c>
      <c r="D47" s="14" t="n">
        <v>1.43</v>
      </c>
      <c r="E47" s="14" t="n">
        <v>1.28</v>
      </c>
      <c r="F47" s="5" t="n">
        <v>0.0354</v>
      </c>
      <c r="G47" s="5" t="n">
        <v>0.01894150417827301</v>
      </c>
      <c r="H47" s="5" t="n">
        <v>0.0638</v>
      </c>
      <c r="I47" s="15">
        <f>IFERROR(C47/D47,"")</f>
        <v/>
      </c>
      <c r="J47" s="9">
        <f>IFERROR(D47/C47,"")</f>
        <v/>
      </c>
      <c r="K47" s="9">
        <f>IFERROR(E47/C47,"")</f>
        <v/>
      </c>
      <c r="L47" s="9">
        <f>IFERROR(F47-G47,"")</f>
        <v/>
      </c>
      <c r="M47" s="9">
        <f>IFERROR(J47-F47,"")</f>
        <v/>
      </c>
      <c r="N47" s="9">
        <f>IFERROR(J47-L47,"")</f>
        <v/>
      </c>
      <c r="O47" s="9">
        <f>IFERROR(J47-H47,"")</f>
        <v/>
      </c>
      <c r="P47" s="9">
        <f>IFERROR(K47-F47,"")</f>
        <v/>
      </c>
      <c r="Q47" s="7" t="n">
        <v>0.157258064516129</v>
      </c>
      <c r="R47" s="7" t="n">
        <v>0.5766129032258065</v>
      </c>
      <c r="S47" s="7" t="n">
        <v>0.592741935483871</v>
      </c>
      <c r="T47" s="7" t="n">
        <v>0.6008064516129032</v>
      </c>
      <c r="U47" s="7" t="n">
        <v>0.03260869565217391</v>
      </c>
      <c r="V47" s="7" t="n">
        <v>0.6268115942028986</v>
      </c>
      <c r="W47" s="7" t="n">
        <v>0.005681818181818182</v>
      </c>
      <c r="X47" s="7" t="n">
        <v>0.3703602089822287</v>
      </c>
      <c r="Y47" s="3">
        <f>IF(X47="","",IF(X47&gt;='Léeme'!$B$6,"barato",IF(X47&lt;'Léeme'!$B$7,"caro","medio")))</f>
        <v/>
      </c>
      <c r="Z47" s="11" t="n">
        <v>0.05748909192209717</v>
      </c>
      <c r="AA47" s="11" t="n">
        <v>0.09528329763916354</v>
      </c>
    </row>
    <row r="48">
      <c r="A48" s="3" t="inlineStr">
        <is>
          <t>2003-T3</t>
        </is>
      </c>
      <c r="B48" s="13" t="n">
        <v>37894</v>
      </c>
      <c r="C48" s="14" t="n">
        <v>17.030001</v>
      </c>
      <c r="D48" s="14" t="n">
        <v>1.43</v>
      </c>
      <c r="E48" s="14" t="n">
        <v>1.28</v>
      </c>
      <c r="F48" s="5" t="n">
        <v>0.0396</v>
      </c>
      <c r="G48" s="5" t="n">
        <v>0.02216066481994461</v>
      </c>
      <c r="H48" s="5" t="n">
        <v>0.0665</v>
      </c>
      <c r="I48" s="15">
        <f>IFERROR(C48/D48,"")</f>
        <v/>
      </c>
      <c r="J48" s="9">
        <f>IFERROR(D48/C48,"")</f>
        <v/>
      </c>
      <c r="K48" s="9">
        <f>IFERROR(E48/C48,"")</f>
        <v/>
      </c>
      <c r="L48" s="9">
        <f>IFERROR(F48-G48,"")</f>
        <v/>
      </c>
      <c r="M48" s="9">
        <f>IFERROR(J48-F48,"")</f>
        <v/>
      </c>
      <c r="N48" s="9">
        <f>IFERROR(J48-L48,"")</f>
        <v/>
      </c>
      <c r="O48" s="9">
        <f>IFERROR(J48-H48,"")</f>
        <v/>
      </c>
      <c r="P48" s="9">
        <f>IFERROR(K48-F48,"")</f>
        <v/>
      </c>
      <c r="Q48" s="7" t="n">
        <v>0.1850393700787402</v>
      </c>
      <c r="R48" s="7" t="n">
        <v>0.562992125984252</v>
      </c>
      <c r="S48" s="7" t="n">
        <v>0.6023622047244095</v>
      </c>
      <c r="T48" s="7" t="n">
        <v>0.5866141732283464</v>
      </c>
      <c r="U48" s="7" t="n">
        <v>0.05319148936170213</v>
      </c>
      <c r="V48" s="7" t="n">
        <v>0.5709219858156028</v>
      </c>
      <c r="W48" s="7" t="n">
        <v>0.02747252747252747</v>
      </c>
      <c r="X48" s="7" t="n">
        <v>0.3697991252379401</v>
      </c>
      <c r="Y48" s="3">
        <f>IF(X48="","",IF(X48&gt;='Léeme'!$B$6,"barato",IF(X48&lt;'Léeme'!$B$7,"caro","medio")))</f>
        <v/>
      </c>
      <c r="Z48" s="11" t="n">
        <v>0.1349982530573415</v>
      </c>
      <c r="AA48" s="11" t="n">
        <v>0.1282756307252153</v>
      </c>
    </row>
    <row r="49">
      <c r="A49" s="3" t="inlineStr">
        <is>
          <t>2003-T4</t>
        </is>
      </c>
      <c r="B49" s="13" t="n">
        <v>37986</v>
      </c>
      <c r="C49" s="14" t="n">
        <v>17.799999</v>
      </c>
      <c r="D49" s="14" t="n">
        <v>1.43</v>
      </c>
      <c r="E49" s="14" t="n">
        <v>1.28</v>
      </c>
      <c r="F49" s="5" t="n">
        <v>0.04269999999999999</v>
      </c>
      <c r="G49" s="5" t="n">
        <v>0.01928374655647391</v>
      </c>
      <c r="H49" s="5" t="n">
        <v>0.06619999999999999</v>
      </c>
      <c r="I49" s="15">
        <f>IFERROR(C49/D49,"")</f>
        <v/>
      </c>
      <c r="J49" s="9">
        <f>IFERROR(D49/C49,"")</f>
        <v/>
      </c>
      <c r="K49" s="9">
        <f>IFERROR(E49/C49,"")</f>
        <v/>
      </c>
      <c r="L49" s="9">
        <f>IFERROR(F49-G49,"")</f>
        <v/>
      </c>
      <c r="M49" s="9">
        <f>IFERROR(J49-F49,"")</f>
        <v/>
      </c>
      <c r="N49" s="9">
        <f>IFERROR(J49-L49,"")</f>
        <v/>
      </c>
      <c r="O49" s="9">
        <f>IFERROR(J49-H49,"")</f>
        <v/>
      </c>
      <c r="P49" s="9">
        <f>IFERROR(K49-F49,"")</f>
        <v/>
      </c>
      <c r="Q49" s="7" t="n">
        <v>0.1115384615384615</v>
      </c>
      <c r="R49" s="7" t="n">
        <v>0.5192307692307693</v>
      </c>
      <c r="S49" s="7" t="n">
        <v>0.4730769230769231</v>
      </c>
      <c r="T49" s="7" t="n">
        <v>0.5269230769230769</v>
      </c>
      <c r="U49" s="7" t="n">
        <v>0.03819444444444445</v>
      </c>
      <c r="V49" s="7" t="n">
        <v>0.4756944444444444</v>
      </c>
      <c r="W49" s="7" t="n">
        <v>0.01595744680851064</v>
      </c>
      <c r="X49" s="7" t="n">
        <v>0.3086593666380901</v>
      </c>
      <c r="Y49" s="3">
        <f>IF(X49="","",IF(X49&gt;='Léeme'!$B$6,"barato",IF(X49&lt;'Léeme'!$B$7,"caro","medio")))</f>
        <v/>
      </c>
      <c r="Z49" s="11" t="n">
        <v>0.2260553424301674</v>
      </c>
      <c r="AA49" s="11" t="n">
        <v>0.04735793139883349</v>
      </c>
    </row>
    <row r="50">
      <c r="A50" s="3" t="inlineStr">
        <is>
          <t>2004-T1</t>
        </is>
      </c>
      <c r="B50" s="13" t="n">
        <v>38077</v>
      </c>
      <c r="C50" s="14" t="n">
        <v>19.75</v>
      </c>
      <c r="D50" s="14" t="n">
        <v>1.46</v>
      </c>
      <c r="E50" s="14" t="n">
        <v>1.28</v>
      </c>
      <c r="F50" s="5" t="n">
        <v>0.0386</v>
      </c>
      <c r="G50" s="5" t="n">
        <v>0.01688453159041381</v>
      </c>
      <c r="H50" s="5" t="n">
        <v>0.0619</v>
      </c>
      <c r="I50" s="15">
        <f>IFERROR(C50/D50,"")</f>
        <v/>
      </c>
      <c r="J50" s="9">
        <f>IFERROR(D50/C50,"")</f>
        <v/>
      </c>
      <c r="K50" s="9">
        <f>IFERROR(E50/C50,"")</f>
        <v/>
      </c>
      <c r="L50" s="9">
        <f>IFERROR(F50-G50,"")</f>
        <v/>
      </c>
      <c r="M50" s="9">
        <f>IFERROR(J50-F50,"")</f>
        <v/>
      </c>
      <c r="N50" s="9">
        <f>IFERROR(J50-L50,"")</f>
        <v/>
      </c>
      <c r="O50" s="9">
        <f>IFERROR(J50-H50,"")</f>
        <v/>
      </c>
      <c r="P50" s="9">
        <f>IFERROR(K50-F50,"")</f>
        <v/>
      </c>
      <c r="Q50" s="7" t="n">
        <v>0.003759398496240601</v>
      </c>
      <c r="R50" s="7" t="n">
        <v>0.4924812030075188</v>
      </c>
      <c r="S50" s="7" t="n">
        <v>0.3045112781954887</v>
      </c>
      <c r="T50" s="7" t="n">
        <v>0.462406015037594</v>
      </c>
      <c r="U50" s="7" t="n">
        <v>0.003401360544217687</v>
      </c>
      <c r="V50" s="7" t="n">
        <v>0.3979591836734694</v>
      </c>
      <c r="W50" s="7" t="n">
        <v>0.005154639175257732</v>
      </c>
      <c r="X50" s="7" t="n">
        <v>0.2385247254471124</v>
      </c>
      <c r="Y50" s="3">
        <f>IF(X50="","",IF(X50&gt;='Léeme'!$B$6,"barato",IF(X50&lt;'Léeme'!$B$7,"caro","medio")))</f>
        <v/>
      </c>
      <c r="Z50" s="11" t="n">
        <v>-0.01059727598446203</v>
      </c>
      <c r="AA50" s="11" t="n">
        <v>0.00999446707656948</v>
      </c>
    </row>
    <row r="51">
      <c r="A51" s="3" t="inlineStr">
        <is>
          <t>2004-T2</t>
        </is>
      </c>
      <c r="B51" s="13" t="n">
        <v>38168</v>
      </c>
      <c r="C51" s="14" t="n">
        <v>17.200001</v>
      </c>
      <c r="D51" s="14" t="n">
        <v>1.46</v>
      </c>
      <c r="E51" s="14" t="n">
        <v>1.28</v>
      </c>
      <c r="F51" s="5" t="n">
        <v>0.0462</v>
      </c>
      <c r="G51" s="5" t="n">
        <v>0.02897758337889544</v>
      </c>
      <c r="H51" s="5" t="n">
        <v>0.06759999999999999</v>
      </c>
      <c r="I51" s="15">
        <f>IFERROR(C51/D51,"")</f>
        <v/>
      </c>
      <c r="J51" s="9">
        <f>IFERROR(D51/C51,"")</f>
        <v/>
      </c>
      <c r="K51" s="9">
        <f>IFERROR(E51/C51,"")</f>
        <v/>
      </c>
      <c r="L51" s="9">
        <f>IFERROR(F51-G51,"")</f>
        <v/>
      </c>
      <c r="M51" s="9">
        <f>IFERROR(J51-F51,"")</f>
        <v/>
      </c>
      <c r="N51" s="9">
        <f>IFERROR(J51-L51,"")</f>
        <v/>
      </c>
      <c r="O51" s="9">
        <f>IFERROR(J51-H51,"")</f>
        <v/>
      </c>
      <c r="P51" s="9">
        <f>IFERROR(K51-F51,"")</f>
        <v/>
      </c>
      <c r="Q51" s="7" t="n">
        <v>0.2536764705882353</v>
      </c>
      <c r="R51" s="7" t="n">
        <v>0.5257352941176471</v>
      </c>
      <c r="S51" s="7" t="n">
        <v>0.6360294117647058</v>
      </c>
      <c r="T51" s="7" t="n">
        <v>0.5919117647058824</v>
      </c>
      <c r="U51" s="7" t="n">
        <v>0.08</v>
      </c>
      <c r="V51" s="7" t="n">
        <v>0.4633333333333333</v>
      </c>
      <c r="W51" s="7" t="n">
        <v>0.115</v>
      </c>
      <c r="X51" s="7" t="n">
        <v>0.380812324929972</v>
      </c>
      <c r="Y51" s="3">
        <f>IF(X51="","",IF(X51&gt;='Léeme'!$B$6,"barato",IF(X51&lt;'Léeme'!$B$7,"caro","medio")))</f>
        <v/>
      </c>
      <c r="Z51" s="11" t="n">
        <v>0.2586098656107139</v>
      </c>
      <c r="AA51" s="11" t="n">
        <v>0.05780891852658021</v>
      </c>
    </row>
    <row r="52">
      <c r="A52" s="3" t="inlineStr">
        <is>
          <t>2004-T3</t>
        </is>
      </c>
      <c r="B52" s="13" t="n">
        <v>38260</v>
      </c>
      <c r="C52" s="14" t="n">
        <v>18.219999</v>
      </c>
      <c r="D52" s="14" t="n">
        <v>1.46</v>
      </c>
      <c r="E52" s="14" t="n">
        <v>1.3</v>
      </c>
      <c r="F52" s="5" t="n">
        <v>0.0414</v>
      </c>
      <c r="G52" s="5" t="n">
        <v>0.02547425474254728</v>
      </c>
      <c r="H52" s="5" t="n">
        <v>0.0622</v>
      </c>
      <c r="I52" s="15">
        <f>IFERROR(C52/D52,"")</f>
        <v/>
      </c>
      <c r="J52" s="9">
        <f>IFERROR(D52/C52,"")</f>
        <v/>
      </c>
      <c r="K52" s="9">
        <f>IFERROR(E52/C52,"")</f>
        <v/>
      </c>
      <c r="L52" s="9">
        <f>IFERROR(F52-G52,"")</f>
        <v/>
      </c>
      <c r="M52" s="9">
        <f>IFERROR(J52-F52,"")</f>
        <v/>
      </c>
      <c r="N52" s="9">
        <f>IFERROR(J52-L52,"")</f>
        <v/>
      </c>
      <c r="O52" s="9">
        <f>IFERROR(J52-H52,"")</f>
        <v/>
      </c>
      <c r="P52" s="9">
        <f>IFERROR(K52-F52,"")</f>
        <v/>
      </c>
      <c r="Q52" s="7" t="n">
        <v>0.118705035971223</v>
      </c>
      <c r="R52" s="7" t="n">
        <v>0.5215827338129496</v>
      </c>
      <c r="S52" s="7" t="n">
        <v>0.5935251798561151</v>
      </c>
      <c r="T52" s="7" t="n">
        <v>0.6007194244604317</v>
      </c>
      <c r="U52" s="7" t="n">
        <v>0.04901960784313725</v>
      </c>
      <c r="V52" s="7" t="n">
        <v>0.5</v>
      </c>
      <c r="W52" s="7" t="n">
        <v>0.1601941747572816</v>
      </c>
      <c r="X52" s="7" t="n">
        <v>0.3633923081001626</v>
      </c>
      <c r="Y52" s="3">
        <f>IF(X52="","",IF(X52&gt;='Léeme'!$B$6,"barato",IF(X52&lt;'Léeme'!$B$7,"caro","medio")))</f>
        <v/>
      </c>
      <c r="Z52" s="11" t="n">
        <v>0.1576921039479073</v>
      </c>
      <c r="AA52" s="11" t="n">
        <v>0.09127925628301514</v>
      </c>
    </row>
    <row r="53">
      <c r="A53" s="3" t="inlineStr">
        <is>
          <t>2004-T4</t>
        </is>
      </c>
      <c r="B53" s="13" t="n">
        <v>38352</v>
      </c>
      <c r="C53" s="14" t="n">
        <v>20.6</v>
      </c>
      <c r="D53" s="14" t="n">
        <v>1.46</v>
      </c>
      <c r="E53" s="14" t="n">
        <v>1.3</v>
      </c>
      <c r="F53" s="5" t="n">
        <v>0.0424</v>
      </c>
      <c r="G53" s="5" t="n">
        <v>0.03621621621621607</v>
      </c>
      <c r="H53" s="5" t="n">
        <v>0.0616</v>
      </c>
      <c r="I53" s="15">
        <f>IFERROR(C53/D53,"")</f>
        <v/>
      </c>
      <c r="J53" s="9">
        <f>IFERROR(D53/C53,"")</f>
        <v/>
      </c>
      <c r="K53" s="9">
        <f>IFERROR(E53/C53,"")</f>
        <v/>
      </c>
      <c r="L53" s="9">
        <f>IFERROR(F53-G53,"")</f>
        <v/>
      </c>
      <c r="M53" s="9">
        <f>IFERROR(J53-F53,"")</f>
        <v/>
      </c>
      <c r="N53" s="9">
        <f>IFERROR(J53-L53,"")</f>
        <v/>
      </c>
      <c r="O53" s="9">
        <f>IFERROR(J53-H53,"")</f>
        <v/>
      </c>
      <c r="P53" s="9">
        <f>IFERROR(K53-F53,"")</f>
        <v/>
      </c>
      <c r="Q53" s="7" t="n">
        <v>0.00352112676056338</v>
      </c>
      <c r="R53" s="7" t="n">
        <v>0.3838028169014084</v>
      </c>
      <c r="S53" s="7" t="n">
        <v>0.602112676056338</v>
      </c>
      <c r="T53" s="7" t="n">
        <v>0.3345070422535211</v>
      </c>
      <c r="U53" s="7" t="n">
        <v>0.003205128205128205</v>
      </c>
      <c r="V53" s="7" t="n">
        <v>0.2403846153846154</v>
      </c>
      <c r="W53" s="7" t="n">
        <v>0.07075471698113207</v>
      </c>
      <c r="X53" s="7" t="n">
        <v>0.2340411603632438</v>
      </c>
      <c r="Y53" s="3">
        <f>IF(X53="","",IF(X53&gt;='Léeme'!$B$6,"barato",IF(X53&lt;'Léeme'!$B$7,"caro","medio")))</f>
        <v/>
      </c>
      <c r="Z53" s="11" t="n">
        <v>0.04362471230106202</v>
      </c>
      <c r="AA53" s="11" t="n">
        <v>0.06275520148454583</v>
      </c>
    </row>
    <row r="54">
      <c r="A54" s="3" t="inlineStr">
        <is>
          <t>2005-T1</t>
        </is>
      </c>
      <c r="B54" s="13" t="n">
        <v>38442</v>
      </c>
      <c r="C54" s="14" t="n">
        <v>18.450001</v>
      </c>
      <c r="D54" s="14" t="n">
        <v>1.41</v>
      </c>
      <c r="E54" s="14" t="n">
        <v>1.3</v>
      </c>
      <c r="F54" s="5" t="n">
        <v>0.045</v>
      </c>
      <c r="G54" s="5" t="n">
        <v>0.03053026245313339</v>
      </c>
      <c r="H54" s="5" t="n">
        <v>0.0617</v>
      </c>
      <c r="I54" s="15">
        <f>IFERROR(C54/D54,"")</f>
        <v/>
      </c>
      <c r="J54" s="9">
        <f>IFERROR(D54/C54,"")</f>
        <v/>
      </c>
      <c r="K54" s="9">
        <f>IFERROR(E54/C54,"")</f>
        <v/>
      </c>
      <c r="L54" s="9">
        <f>IFERROR(F54-G54,"")</f>
        <v/>
      </c>
      <c r="M54" s="9">
        <f>IFERROR(J54-F54,"")</f>
        <v/>
      </c>
      <c r="N54" s="9">
        <f>IFERROR(J54-L54,"")</f>
        <v/>
      </c>
      <c r="O54" s="9">
        <f>IFERROR(J54-H54,"")</f>
        <v/>
      </c>
      <c r="P54" s="9">
        <f>IFERROR(K54-F54,"")</f>
        <v/>
      </c>
      <c r="Q54" s="7" t="n">
        <v>0.08620689655172414</v>
      </c>
      <c r="R54" s="7" t="n">
        <v>0.4379310344827586</v>
      </c>
      <c r="S54" s="7" t="n">
        <v>0.5689655172413793</v>
      </c>
      <c r="T54" s="7" t="n">
        <v>0.5206896551724138</v>
      </c>
      <c r="U54" s="7" t="n">
        <v>0.07861635220125786</v>
      </c>
      <c r="V54" s="7" t="n">
        <v>0.3742138364779874</v>
      </c>
      <c r="W54" s="7" t="n">
        <v>0.2798165137614679</v>
      </c>
      <c r="X54" s="7" t="n">
        <v>0.3352056865555699</v>
      </c>
      <c r="Y54" s="3">
        <f>IF(X54="","",IF(X54&gt;='Léeme'!$B$6,"barato",IF(X54&lt;'Léeme'!$B$7,"caro","medio")))</f>
        <v/>
      </c>
      <c r="Z54" s="11" t="n">
        <v>0.3295683028098355</v>
      </c>
      <c r="AA54" s="11" t="n">
        <v>0.1025858059752347</v>
      </c>
    </row>
    <row r="55">
      <c r="A55" s="3" t="inlineStr">
        <is>
          <t>2005-T2</t>
        </is>
      </c>
      <c r="B55" s="13" t="n">
        <v>38533</v>
      </c>
      <c r="C55" s="14" t="n">
        <v>20.469999</v>
      </c>
      <c r="D55" s="14" t="n">
        <v>1.41</v>
      </c>
      <c r="E55" s="14" t="n">
        <v>1.3</v>
      </c>
      <c r="F55" s="5" t="n">
        <v>0.0394</v>
      </c>
      <c r="G55" s="5" t="n">
        <v>0.02869287991498415</v>
      </c>
      <c r="H55" s="5" t="n">
        <v>0.05860000000000001</v>
      </c>
      <c r="I55" s="15">
        <f>IFERROR(C55/D55,"")</f>
        <v/>
      </c>
      <c r="J55" s="9">
        <f>IFERROR(D55/C55,"")</f>
        <v/>
      </c>
      <c r="K55" s="9">
        <f>IFERROR(E55/C55,"")</f>
        <v/>
      </c>
      <c r="L55" s="9">
        <f>IFERROR(F55-G55,"")</f>
        <v/>
      </c>
      <c r="M55" s="9">
        <f>IFERROR(J55-F55,"")</f>
        <v/>
      </c>
      <c r="N55" s="9">
        <f>IFERROR(J55-L55,"")</f>
        <v/>
      </c>
      <c r="O55" s="9">
        <f>IFERROR(J55-H55,"")</f>
        <v/>
      </c>
      <c r="P55" s="9">
        <f>IFERROR(K55-F55,"")</f>
        <v/>
      </c>
      <c r="Q55" s="7" t="n">
        <v>0.003378378378378379</v>
      </c>
      <c r="R55" s="7" t="n">
        <v>0.3952702702702703</v>
      </c>
      <c r="S55" s="7" t="n">
        <v>0.4628378378378378</v>
      </c>
      <c r="T55" s="7" t="n">
        <v>0.3547297297297297</v>
      </c>
      <c r="U55" s="7" t="n">
        <v>0.009259259259259259</v>
      </c>
      <c r="V55" s="7" t="n">
        <v>0.3364197530864197</v>
      </c>
      <c r="W55" s="7" t="n">
        <v>0.1026785714285714</v>
      </c>
      <c r="X55" s="7" t="n">
        <v>0.2377962571414952</v>
      </c>
      <c r="Y55" s="3">
        <f>IF(X55="","",IF(X55&gt;='Léeme'!$B$6,"barato",IF(X55&lt;'Léeme'!$B$7,"caro","medio")))</f>
        <v/>
      </c>
      <c r="Z55" s="11" t="n">
        <v>0.02474905974068609</v>
      </c>
      <c r="AA55" s="11" t="n">
        <v>0.06622532876621134</v>
      </c>
    </row>
    <row r="56">
      <c r="A56" s="3" t="inlineStr">
        <is>
          <t>2005-T3</t>
        </is>
      </c>
      <c r="B56" s="13" t="n">
        <v>38625</v>
      </c>
      <c r="C56" s="14" t="n">
        <v>20</v>
      </c>
      <c r="D56" s="14" t="n">
        <v>1.41</v>
      </c>
      <c r="E56" s="14" t="n">
        <v>1.3</v>
      </c>
      <c r="F56" s="5" t="n">
        <v>0.0434</v>
      </c>
      <c r="G56" s="5" t="n">
        <v>0.03646934460887952</v>
      </c>
      <c r="H56" s="5" t="n">
        <v>0.0612</v>
      </c>
      <c r="I56" s="15">
        <f>IFERROR(C56/D56,"")</f>
        <v/>
      </c>
      <c r="J56" s="9">
        <f>IFERROR(D56/C56,"")</f>
        <v/>
      </c>
      <c r="K56" s="9">
        <f>IFERROR(E56/C56,"")</f>
        <v/>
      </c>
      <c r="L56" s="9">
        <f>IFERROR(F56-G56,"")</f>
        <v/>
      </c>
      <c r="M56" s="9">
        <f>IFERROR(J56-F56,"")</f>
        <v/>
      </c>
      <c r="N56" s="9">
        <f>IFERROR(J56-L56,"")</f>
        <v/>
      </c>
      <c r="O56" s="9">
        <f>IFERROR(J56-H56,"")</f>
        <v/>
      </c>
      <c r="P56" s="9">
        <f>IFERROR(K56-F56,"")</f>
        <v/>
      </c>
      <c r="Q56" s="7" t="n">
        <v>0.01655629139072848</v>
      </c>
      <c r="R56" s="7" t="n">
        <v>0.3344370860927152</v>
      </c>
      <c r="S56" s="7" t="n">
        <v>0.5794701986754967</v>
      </c>
      <c r="T56" s="7" t="n">
        <v>0.3278145695364238</v>
      </c>
      <c r="U56" s="7" t="n">
        <v>0.03333333333333333</v>
      </c>
      <c r="V56" s="7" t="n">
        <v>0.2515151515151515</v>
      </c>
      <c r="W56" s="7" t="n">
        <v>0.2304347826086957</v>
      </c>
      <c r="X56" s="7" t="n">
        <v>0.2533659161646493</v>
      </c>
      <c r="Y56" s="3">
        <f>IF(X56="","",IF(X56&gt;='Léeme'!$B$6,"barato",IF(X56&lt;'Léeme'!$B$7,"caro","medio")))</f>
        <v/>
      </c>
      <c r="Z56" s="11" t="n">
        <v>0.1362204249969359</v>
      </c>
      <c r="AA56" s="11" t="n">
        <v>0.1056900848629814</v>
      </c>
    </row>
    <row r="57">
      <c r="A57" s="3" t="inlineStr">
        <is>
          <t>2005-T4</t>
        </is>
      </c>
      <c r="B57" s="13" t="n">
        <v>38716</v>
      </c>
      <c r="C57" s="14" t="n">
        <v>20.370001</v>
      </c>
      <c r="D57" s="14" t="n">
        <v>1.41</v>
      </c>
      <c r="E57" s="14" t="n">
        <v>1.3</v>
      </c>
      <c r="F57" s="5" t="n">
        <v>0.04389999999999999</v>
      </c>
      <c r="G57" s="5" t="n">
        <v>0.03338549817423053</v>
      </c>
      <c r="H57" s="5" t="n">
        <v>0.0619</v>
      </c>
      <c r="I57" s="15">
        <f>IFERROR(C57/D57,"")</f>
        <v/>
      </c>
      <c r="J57" s="9">
        <f>IFERROR(D57/C57,"")</f>
        <v/>
      </c>
      <c r="K57" s="9">
        <f>IFERROR(E57/C57,"")</f>
        <v/>
      </c>
      <c r="L57" s="9">
        <f>IFERROR(F57-G57,"")</f>
        <v/>
      </c>
      <c r="M57" s="9">
        <f>IFERROR(J57-F57,"")</f>
        <v/>
      </c>
      <c r="N57" s="9">
        <f>IFERROR(J57-L57,"")</f>
        <v/>
      </c>
      <c r="O57" s="9">
        <f>IFERROR(J57-H57,"")</f>
        <v/>
      </c>
      <c r="P57" s="9">
        <f>IFERROR(K57-F57,"")</f>
        <v/>
      </c>
      <c r="Q57" s="7" t="n">
        <v>0.01623376623376623</v>
      </c>
      <c r="R57" s="7" t="n">
        <v>0.2694805194805195</v>
      </c>
      <c r="S57" s="7" t="n">
        <v>0.4772727272727273</v>
      </c>
      <c r="T57" s="7" t="n">
        <v>0.224025974025974</v>
      </c>
      <c r="U57" s="7" t="n">
        <v>0.02083333333333333</v>
      </c>
      <c r="V57" s="7" t="n">
        <v>0.2232142857142857</v>
      </c>
      <c r="W57" s="7" t="n">
        <v>0.2245762711864407</v>
      </c>
      <c r="X57" s="7" t="n">
        <v>0.2079481253210067</v>
      </c>
      <c r="Y57" s="3">
        <f>IF(X57="","",IF(X57&gt;='Léeme'!$B$6,"barato",IF(X57&lt;'Léeme'!$B$7,"caro","medio")))</f>
        <v/>
      </c>
      <c r="Z57" s="11" t="n">
        <v>0.1829741172972732</v>
      </c>
      <c r="AA57" s="11" t="n">
        <v>0.1146340687716554</v>
      </c>
    </row>
    <row r="58">
      <c r="A58" s="3" t="inlineStr">
        <is>
          <t>2006-T1</t>
        </is>
      </c>
      <c r="B58" s="13" t="n">
        <v>38807</v>
      </c>
      <c r="C58" s="14" t="n">
        <v>23.299999</v>
      </c>
      <c r="D58" s="14" t="n">
        <v>1.5</v>
      </c>
      <c r="E58" s="14" t="n">
        <v>1.3</v>
      </c>
      <c r="F58" s="5" t="n">
        <v>0.0486</v>
      </c>
      <c r="G58" s="5" t="n">
        <v>0.0363825363825363</v>
      </c>
      <c r="H58" s="5" t="n">
        <v>0.06559999999999999</v>
      </c>
      <c r="I58" s="15">
        <f>IFERROR(C58/D58,"")</f>
        <v/>
      </c>
      <c r="J58" s="9">
        <f>IFERROR(D58/C58,"")</f>
        <v/>
      </c>
      <c r="K58" s="9">
        <f>IFERROR(E58/C58,"")</f>
        <v/>
      </c>
      <c r="L58" s="9">
        <f>IFERROR(F58-G58,"")</f>
        <v/>
      </c>
      <c r="M58" s="9">
        <f>IFERROR(J58-F58,"")</f>
        <v/>
      </c>
      <c r="N58" s="9">
        <f>IFERROR(J58-L58,"")</f>
        <v/>
      </c>
      <c r="O58" s="9">
        <f>IFERROR(J58-H58,"")</f>
        <v/>
      </c>
      <c r="P58" s="9">
        <f>IFERROR(K58-F58,"")</f>
        <v/>
      </c>
      <c r="Q58" s="7" t="n">
        <v>0.009554140127388535</v>
      </c>
      <c r="R58" s="7" t="n">
        <v>0.09235668789808917</v>
      </c>
      <c r="S58" s="7" t="n">
        <v>0.2707006369426752</v>
      </c>
      <c r="T58" s="7" t="n">
        <v>0.08598726114649681</v>
      </c>
      <c r="U58" s="7" t="n">
        <v>0.002923976608187134</v>
      </c>
      <c r="V58" s="7" t="n">
        <v>0.002923976608187134</v>
      </c>
      <c r="W58" s="7" t="n">
        <v>0.08677685950413223</v>
      </c>
      <c r="X58" s="7" t="n">
        <v>0.07874621983359374</v>
      </c>
      <c r="Y58" s="3">
        <f>IF(X58="","",IF(X58&gt;='Léeme'!$B$6,"barato",IF(X58&lt;'Léeme'!$B$7,"caro","medio")))</f>
        <v/>
      </c>
      <c r="Z58" s="11" t="n">
        <v>0.08996283550179496</v>
      </c>
      <c r="AA58" s="11" t="n">
        <v>0.08054282028369597</v>
      </c>
    </row>
    <row r="59">
      <c r="A59" s="3" t="inlineStr">
        <is>
          <t>2006-T2</t>
        </is>
      </c>
      <c r="B59" s="13" t="n">
        <v>38898</v>
      </c>
      <c r="C59" s="14" t="n">
        <v>19.950001</v>
      </c>
      <c r="D59" s="14" t="n">
        <v>1.5</v>
      </c>
      <c r="E59" s="14" t="n">
        <v>1.3</v>
      </c>
      <c r="F59" s="5" t="n">
        <v>0.0515</v>
      </c>
      <c r="G59" s="5" t="n">
        <v>0.03977272727272729</v>
      </c>
      <c r="H59" s="5" t="n">
        <v>0.06909999999999999</v>
      </c>
      <c r="I59" s="15">
        <f>IFERROR(C59/D59,"")</f>
        <v/>
      </c>
      <c r="J59" s="9">
        <f>IFERROR(D59/C59,"")</f>
        <v/>
      </c>
      <c r="K59" s="9">
        <f>IFERROR(E59/C59,"")</f>
        <v/>
      </c>
      <c r="L59" s="9">
        <f>IFERROR(F59-G59,"")</f>
        <v/>
      </c>
      <c r="M59" s="9">
        <f>IFERROR(J59-F59,"")</f>
        <v/>
      </c>
      <c r="N59" s="9">
        <f>IFERROR(J59-L59,"")</f>
        <v/>
      </c>
      <c r="O59" s="9">
        <f>IFERROR(J59-H59,"")</f>
        <v/>
      </c>
      <c r="P59" s="9">
        <f>IFERROR(K59-F59,"")</f>
        <v/>
      </c>
      <c r="Q59" s="7" t="n">
        <v>0.128125</v>
      </c>
      <c r="R59" s="7" t="n">
        <v>0.228125</v>
      </c>
      <c r="S59" s="7" t="n">
        <v>0.584375</v>
      </c>
      <c r="T59" s="7" t="n">
        <v>0.196875</v>
      </c>
      <c r="U59" s="7" t="n">
        <v>0.07758620689655173</v>
      </c>
      <c r="V59" s="7" t="n">
        <v>0.1235632183908046</v>
      </c>
      <c r="W59" s="7" t="n">
        <v>0.4233870967741936</v>
      </c>
      <c r="X59" s="7" t="n">
        <v>0.25171950315165</v>
      </c>
      <c r="Y59" s="3">
        <f>IF(X59="","",IF(X59&gt;='Léeme'!$B$6,"barato",IF(X59&lt;'Léeme'!$B$7,"caro","medio")))</f>
        <v/>
      </c>
      <c r="Z59" s="11" t="n">
        <v>0.1494932193898821</v>
      </c>
      <c r="AA59" s="11" t="n">
        <v>0.1002798989756857</v>
      </c>
    </row>
    <row r="60">
      <c r="A60" s="3" t="inlineStr">
        <is>
          <t>2006-T3</t>
        </is>
      </c>
      <c r="B60" s="13" t="n">
        <v>38989</v>
      </c>
      <c r="C60" s="14" t="n">
        <v>21.6</v>
      </c>
      <c r="D60" s="14" t="n">
        <v>1.5</v>
      </c>
      <c r="E60" s="14" t="n">
        <v>1.34</v>
      </c>
      <c r="F60" s="5" t="n">
        <v>0.0464</v>
      </c>
      <c r="G60" s="5" t="n">
        <v>0.03926568077511483</v>
      </c>
      <c r="H60" s="5" t="n">
        <v>0.0636</v>
      </c>
      <c r="I60" s="15">
        <f>IFERROR(C60/D60,"")</f>
        <v/>
      </c>
      <c r="J60" s="9">
        <f>IFERROR(D60/C60,"")</f>
        <v/>
      </c>
      <c r="K60" s="9">
        <f>IFERROR(E60/C60,"")</f>
        <v/>
      </c>
      <c r="L60" s="9">
        <f>IFERROR(F60-G60,"")</f>
        <v/>
      </c>
      <c r="M60" s="9">
        <f>IFERROR(J60-F60,"")</f>
        <v/>
      </c>
      <c r="N60" s="9">
        <f>IFERROR(J60-L60,"")</f>
        <v/>
      </c>
      <c r="O60" s="9">
        <f>IFERROR(J60-H60,"")</f>
        <v/>
      </c>
      <c r="P60" s="9">
        <f>IFERROR(K60-F60,"")</f>
        <v/>
      </c>
      <c r="Q60" s="7" t="n">
        <v>0.0460122699386503</v>
      </c>
      <c r="R60" s="7" t="n">
        <v>0.2177914110429448</v>
      </c>
      <c r="S60" s="7" t="n">
        <v>0.5674846625766872</v>
      </c>
      <c r="T60" s="7" t="n">
        <v>0.1871165644171779</v>
      </c>
      <c r="U60" s="7" t="n">
        <v>0.03107344632768362</v>
      </c>
      <c r="V60" s="7" t="n">
        <v>0.1553672316384181</v>
      </c>
      <c r="W60" s="7" t="n">
        <v>0.3818897637795275</v>
      </c>
      <c r="X60" s="7" t="n">
        <v>0.2266764785315842</v>
      </c>
      <c r="Y60" s="3">
        <f>IF(X60="","",IF(X60&gt;='Léeme'!$B$6,"barato",IF(X60&lt;'Léeme'!$B$7,"caro","medio")))</f>
        <v/>
      </c>
      <c r="Z60" s="11" t="n">
        <v>0.1847465197741716</v>
      </c>
      <c r="AA60" s="11" t="n">
        <v>0.104074596554584</v>
      </c>
    </row>
    <row r="61">
      <c r="A61" s="3" t="inlineStr">
        <is>
          <t>2006-T4</t>
        </is>
      </c>
      <c r="B61" s="13" t="n">
        <v>39080</v>
      </c>
      <c r="C61" s="14" t="n">
        <v>22.950001</v>
      </c>
      <c r="D61" s="14" t="n">
        <v>1.5</v>
      </c>
      <c r="E61" s="14" t="n">
        <v>1.34</v>
      </c>
      <c r="F61" s="5" t="n">
        <v>0.0471</v>
      </c>
      <c r="G61" s="5" t="n">
        <v>0.01968702675416467</v>
      </c>
      <c r="H61" s="5" t="n">
        <v>0.0635</v>
      </c>
      <c r="I61" s="15">
        <f>IFERROR(C61/D61,"")</f>
        <v/>
      </c>
      <c r="J61" s="9">
        <f>IFERROR(D61/C61,"")</f>
        <v/>
      </c>
      <c r="K61" s="9">
        <f>IFERROR(E61/C61,"")</f>
        <v/>
      </c>
      <c r="L61" s="9">
        <f>IFERROR(F61-G61,"")</f>
        <v/>
      </c>
      <c r="M61" s="9">
        <f>IFERROR(J61-F61,"")</f>
        <v/>
      </c>
      <c r="N61" s="9">
        <f>IFERROR(J61-L61,"")</f>
        <v/>
      </c>
      <c r="O61" s="9">
        <f>IFERROR(J61-H61,"")</f>
        <v/>
      </c>
      <c r="P61" s="9">
        <f>IFERROR(K61-F61,"")</f>
        <v/>
      </c>
      <c r="Q61" s="7" t="n">
        <v>0.02108433734939759</v>
      </c>
      <c r="R61" s="7" t="n">
        <v>0.105421686746988</v>
      </c>
      <c r="S61" s="7" t="n">
        <v>0.08132530120481928</v>
      </c>
      <c r="T61" s="7" t="n">
        <v>0.1234939759036145</v>
      </c>
      <c r="U61" s="7" t="n">
        <v>0.025</v>
      </c>
      <c r="V61" s="7" t="n">
        <v>0.05277777777777778</v>
      </c>
      <c r="W61" s="7" t="n">
        <v>0.3038461538461538</v>
      </c>
      <c r="X61" s="7" t="n">
        <v>0.1018498904041073</v>
      </c>
      <c r="Y61" s="3">
        <f>IF(X61="","",IF(X61&gt;='Léeme'!$B$6,"barato",IF(X61&lt;'Léeme'!$B$7,"caro","medio")))</f>
        <v/>
      </c>
      <c r="Z61" s="11" t="n">
        <v>0.07878453872000724</v>
      </c>
      <c r="AA61" s="11" t="n">
        <v>0.08686316917246817</v>
      </c>
    </row>
    <row r="62">
      <c r="A62" s="3" t="inlineStr">
        <is>
          <t>2007-T1</t>
        </is>
      </c>
      <c r="B62" s="13" t="n">
        <v>39171</v>
      </c>
      <c r="C62" s="14" t="n">
        <v>24.190001</v>
      </c>
      <c r="D62" s="14" t="n">
        <v>1.67</v>
      </c>
      <c r="E62" s="14" t="n">
        <v>1.34</v>
      </c>
      <c r="F62" s="5" t="n">
        <v>0.04650000000000001</v>
      </c>
      <c r="G62" s="5" t="n">
        <v>0.02420260782347028</v>
      </c>
      <c r="H62" s="5" t="n">
        <v>0.0638</v>
      </c>
      <c r="I62" s="15">
        <f>IFERROR(C62/D62,"")</f>
        <v/>
      </c>
      <c r="J62" s="9">
        <f>IFERROR(D62/C62,"")</f>
        <v/>
      </c>
      <c r="K62" s="9">
        <f>IFERROR(E62/C62,"")</f>
        <v/>
      </c>
      <c r="L62" s="9">
        <f>IFERROR(F62-G62,"")</f>
        <v/>
      </c>
      <c r="M62" s="9">
        <f>IFERROR(J62-F62,"")</f>
        <v/>
      </c>
      <c r="N62" s="9">
        <f>IFERROR(J62-L62,"")</f>
        <v/>
      </c>
      <c r="O62" s="9">
        <f>IFERROR(J62-H62,"")</f>
        <v/>
      </c>
      <c r="P62" s="9">
        <f>IFERROR(K62-F62,"")</f>
        <v/>
      </c>
      <c r="Q62" s="7" t="n">
        <v>0.05621301775147929</v>
      </c>
      <c r="R62" s="7" t="n">
        <v>0.2100591715976331</v>
      </c>
      <c r="S62" s="7" t="n">
        <v>0.1686390532544379</v>
      </c>
      <c r="T62" s="7" t="n">
        <v>0.1804733727810651</v>
      </c>
      <c r="U62" s="7" t="n">
        <v>0.00273224043715847</v>
      </c>
      <c r="V62" s="7" t="n">
        <v>0.02459016393442623</v>
      </c>
      <c r="W62" s="7" t="n">
        <v>0.4398496240601504</v>
      </c>
      <c r="X62" s="7" t="n">
        <v>0.1546509491166215</v>
      </c>
      <c r="Y62" s="3">
        <f>IF(X62="","",IF(X62&gt;='Léeme'!$B$6,"barato",IF(X62&lt;'Léeme'!$B$7,"caro","medio")))</f>
        <v/>
      </c>
      <c r="Z62" s="11" t="n">
        <v>-0.02952456448386998</v>
      </c>
      <c r="AA62" s="11" t="n">
        <v>0.08052255288274002</v>
      </c>
    </row>
    <row r="63">
      <c r="A63" s="3" t="inlineStr">
        <is>
          <t>2007-T2</t>
        </is>
      </c>
      <c r="B63" s="13" t="n">
        <v>39262</v>
      </c>
      <c r="C63" s="14" t="n">
        <v>21.860001</v>
      </c>
      <c r="D63" s="14" t="n">
        <v>1.67</v>
      </c>
      <c r="E63" s="14" t="n">
        <v>1.42</v>
      </c>
      <c r="F63" s="5" t="n">
        <v>0.0503</v>
      </c>
      <c r="G63" s="5" t="n">
        <v>0.02709885742672613</v>
      </c>
      <c r="H63" s="5" t="n">
        <v>0.0672</v>
      </c>
      <c r="I63" s="15">
        <f>IFERROR(C63/D63,"")</f>
        <v/>
      </c>
      <c r="J63" s="9">
        <f>IFERROR(D63/C63,"")</f>
        <v/>
      </c>
      <c r="K63" s="9">
        <f>IFERROR(E63/C63,"")</f>
        <v/>
      </c>
      <c r="L63" s="9">
        <f>IFERROR(F63-G63,"")</f>
        <v/>
      </c>
      <c r="M63" s="9">
        <f>IFERROR(J63-F63,"")</f>
        <v/>
      </c>
      <c r="N63" s="9">
        <f>IFERROR(J63-L63,"")</f>
        <v/>
      </c>
      <c r="O63" s="9">
        <f>IFERROR(J63-H63,"")</f>
        <v/>
      </c>
      <c r="P63" s="9">
        <f>IFERROR(K63-F63,"")</f>
        <v/>
      </c>
      <c r="Q63" s="7" t="n">
        <v>0.2180232558139535</v>
      </c>
      <c r="R63" s="7" t="n">
        <v>0.3633720930232558</v>
      </c>
      <c r="S63" s="7" t="n">
        <v>0.3343023255813953</v>
      </c>
      <c r="T63" s="7" t="n">
        <v>0.3924418604651163</v>
      </c>
      <c r="U63" s="7" t="n">
        <v>0.1209677419354839</v>
      </c>
      <c r="V63" s="7" t="n">
        <v>0.1854838709677419</v>
      </c>
      <c r="W63" s="7" t="n">
        <v>0.5992647058823529</v>
      </c>
      <c r="X63" s="7" t="n">
        <v>0.3162651219527571</v>
      </c>
      <c r="Y63" s="3">
        <f>IF(X63="","",IF(X63&gt;='Léeme'!$B$6,"barato",IF(X63&lt;'Léeme'!$B$7,"caro","medio")))</f>
        <v/>
      </c>
      <c r="Z63" s="11" t="n">
        <v>0.01021628091176696</v>
      </c>
      <c r="AA63" s="11" t="n">
        <v>0.1113370082434944</v>
      </c>
    </row>
    <row r="64">
      <c r="A64" s="3" t="inlineStr">
        <is>
          <t>2007-T3</t>
        </is>
      </c>
      <c r="B64" s="13" t="n">
        <v>39353</v>
      </c>
      <c r="C64" s="14" t="n">
        <v>24.379999</v>
      </c>
      <c r="D64" s="14" t="n">
        <v>1.67</v>
      </c>
      <c r="E64" s="14" t="n">
        <v>1.42</v>
      </c>
      <c r="F64" s="5" t="n">
        <v>0.0459</v>
      </c>
      <c r="G64" s="5" t="n">
        <v>0.01897448478900876</v>
      </c>
      <c r="H64" s="5" t="n">
        <v>0.0659</v>
      </c>
      <c r="I64" s="15">
        <f>IFERROR(C64/D64,"")</f>
        <v/>
      </c>
      <c r="J64" s="9">
        <f>IFERROR(D64/C64,"")</f>
        <v/>
      </c>
      <c r="K64" s="9">
        <f>IFERROR(E64/C64,"")</f>
        <v/>
      </c>
      <c r="L64" s="9">
        <f>IFERROR(F64-G64,"")</f>
        <v/>
      </c>
      <c r="M64" s="9">
        <f>IFERROR(J64-F64,"")</f>
        <v/>
      </c>
      <c r="N64" s="9">
        <f>IFERROR(J64-L64,"")</f>
        <v/>
      </c>
      <c r="O64" s="9">
        <f>IFERROR(J64-H64,"")</f>
        <v/>
      </c>
      <c r="P64" s="9">
        <f>IFERROR(K64-F64,"")</f>
        <v/>
      </c>
      <c r="Q64" s="7" t="n">
        <v>0.04857142857142857</v>
      </c>
      <c r="R64" s="7" t="n">
        <v>0.22</v>
      </c>
      <c r="S64" s="7" t="n">
        <v>0.1057142857142857</v>
      </c>
      <c r="T64" s="7" t="n">
        <v>0.1285714285714286</v>
      </c>
      <c r="U64" s="7" t="n">
        <v>0.03968253968253968</v>
      </c>
      <c r="V64" s="7" t="n">
        <v>0.1084656084656085</v>
      </c>
      <c r="W64" s="7" t="n">
        <v>0.4640287769784173</v>
      </c>
      <c r="X64" s="7" t="n">
        <v>0.1592905811405298</v>
      </c>
      <c r="Y64" s="3">
        <f>IF(X64="","",IF(X64&gt;='Léeme'!$B$6,"barato",IF(X64&lt;'Léeme'!$B$7,"caro","medio")))</f>
        <v/>
      </c>
      <c r="Z64" s="11" t="n">
        <v>0.03025953758721323</v>
      </c>
      <c r="AA64" s="11" t="n">
        <v>0.1032080909264264</v>
      </c>
    </row>
    <row r="65">
      <c r="A65" s="3" t="inlineStr">
        <is>
          <t>2007-T4</t>
        </is>
      </c>
      <c r="B65" s="13" t="n">
        <v>39447</v>
      </c>
      <c r="C65" s="14" t="n">
        <v>23.379999</v>
      </c>
      <c r="D65" s="14" t="n">
        <v>1.67</v>
      </c>
      <c r="E65" s="14" t="n">
        <v>1.42</v>
      </c>
      <c r="F65" s="5" t="n">
        <v>0.0404</v>
      </c>
      <c r="G65" s="5" t="n">
        <v>0.04373267326732666</v>
      </c>
      <c r="H65" s="5" t="n">
        <v>0.06619999999999999</v>
      </c>
      <c r="I65" s="15">
        <f>IFERROR(C65/D65,"")</f>
        <v/>
      </c>
      <c r="J65" s="9">
        <f>IFERROR(D65/C65,"")</f>
        <v/>
      </c>
      <c r="K65" s="9">
        <f>IFERROR(E65/C65,"")</f>
        <v/>
      </c>
      <c r="L65" s="9">
        <f>IFERROR(F65-G65,"")</f>
        <v/>
      </c>
      <c r="M65" s="9">
        <f>IFERROR(J65-F65,"")</f>
        <v/>
      </c>
      <c r="N65" s="9">
        <f>IFERROR(J65-L65,"")</f>
        <v/>
      </c>
      <c r="O65" s="9">
        <f>IFERROR(J65-H65,"")</f>
        <v/>
      </c>
      <c r="P65" s="9">
        <f>IFERROR(K65-F65,"")</f>
        <v/>
      </c>
      <c r="Q65" s="7" t="n">
        <v>0.1432584269662921</v>
      </c>
      <c r="R65" s="7" t="n">
        <v>0.5196629213483146</v>
      </c>
      <c r="S65" s="7" t="n">
        <v>0.7612359550561798</v>
      </c>
      <c r="T65" s="7" t="n">
        <v>0.1938202247191011</v>
      </c>
      <c r="U65" s="7" t="n">
        <v>0.0859375</v>
      </c>
      <c r="V65" s="7" t="n">
        <v>0.3255208333333333</v>
      </c>
      <c r="W65" s="7" t="n">
        <v>0.5246478873239436</v>
      </c>
      <c r="X65" s="7" t="n">
        <v>0.3648691069638806</v>
      </c>
      <c r="Y65" s="3">
        <f>IF(X65="","",IF(X65&gt;='Léeme'!$B$6,"barato",IF(X65&lt;'Léeme'!$B$7,"caro","medio")))</f>
        <v/>
      </c>
      <c r="Z65" s="11" t="n">
        <v>-0.2209259127510493</v>
      </c>
      <c r="AA65" s="11" t="n">
        <v>0.1172092694892475</v>
      </c>
    </row>
    <row r="66">
      <c r="A66" s="3" t="inlineStr">
        <is>
          <t>2008-T1</t>
        </is>
      </c>
      <c r="B66" s="13" t="n">
        <v>39538</v>
      </c>
      <c r="C66" s="14" t="n">
        <v>22.049999</v>
      </c>
      <c r="D66" s="14" t="n">
        <v>1.87</v>
      </c>
      <c r="E66" s="14" t="n">
        <v>1.42</v>
      </c>
      <c r="F66" s="5" t="n">
        <v>0.0345</v>
      </c>
      <c r="G66" s="5" t="n">
        <v>0.04142959270611968</v>
      </c>
      <c r="H66" s="5" t="n">
        <v>0.0694</v>
      </c>
      <c r="I66" s="15">
        <f>IFERROR(C66/D66,"")</f>
        <v/>
      </c>
      <c r="J66" s="9">
        <f>IFERROR(D66/C66,"")</f>
        <v/>
      </c>
      <c r="K66" s="9">
        <f>IFERROR(E66/C66,"")</f>
        <v/>
      </c>
      <c r="L66" s="9">
        <f>IFERROR(F66-G66,"")</f>
        <v/>
      </c>
      <c r="M66" s="9">
        <f>IFERROR(J66-F66,"")</f>
        <v/>
      </c>
      <c r="N66" s="9">
        <f>IFERROR(J66-L66,"")</f>
        <v/>
      </c>
      <c r="O66" s="9">
        <f>IFERROR(J66-H66,"")</f>
        <v/>
      </c>
      <c r="P66" s="9">
        <f>IFERROR(K66-F66,"")</f>
        <v/>
      </c>
      <c r="Q66" s="7" t="n">
        <v>0.4116022099447514</v>
      </c>
      <c r="R66" s="7" t="n">
        <v>0.7265193370165746</v>
      </c>
      <c r="S66" s="7" t="n">
        <v>0.8701657458563536</v>
      </c>
      <c r="T66" s="7" t="n">
        <v>0.6160220994475138</v>
      </c>
      <c r="U66" s="7" t="n">
        <v>0.141025641025641</v>
      </c>
      <c r="V66" s="7" t="n">
        <v>0.5974358974358974</v>
      </c>
      <c r="W66" s="7" t="n">
        <v>0.7827586206896552</v>
      </c>
      <c r="X66" s="7" t="n">
        <v>0.5922185073451981</v>
      </c>
      <c r="Y66" s="3">
        <f>IF(X66="","",IF(X66&gt;='Léeme'!$B$6,"barato",IF(X66&lt;'Léeme'!$B$7,"caro","medio")))</f>
        <v/>
      </c>
      <c r="Z66" s="11" t="n">
        <v>-0.2344317130134593</v>
      </c>
      <c r="AA66" s="11" t="n">
        <v>0.1636502639860868</v>
      </c>
    </row>
    <row r="67">
      <c r="A67" s="3" t="inlineStr">
        <is>
          <t>2008-T2</t>
        </is>
      </c>
      <c r="B67" s="13" t="n">
        <v>39629</v>
      </c>
      <c r="C67" s="14" t="n">
        <v>20.9</v>
      </c>
      <c r="D67" s="14" t="n">
        <v>1.87</v>
      </c>
      <c r="E67" s="14" t="n">
        <v>1.5</v>
      </c>
      <c r="F67" s="5" t="n">
        <v>0.0399</v>
      </c>
      <c r="G67" s="5" t="n">
        <v>0.04088413823123993</v>
      </c>
      <c r="H67" s="5" t="n">
        <v>0.0703</v>
      </c>
      <c r="I67" s="15">
        <f>IFERROR(C67/D67,"")</f>
        <v/>
      </c>
      <c r="J67" s="9">
        <f>IFERROR(D67/C67,"")</f>
        <v/>
      </c>
      <c r="K67" s="9">
        <f>IFERROR(E67/C67,"")</f>
        <v/>
      </c>
      <c r="L67" s="9">
        <f>IFERROR(F67-G67,"")</f>
        <v/>
      </c>
      <c r="M67" s="9">
        <f>IFERROR(J67-F67,"")</f>
        <v/>
      </c>
      <c r="N67" s="9">
        <f>IFERROR(J67-L67,"")</f>
        <v/>
      </c>
      <c r="O67" s="9">
        <f>IFERROR(J67-H67,"")</f>
        <v/>
      </c>
      <c r="P67" s="9">
        <f>IFERROR(K67-F67,"")</f>
        <v/>
      </c>
      <c r="Q67" s="7" t="n">
        <v>0.6114130434782609</v>
      </c>
      <c r="R67" s="7" t="n">
        <v>0.7146739130434783</v>
      </c>
      <c r="S67" s="7" t="n">
        <v>0.8614130434782609</v>
      </c>
      <c r="T67" s="7" t="n">
        <v>0.7255434782608695</v>
      </c>
      <c r="U67" s="7" t="n">
        <v>0.2702020202020202</v>
      </c>
      <c r="V67" s="7" t="n">
        <v>0.6540404040404041</v>
      </c>
      <c r="W67" s="7" t="n">
        <v>0.8006756756756757</v>
      </c>
      <c r="X67" s="7" t="n">
        <v>0.6625659397398528</v>
      </c>
      <c r="Y67" s="3">
        <f>IF(X67="","",IF(X67&gt;='Léeme'!$B$6,"barato",IF(X67&lt;'Léeme'!$B$7,"caro","medio")))</f>
        <v/>
      </c>
      <c r="Z67" s="11" t="n">
        <v>-0.1114544571361442</v>
      </c>
      <c r="AA67" s="11" t="n">
        <v>0.1633540646231062</v>
      </c>
    </row>
    <row r="68">
      <c r="A68" s="3" t="inlineStr">
        <is>
          <t>2008-T3</t>
        </is>
      </c>
      <c r="B68" s="13" t="n">
        <v>39721</v>
      </c>
      <c r="C68" s="14" t="n">
        <v>23.950001</v>
      </c>
      <c r="D68" s="14" t="n">
        <v>1.87</v>
      </c>
      <c r="E68" s="14" t="n">
        <v>1.5</v>
      </c>
      <c r="F68" s="5" t="n">
        <v>0.0385</v>
      </c>
      <c r="G68" s="5" t="n">
        <v>0.05308017162091239</v>
      </c>
      <c r="H68" s="5" t="n">
        <v>0.0762</v>
      </c>
      <c r="I68" s="15">
        <f>IFERROR(C68/D68,"")</f>
        <v/>
      </c>
      <c r="J68" s="9">
        <f>IFERROR(D68/C68,"")</f>
        <v/>
      </c>
      <c r="K68" s="9">
        <f>IFERROR(E68/C68,"")</f>
        <v/>
      </c>
      <c r="L68" s="9">
        <f>IFERROR(F68-G68,"")</f>
        <v/>
      </c>
      <c r="M68" s="9">
        <f>IFERROR(J68-F68,"")</f>
        <v/>
      </c>
      <c r="N68" s="9">
        <f>IFERROR(J68-L68,"")</f>
        <v/>
      </c>
      <c r="O68" s="9">
        <f>IFERROR(J68-H68,"")</f>
        <v/>
      </c>
      <c r="P68" s="9">
        <f>IFERROR(K68-F68,"")</f>
        <v/>
      </c>
      <c r="Q68" s="7" t="n">
        <v>0.2754010695187166</v>
      </c>
      <c r="R68" s="7" t="n">
        <v>0.6176470588235294</v>
      </c>
      <c r="S68" s="7" t="n">
        <v>0.8689839572192514</v>
      </c>
      <c r="T68" s="7" t="n">
        <v>0.1149732620320856</v>
      </c>
      <c r="U68" s="7" t="n">
        <v>0.1019900497512438</v>
      </c>
      <c r="V68" s="7" t="n">
        <v>0.4203980099502487</v>
      </c>
      <c r="W68" s="7" t="n">
        <v>0.6986754966887417</v>
      </c>
      <c r="X68" s="7" t="n">
        <v>0.4425812719976882</v>
      </c>
      <c r="Y68" s="3">
        <f>IF(X68="","",IF(X68&gt;='Léeme'!$B$6,"barato",IF(X68&lt;'Léeme'!$B$7,"caro","medio")))</f>
        <v/>
      </c>
      <c r="Z68" s="11" t="n">
        <v>-0.03927597232430502</v>
      </c>
      <c r="AA68" s="11" t="n">
        <v>0.1134019884171531</v>
      </c>
    </row>
    <row r="69">
      <c r="A69" s="3" t="inlineStr">
        <is>
          <t>2008-T4</t>
        </is>
      </c>
      <c r="B69" s="13" t="n">
        <v>39813</v>
      </c>
      <c r="C69" s="14" t="n">
        <v>17.190001</v>
      </c>
      <c r="D69" s="14" t="n">
        <v>1.87</v>
      </c>
      <c r="E69" s="14" t="n">
        <v>1.5</v>
      </c>
      <c r="F69" s="5" t="n">
        <v>0.0225</v>
      </c>
      <c r="G69" s="5" t="n">
        <v>0.01099917470616685</v>
      </c>
      <c r="H69" s="5" t="n">
        <v>0.07969999999999999</v>
      </c>
      <c r="I69" s="15">
        <f>IFERROR(C69/D69,"")</f>
        <v/>
      </c>
      <c r="J69" s="9">
        <f>IFERROR(D69/C69,"")</f>
        <v/>
      </c>
      <c r="K69" s="9">
        <f>IFERROR(E69/C69,"")</f>
        <v/>
      </c>
      <c r="L69" s="9">
        <f>IFERROR(F69-G69,"")</f>
        <v/>
      </c>
      <c r="M69" s="9">
        <f>IFERROR(J69-F69,"")</f>
        <v/>
      </c>
      <c r="N69" s="9">
        <f>IFERROR(J69-L69,"")</f>
        <v/>
      </c>
      <c r="O69" s="9">
        <f>IFERROR(J69-H69,"")</f>
        <v/>
      </c>
      <c r="P69" s="9">
        <f>IFERROR(K69-F69,"")</f>
        <v/>
      </c>
      <c r="Q69" s="7" t="n">
        <v>0.8131578947368421</v>
      </c>
      <c r="R69" s="7" t="n">
        <v>0.9657894736842105</v>
      </c>
      <c r="S69" s="7" t="n">
        <v>0.8763157894736842</v>
      </c>
      <c r="T69" s="7" t="n">
        <v>0.7973684210526316</v>
      </c>
      <c r="U69" s="7" t="n">
        <v>0.6102941176470589</v>
      </c>
      <c r="V69" s="7" t="n">
        <v>0.9779411764705882</v>
      </c>
      <c r="W69" s="7" t="n">
        <v>0.8928571428571429</v>
      </c>
      <c r="X69" s="7" t="n">
        <v>0.8476748594174512</v>
      </c>
      <c r="Y69" s="3">
        <f>IF(X69="","",IF(X69&gt;='Léeme'!$B$6,"barato",IF(X69&lt;'Léeme'!$B$7,"caro","medio")))</f>
        <v/>
      </c>
      <c r="Z69" s="11" t="n">
        <v>0.3188659042348387</v>
      </c>
      <c r="AA69" s="11" t="n">
        <v>0.1762511936198112</v>
      </c>
    </row>
    <row r="70">
      <c r="A70" s="3" t="inlineStr">
        <is>
          <t>2009-T1</t>
        </is>
      </c>
      <c r="B70" s="13" t="n">
        <v>39903</v>
      </c>
      <c r="C70" s="14" t="n">
        <v>15.84</v>
      </c>
      <c r="D70" s="14" t="n">
        <v>1.99</v>
      </c>
      <c r="E70" s="14" t="n">
        <v>1.5</v>
      </c>
      <c r="F70" s="5" t="n">
        <v>0.0271</v>
      </c>
      <c r="G70" s="5" t="n">
        <v>8.463140671510772e-05</v>
      </c>
      <c r="H70" s="5" t="n">
        <v>0.0848</v>
      </c>
      <c r="I70" s="15">
        <f>IFERROR(C70/D70,"")</f>
        <v/>
      </c>
      <c r="J70" s="9">
        <f>IFERROR(D70/C70,"")</f>
        <v/>
      </c>
      <c r="K70" s="9">
        <f>IFERROR(E70/C70,"")</f>
        <v/>
      </c>
      <c r="L70" s="9">
        <f>IFERROR(F70-G70,"")</f>
        <v/>
      </c>
      <c r="M70" s="9">
        <f>IFERROR(J70-F70,"")</f>
        <v/>
      </c>
      <c r="N70" s="9">
        <f>IFERROR(J70-L70,"")</f>
        <v/>
      </c>
      <c r="O70" s="9">
        <f>IFERROR(J70-H70,"")</f>
        <v/>
      </c>
      <c r="P70" s="9">
        <f>IFERROR(K70-F70,"")</f>
        <v/>
      </c>
      <c r="Q70" s="7" t="n">
        <v>0.883419689119171</v>
      </c>
      <c r="R70" s="7" t="n">
        <v>0.9818652849740933</v>
      </c>
      <c r="S70" s="7" t="n">
        <v>0.883419689119171</v>
      </c>
      <c r="T70" s="7" t="n">
        <v>0.8678756476683938</v>
      </c>
      <c r="U70" s="7" t="n">
        <v>0.7753623188405797</v>
      </c>
      <c r="V70" s="7" t="n">
        <v>0.9734299516908212</v>
      </c>
      <c r="W70" s="7" t="n">
        <v>0.9777070063694268</v>
      </c>
      <c r="X70" s="7" t="n">
        <v>0.9061542268259509</v>
      </c>
      <c r="Y70" s="3">
        <f>IF(X70="","",IF(X70&gt;='Léeme'!$B$6,"barato",IF(X70&lt;'Léeme'!$B$7,"caro","medio")))</f>
        <v/>
      </c>
      <c r="Z70" s="11" t="n">
        <v>0.5340521198823072</v>
      </c>
      <c r="AA70" s="11" t="n">
        <v>0.2235161155282757</v>
      </c>
    </row>
    <row r="71">
      <c r="A71" s="3" t="inlineStr">
        <is>
          <t>2009-T2</t>
        </is>
      </c>
      <c r="B71" s="13" t="n">
        <v>39994</v>
      </c>
      <c r="C71" s="14" t="n">
        <v>17.35</v>
      </c>
      <c r="D71" s="14" t="n">
        <v>1.99</v>
      </c>
      <c r="E71" s="14" t="n">
        <v>1.5</v>
      </c>
      <c r="F71" s="5" t="n">
        <v>0.0353</v>
      </c>
      <c r="G71" s="5" t="n">
        <v>-0.01015761495855172</v>
      </c>
      <c r="H71" s="5" t="n">
        <v>0.07200000000000001</v>
      </c>
      <c r="I71" s="15">
        <f>IFERROR(C71/D71,"")</f>
        <v/>
      </c>
      <c r="J71" s="9">
        <f>IFERROR(D71/C71,"")</f>
        <v/>
      </c>
      <c r="K71" s="9">
        <f>IFERROR(E71/C71,"")</f>
        <v/>
      </c>
      <c r="L71" s="9">
        <f>IFERROR(F71-G71,"")</f>
        <v/>
      </c>
      <c r="M71" s="9">
        <f>IFERROR(J71-F71,"")</f>
        <v/>
      </c>
      <c r="N71" s="9">
        <f>IFERROR(J71-L71,"")</f>
        <v/>
      </c>
      <c r="O71" s="9">
        <f>IFERROR(J71-H71,"")</f>
        <v/>
      </c>
      <c r="P71" s="9">
        <f>IFERROR(K71-F71,"")</f>
        <v/>
      </c>
      <c r="Q71" s="7" t="n">
        <v>0.8494897959183674</v>
      </c>
      <c r="R71" s="7" t="n">
        <v>0.9056122448979592</v>
      </c>
      <c r="S71" s="7" t="n">
        <v>0.6454081632653061</v>
      </c>
      <c r="T71" s="7" t="n">
        <v>0.8852040816326531</v>
      </c>
      <c r="U71" s="7" t="n">
        <v>0.5833333333333334</v>
      </c>
      <c r="V71" s="7" t="n">
        <v>0.8738095238095238</v>
      </c>
      <c r="W71" s="7" t="n">
        <v>0.909375</v>
      </c>
      <c r="X71" s="7" t="n">
        <v>0.8074617346938776</v>
      </c>
      <c r="Y71" s="3">
        <f>IF(X71="","",IF(X71&gt;='Léeme'!$B$6,"barato",IF(X71&lt;'Léeme'!$B$7,"caro","medio")))</f>
        <v/>
      </c>
      <c r="Z71" s="11" t="n">
        <v>0.3094833665318877</v>
      </c>
      <c r="AA71" s="11" t="n">
        <v>0.2190145123080502</v>
      </c>
    </row>
    <row r="72">
      <c r="A72" s="3" t="inlineStr">
        <is>
          <t>2009-T3</t>
        </is>
      </c>
      <c r="B72" s="13" t="n">
        <v>40086</v>
      </c>
      <c r="C72" s="14" t="n">
        <v>21.469999</v>
      </c>
      <c r="D72" s="14" t="n">
        <v>1.99</v>
      </c>
      <c r="E72" s="14" t="n">
        <v>1.5</v>
      </c>
      <c r="F72" s="5" t="n">
        <v>0.0331</v>
      </c>
      <c r="G72" s="5" t="n">
        <v>-0.01483835566326763</v>
      </c>
      <c r="H72" s="5" t="n">
        <v>0.0612</v>
      </c>
      <c r="I72" s="15">
        <f>IFERROR(C72/D72,"")</f>
        <v/>
      </c>
      <c r="J72" s="9">
        <f>IFERROR(D72/C72,"")</f>
        <v/>
      </c>
      <c r="K72" s="9">
        <f>IFERROR(E72/C72,"")</f>
        <v/>
      </c>
      <c r="L72" s="9">
        <f>IFERROR(F72-G72,"")</f>
        <v/>
      </c>
      <c r="M72" s="9">
        <f>IFERROR(J72-F72,"")</f>
        <v/>
      </c>
      <c r="N72" s="9">
        <f>IFERROR(J72-L72,"")</f>
        <v/>
      </c>
      <c r="O72" s="9">
        <f>IFERROR(J72-H72,"")</f>
        <v/>
      </c>
      <c r="P72" s="9">
        <f>IFERROR(K72-F72,"")</f>
        <v/>
      </c>
      <c r="Q72" s="7" t="n">
        <v>0.6708542713567839</v>
      </c>
      <c r="R72" s="7" t="n">
        <v>0.7763819095477387</v>
      </c>
      <c r="S72" s="7" t="n">
        <v>0.1231155778894472</v>
      </c>
      <c r="T72" s="7" t="n">
        <v>0.7914572864321608</v>
      </c>
      <c r="U72" s="7" t="n">
        <v>0.2417840375586854</v>
      </c>
      <c r="V72" s="7" t="n">
        <v>0.6784037558685446</v>
      </c>
      <c r="W72" s="7" t="n">
        <v>0.7822085889570553</v>
      </c>
      <c r="X72" s="7" t="n">
        <v>0.5806007753729165</v>
      </c>
      <c r="Y72" s="3">
        <f>IF(X72="","",IF(X72&gt;='Léeme'!$B$6,"barato",IF(X72&lt;'Léeme'!$B$7,"caro","medio")))</f>
        <v/>
      </c>
      <c r="Z72" s="11" t="n">
        <v>0.2361769663350297</v>
      </c>
      <c r="AA72" s="11" t="n">
        <v>0.1497629109439631</v>
      </c>
    </row>
    <row r="73">
      <c r="A73" s="3" t="inlineStr">
        <is>
          <t>2009-T4</t>
        </is>
      </c>
      <c r="B73" s="13" t="n">
        <v>40178</v>
      </c>
      <c r="C73" s="14" t="n">
        <v>21.219999</v>
      </c>
      <c r="D73" s="14" t="n">
        <v>1.99</v>
      </c>
      <c r="E73" s="14" t="n">
        <v>1.5</v>
      </c>
      <c r="F73" s="5" t="n">
        <v>0.0385</v>
      </c>
      <c r="G73" s="5" t="n">
        <v>0.01914587174470928</v>
      </c>
      <c r="H73" s="5" t="n">
        <v>0.0636</v>
      </c>
      <c r="I73" s="15">
        <f>IFERROR(C73/D73,"")</f>
        <v/>
      </c>
      <c r="J73" s="9">
        <f>IFERROR(D73/C73,"")</f>
        <v/>
      </c>
      <c r="K73" s="9">
        <f>IFERROR(E73/C73,"")</f>
        <v/>
      </c>
      <c r="L73" s="9">
        <f>IFERROR(F73-G73,"")</f>
        <v/>
      </c>
      <c r="M73" s="9">
        <f>IFERROR(J73-F73,"")</f>
        <v/>
      </c>
      <c r="N73" s="9">
        <f>IFERROR(J73-L73,"")</f>
        <v/>
      </c>
      <c r="O73" s="9">
        <f>IFERROR(J73-H73,"")</f>
        <v/>
      </c>
      <c r="P73" s="9">
        <f>IFERROR(K73-F73,"")</f>
        <v/>
      </c>
      <c r="Q73" s="7" t="n">
        <v>0.6856435643564357</v>
      </c>
      <c r="R73" s="7" t="n">
        <v>0.7400990099009901</v>
      </c>
      <c r="S73" s="7" t="n">
        <v>0.6905940594059405</v>
      </c>
      <c r="T73" s="7" t="n">
        <v>0.7698019801980198</v>
      </c>
      <c r="U73" s="7" t="n">
        <v>0.2523148148148148</v>
      </c>
      <c r="V73" s="7" t="n">
        <v>0.6180555555555556</v>
      </c>
      <c r="W73" s="7" t="n">
        <v>0.7740963855421686</v>
      </c>
      <c r="X73" s="7" t="n">
        <v>0.6472293385391322</v>
      </c>
      <c r="Y73" s="3">
        <f>IF(X73="","",IF(X73&gt;='Léeme'!$B$6,"barato",IF(X73&lt;'Léeme'!$B$7,"caro","medio")))</f>
        <v/>
      </c>
      <c r="Z73" s="11" t="n">
        <v>0.3145415569739509</v>
      </c>
      <c r="AA73" s="11" t="n">
        <v>0.1813258781337077</v>
      </c>
    </row>
    <row r="74">
      <c r="A74" s="3" t="inlineStr">
        <is>
          <t>2010-T1</t>
        </is>
      </c>
      <c r="B74" s="13" t="n">
        <v>40268</v>
      </c>
      <c r="C74" s="14" t="n">
        <v>22.83</v>
      </c>
      <c r="D74" s="14" t="n">
        <v>1.6547</v>
      </c>
      <c r="E74" s="14" t="n">
        <v>1.5</v>
      </c>
      <c r="F74" s="5" t="n">
        <v>0.0384</v>
      </c>
      <c r="G74" s="5" t="n">
        <v>0.02151336357866529</v>
      </c>
      <c r="H74" s="5" t="n">
        <v>0.0636</v>
      </c>
      <c r="I74" s="15">
        <f>IFERROR(C74/D74,"")</f>
        <v/>
      </c>
      <c r="J74" s="9">
        <f>IFERROR(D74/C74,"")</f>
        <v/>
      </c>
      <c r="K74" s="9">
        <f>IFERROR(E74/C74,"")</f>
        <v/>
      </c>
      <c r="L74" s="9">
        <f>IFERROR(F74-G74,"")</f>
        <v/>
      </c>
      <c r="M74" s="9">
        <f>IFERROR(J74-F74,"")</f>
        <v/>
      </c>
      <c r="N74" s="9">
        <f>IFERROR(J74-L74,"")</f>
        <v/>
      </c>
      <c r="O74" s="9">
        <f>IFERROR(J74-H74,"")</f>
        <v/>
      </c>
      <c r="P74" s="9">
        <f>IFERROR(K74-F74,"")</f>
        <v/>
      </c>
      <c r="Q74" s="7" t="n">
        <v>0.1390243902439025</v>
      </c>
      <c r="R74" s="7" t="n">
        <v>0.4853658536585366</v>
      </c>
      <c r="S74" s="7" t="n">
        <v>0.3634146341463415</v>
      </c>
      <c r="T74" s="7" t="n">
        <v>0.3390243902439025</v>
      </c>
      <c r="U74" s="7" t="n">
        <v>0.1666666666666667</v>
      </c>
      <c r="V74" s="7" t="n">
        <v>0.4817351598173516</v>
      </c>
      <c r="W74" s="7" t="n">
        <v>0.4526627218934911</v>
      </c>
      <c r="X74" s="7" t="n">
        <v>0.3468419738100275</v>
      </c>
      <c r="Y74" s="3">
        <f>IF(X74="","",IF(X74&gt;='Léeme'!$B$6,"barato",IF(X74&lt;'Léeme'!$B$7,"caro","medio")))</f>
        <v/>
      </c>
      <c r="Z74" s="11" t="n">
        <v>0.2018729925690863</v>
      </c>
      <c r="AA74" s="11" t="n">
        <v>0.1718893908146628</v>
      </c>
    </row>
    <row r="75">
      <c r="A75" s="3" t="inlineStr">
        <is>
          <t>2010-T2</t>
        </is>
      </c>
      <c r="B75" s="13" t="n">
        <v>40359</v>
      </c>
      <c r="C75" s="14" t="n">
        <v>21.440001</v>
      </c>
      <c r="D75" s="14" t="n">
        <v>1.6547</v>
      </c>
      <c r="E75" s="14" t="n">
        <v>1.5</v>
      </c>
      <c r="F75" s="5" t="n">
        <v>0.0297</v>
      </c>
      <c r="G75" s="5" t="n">
        <v>0.02003548929218568</v>
      </c>
      <c r="H75" s="5" t="n">
        <v>0.0609</v>
      </c>
      <c r="I75" s="15">
        <f>IFERROR(C75/D75,"")</f>
        <v/>
      </c>
      <c r="J75" s="9">
        <f>IFERROR(D75/C75,"")</f>
        <v/>
      </c>
      <c r="K75" s="9">
        <f>IFERROR(E75/C75,"")</f>
        <v/>
      </c>
      <c r="L75" s="9">
        <f>IFERROR(F75-G75,"")</f>
        <v/>
      </c>
      <c r="M75" s="9">
        <f>IFERROR(J75-F75,"")</f>
        <v/>
      </c>
      <c r="N75" s="9">
        <f>IFERROR(J75-L75,"")</f>
        <v/>
      </c>
      <c r="O75" s="9">
        <f>IFERROR(J75-H75,"")</f>
        <v/>
      </c>
      <c r="P75" s="9">
        <f>IFERROR(K75-F75,"")</f>
        <v/>
      </c>
      <c r="Q75" s="7" t="n">
        <v>0.2524038461538461</v>
      </c>
      <c r="R75" s="7" t="n">
        <v>0.6466346153846154</v>
      </c>
      <c r="S75" s="7" t="n">
        <v>0.6274038461538461</v>
      </c>
      <c r="T75" s="7" t="n">
        <v>0.6225961538461539</v>
      </c>
      <c r="U75" s="7" t="n">
        <v>0.2545045045045045</v>
      </c>
      <c r="V75" s="7" t="n">
        <v>0.722972972972973</v>
      </c>
      <c r="W75" s="7" t="n">
        <v>0.5843023255813954</v>
      </c>
      <c r="X75" s="7" t="n">
        <v>0.5301168949424764</v>
      </c>
      <c r="Y75" s="3">
        <f>IF(X75="","",IF(X75&gt;='Léeme'!$B$6,"barato",IF(X75&lt;'Léeme'!$B$7,"caro","medio")))</f>
        <v/>
      </c>
      <c r="Z75" s="11" t="n">
        <v>0.1991912388202151</v>
      </c>
      <c r="AA75" s="11" t="n">
        <v>0.1489943630818356</v>
      </c>
    </row>
    <row r="76">
      <c r="A76" s="3" t="inlineStr">
        <is>
          <t>2010-T3</t>
        </is>
      </c>
      <c r="B76" s="13" t="n">
        <v>40451</v>
      </c>
      <c r="C76" s="14" t="n">
        <v>25.110001</v>
      </c>
      <c r="D76" s="14" t="n">
        <v>1.6547</v>
      </c>
      <c r="E76" s="14" t="n">
        <v>1.52</v>
      </c>
      <c r="F76" s="5" t="n">
        <v>0.0253</v>
      </c>
      <c r="G76" s="5" t="n">
        <v>0.01150177539511255</v>
      </c>
      <c r="H76" s="5" t="n">
        <v>0.0558</v>
      </c>
      <c r="I76" s="15">
        <f>IFERROR(C76/D76,"")</f>
        <v/>
      </c>
      <c r="J76" s="9">
        <f>IFERROR(D76/C76,"")</f>
        <v/>
      </c>
      <c r="K76" s="9">
        <f>IFERROR(E76/C76,"")</f>
        <v/>
      </c>
      <c r="L76" s="9">
        <f>IFERROR(F76-G76,"")</f>
        <v/>
      </c>
      <c r="M76" s="9">
        <f>IFERROR(J76-F76,"")</f>
        <v/>
      </c>
      <c r="N76" s="9">
        <f>IFERROR(J76-L76,"")</f>
        <v/>
      </c>
      <c r="O76" s="9">
        <f>IFERROR(J76-H76,"")</f>
        <v/>
      </c>
      <c r="P76" s="9">
        <f>IFERROR(K76-F76,"")</f>
        <v/>
      </c>
      <c r="Q76" s="7" t="n">
        <v>0.02606635071090047</v>
      </c>
      <c r="R76" s="7" t="n">
        <v>0.5758293838862559</v>
      </c>
      <c r="S76" s="7" t="n">
        <v>0.2630331753554502</v>
      </c>
      <c r="T76" s="7" t="n">
        <v>0.3957345971563981</v>
      </c>
      <c r="U76" s="7" t="n">
        <v>0.07333333333333333</v>
      </c>
      <c r="V76" s="7" t="n">
        <v>0.6466666666666666</v>
      </c>
      <c r="W76" s="7" t="n">
        <v>0.3228571428571428</v>
      </c>
      <c r="X76" s="7" t="n">
        <v>0.3290743785665925</v>
      </c>
      <c r="Y76" s="3">
        <f>IF(X76="","",IF(X76&gt;='Léeme'!$B$6,"barato",IF(X76&lt;'Léeme'!$B$7,"caro","medio")))</f>
        <v/>
      </c>
      <c r="Z76" s="11" t="n">
        <v>0.1216824922207147</v>
      </c>
      <c r="AA76" s="11" t="n">
        <v>0.1203585776509388</v>
      </c>
    </row>
    <row r="77">
      <c r="A77" s="3" t="inlineStr">
        <is>
          <t>2010-T4</t>
        </is>
      </c>
      <c r="B77" s="13" t="n">
        <v>40543</v>
      </c>
      <c r="C77" s="14" t="n">
        <v>26.5</v>
      </c>
      <c r="D77" s="14" t="n">
        <v>1.6547</v>
      </c>
      <c r="E77" s="14" t="n">
        <v>1.52</v>
      </c>
      <c r="F77" s="5" t="n">
        <v>0.033</v>
      </c>
      <c r="G77" s="5" t="n">
        <v>0.01084544776600338</v>
      </c>
      <c r="H77" s="5" t="n">
        <v>0.0607</v>
      </c>
      <c r="I77" s="15">
        <f>IFERROR(C77/D77,"")</f>
        <v/>
      </c>
      <c r="J77" s="9">
        <f>IFERROR(D77/C77,"")</f>
        <v/>
      </c>
      <c r="K77" s="9">
        <f>IFERROR(E77/C77,"")</f>
        <v/>
      </c>
      <c r="L77" s="9">
        <f>IFERROR(F77-G77,"")</f>
        <v/>
      </c>
      <c r="M77" s="9">
        <f>IFERROR(J77-F77,"")</f>
        <v/>
      </c>
      <c r="N77" s="9">
        <f>IFERROR(J77-L77,"")</f>
        <v/>
      </c>
      <c r="O77" s="9">
        <f>IFERROR(J77-H77,"")</f>
        <v/>
      </c>
      <c r="P77" s="9">
        <f>IFERROR(K77-F77,"")</f>
        <v/>
      </c>
      <c r="Q77" s="7" t="n">
        <v>0.01168224299065421</v>
      </c>
      <c r="R77" s="7" t="n">
        <v>0.4042056074766355</v>
      </c>
      <c r="S77" s="7" t="n">
        <v>0.08177570093457943</v>
      </c>
      <c r="T77" s="7" t="n">
        <v>0.0911214953271028</v>
      </c>
      <c r="U77" s="7" t="n">
        <v>0.04166666666666666</v>
      </c>
      <c r="V77" s="7" t="n">
        <v>0.3793859649122807</v>
      </c>
      <c r="W77" s="7" t="n">
        <v>0.2668539325842696</v>
      </c>
      <c r="X77" s="7" t="n">
        <v>0.1823845158417413</v>
      </c>
      <c r="Y77" s="3">
        <f>IF(X77="","",IF(X77&gt;='Léeme'!$B$6,"barato",IF(X77&lt;'Léeme'!$B$7,"caro","medio")))</f>
        <v/>
      </c>
      <c r="Z77" s="11" t="n">
        <v>0.04351851923425643</v>
      </c>
      <c r="AA77" s="11" t="n">
        <v>0.1300501360274733</v>
      </c>
    </row>
    <row r="78">
      <c r="A78" s="3" t="inlineStr">
        <is>
          <t>2011-T1</t>
        </is>
      </c>
      <c r="B78" s="13" t="n">
        <v>40633</v>
      </c>
      <c r="C78" s="14" t="n">
        <v>26.129999</v>
      </c>
      <c r="D78" s="14" t="n">
        <v>1.45</v>
      </c>
      <c r="E78" s="14" t="n">
        <v>1.52</v>
      </c>
      <c r="F78" s="5" t="n">
        <v>0.0347</v>
      </c>
      <c r="G78" s="5" t="n">
        <v>0.02124898173333145</v>
      </c>
      <c r="H78" s="5" t="n">
        <v>0.06059999999999999</v>
      </c>
      <c r="I78" s="15">
        <f>IFERROR(C78/D78,"")</f>
        <v/>
      </c>
      <c r="J78" s="9">
        <f>IFERROR(D78/C78,"")</f>
        <v/>
      </c>
      <c r="K78" s="9">
        <f>IFERROR(E78/C78,"")</f>
        <v/>
      </c>
      <c r="L78" s="9">
        <f>IFERROR(F78-G78,"")</f>
        <v/>
      </c>
      <c r="M78" s="9">
        <f>IFERROR(J78-F78,"")</f>
        <v/>
      </c>
      <c r="N78" s="9">
        <f>IFERROR(J78-L78,"")</f>
        <v/>
      </c>
      <c r="O78" s="9">
        <f>IFERROR(J78-H78,"")</f>
        <v/>
      </c>
      <c r="P78" s="9">
        <f>IFERROR(K78-F78,"")</f>
        <v/>
      </c>
      <c r="Q78" s="7" t="n">
        <v>0.002304147465437788</v>
      </c>
      <c r="R78" s="7" t="n">
        <v>0.1313364055299539</v>
      </c>
      <c r="S78" s="7" t="n">
        <v>0.09907834101382489</v>
      </c>
      <c r="T78" s="7" t="n">
        <v>0.04838709677419355</v>
      </c>
      <c r="U78" s="7" t="n">
        <v>0.04978354978354978</v>
      </c>
      <c r="V78" s="7" t="n">
        <v>0.3398268398268398</v>
      </c>
      <c r="W78" s="7" t="n">
        <v>0.04143646408839779</v>
      </c>
      <c r="X78" s="7" t="n">
        <v>0.1017361206403139</v>
      </c>
      <c r="Y78" s="3">
        <f>IF(X78="","",IF(X78&gt;='Léeme'!$B$6,"barato",IF(X78&lt;'Léeme'!$B$7,"caro","medio")))</f>
        <v/>
      </c>
      <c r="Z78" s="11" t="n">
        <v>0.08986061889030084</v>
      </c>
      <c r="AA78" s="11" t="n">
        <v>0.1651764884731937</v>
      </c>
    </row>
    <row r="79">
      <c r="A79" s="3" t="inlineStr">
        <is>
          <t>2011-T2</t>
        </is>
      </c>
      <c r="B79" s="13" t="n">
        <v>40724</v>
      </c>
      <c r="C79" s="14" t="n">
        <v>24.51</v>
      </c>
      <c r="D79" s="14" t="n">
        <v>1.45</v>
      </c>
      <c r="E79" s="14" t="n">
        <v>1.52</v>
      </c>
      <c r="F79" s="5" t="n">
        <v>0.0318</v>
      </c>
      <c r="G79" s="5" t="n">
        <v>0.034589718808965</v>
      </c>
      <c r="H79" s="5" t="n">
        <v>0.05889999999999999</v>
      </c>
      <c r="I79" s="15">
        <f>IFERROR(C79/D79,"")</f>
        <v/>
      </c>
      <c r="J79" s="9">
        <f>IFERROR(D79/C79,"")</f>
        <v/>
      </c>
      <c r="K79" s="9">
        <f>IFERROR(E79/C79,"")</f>
        <v/>
      </c>
      <c r="L79" s="9">
        <f>IFERROR(F79-G79,"")</f>
        <v/>
      </c>
      <c r="M79" s="9">
        <f>IFERROR(J79-F79,"")</f>
        <v/>
      </c>
      <c r="N79" s="9">
        <f>IFERROR(J79-L79,"")</f>
        <v/>
      </c>
      <c r="O79" s="9">
        <f>IFERROR(J79-H79,"")</f>
        <v/>
      </c>
      <c r="P79" s="9">
        <f>IFERROR(K79-F79,"")</f>
        <v/>
      </c>
      <c r="Q79" s="7" t="n">
        <v>0.02045454545454545</v>
      </c>
      <c r="R79" s="7" t="n">
        <v>0.3659090909090909</v>
      </c>
      <c r="S79" s="7" t="n">
        <v>0.5522727272727272</v>
      </c>
      <c r="T79" s="7" t="n">
        <v>0.09772727272727273</v>
      </c>
      <c r="U79" s="7" t="n">
        <v>0.1175213675213675</v>
      </c>
      <c r="V79" s="7" t="n">
        <v>0.5662393162393162</v>
      </c>
      <c r="W79" s="7" t="n">
        <v>0.1711956521739131</v>
      </c>
      <c r="X79" s="7" t="n">
        <v>0.2701885674711762</v>
      </c>
      <c r="Y79" s="3">
        <f>IF(X79="","",IF(X79&gt;='Léeme'!$B$6,"barato",IF(X79&lt;'Léeme'!$B$7,"caro","medio")))</f>
        <v/>
      </c>
      <c r="Z79" s="11" t="n">
        <v>0.2084241715482431</v>
      </c>
      <c r="AA79" s="11" t="n">
        <v>0.2062246560013448</v>
      </c>
    </row>
    <row r="80">
      <c r="A80" s="3" t="inlineStr">
        <is>
          <t>2011-T3</t>
        </is>
      </c>
      <c r="B80" s="13" t="n">
        <v>40816</v>
      </c>
      <c r="C80" s="14" t="n">
        <v>26.870001</v>
      </c>
      <c r="D80" s="14" t="n">
        <v>1.45</v>
      </c>
      <c r="E80" s="14" t="n">
        <v>1.54</v>
      </c>
      <c r="F80" s="5" t="n">
        <v>0.0192</v>
      </c>
      <c r="G80" s="5" t="n">
        <v>0.0375499603070808</v>
      </c>
      <c r="H80" s="5" t="n">
        <v>0.0529</v>
      </c>
      <c r="I80" s="15">
        <f>IFERROR(C80/D80,"")</f>
        <v/>
      </c>
      <c r="J80" s="9">
        <f>IFERROR(D80/C80,"")</f>
        <v/>
      </c>
      <c r="K80" s="9">
        <f>IFERROR(E80/C80,"")</f>
        <v/>
      </c>
      <c r="L80" s="9">
        <f>IFERROR(F80-G80,"")</f>
        <v/>
      </c>
      <c r="M80" s="9">
        <f>IFERROR(J80-F80,"")</f>
        <v/>
      </c>
      <c r="N80" s="9">
        <f>IFERROR(J80-L80,"")</f>
        <v/>
      </c>
      <c r="O80" s="9">
        <f>IFERROR(J80-H80,"")</f>
        <v/>
      </c>
      <c r="P80" s="9">
        <f>IFERROR(K80-F80,"")</f>
        <v/>
      </c>
      <c r="Q80" s="7" t="n">
        <v>0.006726457399103139</v>
      </c>
      <c r="R80" s="7" t="n">
        <v>0.5089686098654709</v>
      </c>
      <c r="S80" s="7" t="n">
        <v>0.6928251121076233</v>
      </c>
      <c r="T80" s="7" t="n">
        <v>0.1143497757847534</v>
      </c>
      <c r="U80" s="7" t="n">
        <v>0.04430379746835443</v>
      </c>
      <c r="V80" s="7" t="n">
        <v>0.7151898734177216</v>
      </c>
      <c r="W80" s="7" t="n">
        <v>0.05614973262032086</v>
      </c>
      <c r="X80" s="7" t="n">
        <v>0.3055019083804782</v>
      </c>
      <c r="Y80" s="3">
        <f>IF(X80="","",IF(X80&gt;='Léeme'!$B$6,"barato",IF(X80&lt;'Léeme'!$B$7,"caro","medio")))</f>
        <v/>
      </c>
      <c r="Z80" s="11" t="n">
        <v>0.1866925290082306</v>
      </c>
      <c r="AA80" s="11" t="n">
        <v>0.1790257265351614</v>
      </c>
    </row>
    <row r="81">
      <c r="A81" s="3" t="inlineStr">
        <is>
          <t>2011-T4</t>
        </is>
      </c>
      <c r="B81" s="13" t="n">
        <v>40907</v>
      </c>
      <c r="C81" s="14" t="n">
        <v>26.379999</v>
      </c>
      <c r="D81" s="14" t="n">
        <v>1.45</v>
      </c>
      <c r="E81" s="14" t="n">
        <v>1.54</v>
      </c>
      <c r="F81" s="5" t="n">
        <v>0.0189</v>
      </c>
      <c r="G81" s="5" t="n">
        <v>0.03451432214581729</v>
      </c>
      <c r="H81" s="5" t="n">
        <v>0.0519</v>
      </c>
      <c r="I81" s="15">
        <f>IFERROR(C81/D81,"")</f>
        <v/>
      </c>
      <c r="J81" s="9">
        <f>IFERROR(D81/C81,"")</f>
        <v/>
      </c>
      <c r="K81" s="9">
        <f>IFERROR(E81/C81,"")</f>
        <v/>
      </c>
      <c r="L81" s="9">
        <f>IFERROR(F81-G81,"")</f>
        <v/>
      </c>
      <c r="M81" s="9">
        <f>IFERROR(J81-F81,"")</f>
        <v/>
      </c>
      <c r="N81" s="9">
        <f>IFERROR(J81-L81,"")</f>
        <v/>
      </c>
      <c r="O81" s="9">
        <f>IFERROR(J81-H81,"")</f>
        <v/>
      </c>
      <c r="P81" s="9">
        <f>IFERROR(K81-F81,"")</f>
        <v/>
      </c>
      <c r="Q81" s="7" t="n">
        <v>0.01991150442477876</v>
      </c>
      <c r="R81" s="7" t="n">
        <v>0.5420353982300885</v>
      </c>
      <c r="S81" s="7" t="n">
        <v>0.6924778761061947</v>
      </c>
      <c r="T81" s="7" t="n">
        <v>0.1747787610619469</v>
      </c>
      <c r="U81" s="7" t="n">
        <v>0.07708333333333334</v>
      </c>
      <c r="V81" s="7" t="n">
        <v>0.73125</v>
      </c>
      <c r="W81" s="7" t="n">
        <v>0.09736842105263158</v>
      </c>
      <c r="X81" s="7" t="n">
        <v>0.3335578991727106</v>
      </c>
      <c r="Y81" s="3">
        <f>IF(X81="","",IF(X81&gt;='Léeme'!$B$6,"barato",IF(X81&lt;'Léeme'!$B$7,"caro","medio")))</f>
        <v/>
      </c>
      <c r="Z81" s="11" t="n">
        <v>0.2356544780481897</v>
      </c>
      <c r="AA81" s="11" t="n">
        <v>0.1499412110817351</v>
      </c>
    </row>
    <row r="82">
      <c r="A82" s="3" t="inlineStr">
        <is>
          <t>2012-T1</t>
        </is>
      </c>
      <c r="B82" s="13" t="n">
        <v>40998</v>
      </c>
      <c r="C82" s="14" t="n">
        <v>27.190001</v>
      </c>
      <c r="D82" s="14" t="n">
        <v>1.57</v>
      </c>
      <c r="E82" s="14" t="n">
        <v>1.54</v>
      </c>
      <c r="F82" s="5" t="n">
        <v>0.0223</v>
      </c>
      <c r="G82" s="5" t="n">
        <v>0.02898178442347388</v>
      </c>
      <c r="H82" s="5" t="n">
        <v>0.0521</v>
      </c>
      <c r="I82" s="15">
        <f>IFERROR(C82/D82,"")</f>
        <v/>
      </c>
      <c r="J82" s="9">
        <f>IFERROR(D82/C82,"")</f>
        <v/>
      </c>
      <c r="K82" s="9">
        <f>IFERROR(E82/C82,"")</f>
        <v/>
      </c>
      <c r="L82" s="9">
        <f>IFERROR(F82-G82,"")</f>
        <v/>
      </c>
      <c r="M82" s="9">
        <f>IFERROR(J82-F82,"")</f>
        <v/>
      </c>
      <c r="N82" s="9">
        <f>IFERROR(J82-L82,"")</f>
        <v/>
      </c>
      <c r="O82" s="9">
        <f>IFERROR(J82-H82,"")</f>
        <v/>
      </c>
      <c r="P82" s="9">
        <f>IFERROR(K82-F82,"")</f>
        <v/>
      </c>
      <c r="Q82" s="7" t="n">
        <v>0.04585152838427948</v>
      </c>
      <c r="R82" s="7" t="n">
        <v>0.5262008733624454</v>
      </c>
      <c r="S82" s="7" t="n">
        <v>0.5873362445414847</v>
      </c>
      <c r="T82" s="7" t="n">
        <v>0.2379912663755459</v>
      </c>
      <c r="U82" s="7" t="n">
        <v>0.03909465020576132</v>
      </c>
      <c r="V82" s="7" t="n">
        <v>0.6316872427983539</v>
      </c>
      <c r="W82" s="7" t="n">
        <v>0.1787564766839378</v>
      </c>
      <c r="X82" s="7" t="n">
        <v>0.3209883260502583</v>
      </c>
      <c r="Y82" s="3">
        <f>IF(X82="","",IF(X82&gt;='Léeme'!$B$6,"barato",IF(X82&lt;'Léeme'!$B$7,"caro","medio")))</f>
        <v/>
      </c>
      <c r="Z82" s="11" t="n">
        <v>0.3869435193535566</v>
      </c>
      <c r="AA82" s="11" t="n">
        <v>0.1391783668348385</v>
      </c>
    </row>
    <row r="83">
      <c r="A83" s="3" t="inlineStr">
        <is>
          <t>2012-T2</t>
        </is>
      </c>
      <c r="B83" s="13" t="n">
        <v>41089</v>
      </c>
      <c r="C83" s="14" t="n">
        <v>28.290001</v>
      </c>
      <c r="D83" s="14" t="n">
        <v>1.57</v>
      </c>
      <c r="E83" s="14" t="n">
        <v>1.54</v>
      </c>
      <c r="F83" s="5" t="n">
        <v>0.0167</v>
      </c>
      <c r="G83" s="5" t="n">
        <v>0.01737942937466075</v>
      </c>
      <c r="H83" s="5" t="n">
        <v>0.04969999999999999</v>
      </c>
      <c r="I83" s="15">
        <f>IFERROR(C83/D83,"")</f>
        <v/>
      </c>
      <c r="J83" s="9">
        <f>IFERROR(D83/C83,"")</f>
        <v/>
      </c>
      <c r="K83" s="9">
        <f>IFERROR(E83/C83,"")</f>
        <v/>
      </c>
      <c r="L83" s="9">
        <f>IFERROR(F83-G83,"")</f>
        <v/>
      </c>
      <c r="M83" s="9">
        <f>IFERROR(J83-F83,"")</f>
        <v/>
      </c>
      <c r="N83" s="9">
        <f>IFERROR(J83-L83,"")</f>
        <v/>
      </c>
      <c r="O83" s="9">
        <f>IFERROR(J83-H83,"")</f>
        <v/>
      </c>
      <c r="P83" s="9">
        <f>IFERROR(K83-F83,"")</f>
        <v/>
      </c>
      <c r="Q83" s="7" t="n">
        <v>0.03663793103448276</v>
      </c>
      <c r="R83" s="7" t="n">
        <v>0.5754310344827587</v>
      </c>
      <c r="S83" s="7" t="n">
        <v>0.3814655172413793</v>
      </c>
      <c r="T83" s="7" t="n">
        <v>0.2478448275862069</v>
      </c>
      <c r="U83" s="7" t="n">
        <v>0.002032520325203252</v>
      </c>
      <c r="V83" s="7" t="n">
        <v>0.6971544715447154</v>
      </c>
      <c r="W83" s="7" t="n">
        <v>0.1198979591836735</v>
      </c>
      <c r="X83" s="7" t="n">
        <v>0.2943520373426313</v>
      </c>
      <c r="Y83" s="3">
        <f>IF(X83="","",IF(X83&gt;='Léeme'!$B$6,"barato",IF(X83&lt;'Léeme'!$B$7,"caro","medio")))</f>
        <v/>
      </c>
      <c r="Z83" s="11" t="n">
        <v>0.2637816006884413</v>
      </c>
      <c r="AA83" s="11" t="n">
        <v>0.1072800802703739</v>
      </c>
    </row>
    <row r="84">
      <c r="A84" s="3" t="inlineStr">
        <is>
          <t>2012-T3</t>
        </is>
      </c>
      <c r="B84" s="13" t="n">
        <v>41180</v>
      </c>
      <c r="C84" s="14" t="n">
        <v>30.5</v>
      </c>
      <c r="D84" s="14" t="n">
        <v>1.57</v>
      </c>
      <c r="E84" s="14" t="n">
        <v>1.58</v>
      </c>
      <c r="F84" s="5" t="n">
        <v>0.0165</v>
      </c>
      <c r="G84" s="5" t="n">
        <v>0.01685934915482123</v>
      </c>
      <c r="H84" s="5" t="n">
        <v>0.0471</v>
      </c>
      <c r="I84" s="15">
        <f>IFERROR(C84/D84,"")</f>
        <v/>
      </c>
      <c r="J84" s="9">
        <f>IFERROR(D84/C84,"")</f>
        <v/>
      </c>
      <c r="K84" s="9">
        <f>IFERROR(E84/C84,"")</f>
        <v/>
      </c>
      <c r="L84" s="9">
        <f>IFERROR(F84-G84,"")</f>
        <v/>
      </c>
      <c r="M84" s="9">
        <f>IFERROR(J84-F84,"")</f>
        <v/>
      </c>
      <c r="N84" s="9">
        <f>IFERROR(J84-L84,"")</f>
        <v/>
      </c>
      <c r="O84" s="9">
        <f>IFERROR(J84-H84,"")</f>
        <v/>
      </c>
      <c r="P84" s="9">
        <f>IFERROR(K84-F84,"")</f>
        <v/>
      </c>
      <c r="Q84" s="7" t="n">
        <v>0.006382978723404255</v>
      </c>
      <c r="R84" s="7" t="n">
        <v>0.5</v>
      </c>
      <c r="S84" s="7" t="n">
        <v>0.2531914893617021</v>
      </c>
      <c r="T84" s="7" t="n">
        <v>0.2106382978723404</v>
      </c>
      <c r="U84" s="7" t="n">
        <v>0.006024096385542169</v>
      </c>
      <c r="V84" s="7" t="n">
        <v>0.6445783132530121</v>
      </c>
      <c r="W84" s="7" t="n">
        <v>0.02261306532663317</v>
      </c>
      <c r="X84" s="7" t="n">
        <v>0.2347754629889477</v>
      </c>
      <c r="Y84" s="3">
        <f>IF(X84="","",IF(X84&gt;='Léeme'!$B$6,"barato",IF(X84&lt;'Léeme'!$B$7,"caro","medio")))</f>
        <v/>
      </c>
      <c r="Z84" s="11" t="n">
        <v>0.08508315508512276</v>
      </c>
      <c r="AA84" s="11" t="n">
        <v>0.1031671171044273</v>
      </c>
    </row>
    <row r="85">
      <c r="A85" s="3" t="inlineStr">
        <is>
          <t>2012-T4</t>
        </is>
      </c>
      <c r="B85" s="13" t="n">
        <v>41274</v>
      </c>
      <c r="C85" s="14" t="n">
        <v>31.200001</v>
      </c>
      <c r="D85" s="14" t="n">
        <v>1.57</v>
      </c>
      <c r="E85" s="14" t="n">
        <v>1.58</v>
      </c>
      <c r="F85" s="5" t="n">
        <v>0.0178</v>
      </c>
      <c r="G85" s="5" t="n">
        <v>0.01796019703392626</v>
      </c>
      <c r="H85" s="5" t="n">
        <v>0.0458</v>
      </c>
      <c r="I85" s="15">
        <f>IFERROR(C85/D85,"")</f>
        <v/>
      </c>
      <c r="J85" s="9">
        <f>IFERROR(D85/C85,"")</f>
        <v/>
      </c>
      <c r="K85" s="9">
        <f>IFERROR(E85/C85,"")</f>
        <v/>
      </c>
      <c r="L85" s="9">
        <f>IFERROR(F85-G85,"")</f>
        <v/>
      </c>
      <c r="M85" s="9">
        <f>IFERROR(J85-F85,"")</f>
        <v/>
      </c>
      <c r="N85" s="9">
        <f>IFERROR(J85-L85,"")</f>
        <v/>
      </c>
      <c r="O85" s="9">
        <f>IFERROR(J85-H85,"")</f>
        <v/>
      </c>
      <c r="P85" s="9">
        <f>IFERROR(K85-F85,"")</f>
        <v/>
      </c>
      <c r="Q85" s="7" t="n">
        <v>0.006302521008403362</v>
      </c>
      <c r="R85" s="7" t="n">
        <v>0.4558823529411765</v>
      </c>
      <c r="S85" s="7" t="n">
        <v>0.2205882352941176</v>
      </c>
      <c r="T85" s="7" t="n">
        <v>0.2121848739495798</v>
      </c>
      <c r="U85" s="7" t="n">
        <v>0.005952380952380952</v>
      </c>
      <c r="V85" s="7" t="n">
        <v>0.5813492063492064</v>
      </c>
      <c r="W85" s="7" t="n">
        <v>0.01732673267326733</v>
      </c>
      <c r="X85" s="7" t="n">
        <v>0.2142266147383046</v>
      </c>
      <c r="Y85" s="3">
        <f>IF(X85="","",IF(X85&gt;='Léeme'!$B$6,"barato",IF(X85&lt;'Léeme'!$B$7,"caro","medio")))</f>
        <v/>
      </c>
      <c r="Z85" s="11" t="n">
        <v>0.007874583457570639</v>
      </c>
      <c r="AA85" s="11" t="n">
        <v>0.1048541263601421</v>
      </c>
    </row>
    <row r="86">
      <c r="A86" s="3" t="inlineStr">
        <is>
          <t>2013-T1</t>
        </is>
      </c>
      <c r="B86" s="13" t="n">
        <v>41361</v>
      </c>
      <c r="C86" s="14" t="n">
        <v>36.169998</v>
      </c>
      <c r="D86" s="14" t="n">
        <v>1.77</v>
      </c>
      <c r="E86" s="14" t="n">
        <v>1.58</v>
      </c>
      <c r="F86" s="5" t="n">
        <v>0.0187</v>
      </c>
      <c r="G86" s="5" t="n">
        <v>0.02018140490257481</v>
      </c>
      <c r="H86" s="5" t="n">
        <v>0.048</v>
      </c>
      <c r="I86" s="15">
        <f>IFERROR(C86/D86,"")</f>
        <v/>
      </c>
      <c r="J86" s="9">
        <f>IFERROR(D86/C86,"")</f>
        <v/>
      </c>
      <c r="K86" s="9">
        <f>IFERROR(E86/C86,"")</f>
        <v/>
      </c>
      <c r="L86" s="9">
        <f>IFERROR(F86-G86,"")</f>
        <v/>
      </c>
      <c r="M86" s="9">
        <f>IFERROR(J86-F86,"")</f>
        <v/>
      </c>
      <c r="N86" s="9">
        <f>IFERROR(J86-L86,"")</f>
        <v/>
      </c>
      <c r="O86" s="9">
        <f>IFERROR(J86-H86,"")</f>
        <v/>
      </c>
      <c r="P86" s="9">
        <f>IFERROR(K86-F86,"")</f>
        <v/>
      </c>
      <c r="Q86" s="7" t="n">
        <v>0.002074688796680498</v>
      </c>
      <c r="R86" s="7" t="n">
        <v>0.4045643153526971</v>
      </c>
      <c r="S86" s="7" t="n">
        <v>0.2261410788381743</v>
      </c>
      <c r="T86" s="7" t="n">
        <v>0.1141078838174274</v>
      </c>
      <c r="U86" s="7" t="n">
        <v>0.00196078431372549</v>
      </c>
      <c r="V86" s="7" t="n">
        <v>0.3705882352941177</v>
      </c>
      <c r="W86" s="7" t="n">
        <v>0.06097560975609756</v>
      </c>
      <c r="X86" s="7" t="n">
        <v>0.1686303708812743</v>
      </c>
      <c r="Y86" s="3">
        <f>IF(X86="","",IF(X86&gt;='Léeme'!$B$6,"barato",IF(X86&lt;'Léeme'!$B$7,"caro","medio")))</f>
        <v/>
      </c>
      <c r="Z86" s="11" t="n">
        <v>-0.02906993834181792</v>
      </c>
      <c r="AA86" s="11" t="n">
        <v>0.05116048605743395</v>
      </c>
    </row>
    <row r="87">
      <c r="A87" s="3" t="inlineStr">
        <is>
          <t>2013-T2</t>
        </is>
      </c>
      <c r="B87" s="13" t="n">
        <v>41453</v>
      </c>
      <c r="C87" s="14" t="n">
        <v>34.400002</v>
      </c>
      <c r="D87" s="14" t="n">
        <v>1.77</v>
      </c>
      <c r="E87" s="14" t="n">
        <v>1.58</v>
      </c>
      <c r="F87" s="5" t="n">
        <v>0.0252</v>
      </c>
      <c r="G87" s="5" t="n">
        <v>0.01390388827919709</v>
      </c>
      <c r="H87" s="5" t="n">
        <v>0.0541</v>
      </c>
      <c r="I87" s="15">
        <f>IFERROR(C87/D87,"")</f>
        <v/>
      </c>
      <c r="J87" s="9">
        <f>IFERROR(D87/C87,"")</f>
        <v/>
      </c>
      <c r="K87" s="9">
        <f>IFERROR(E87/C87,"")</f>
        <v/>
      </c>
      <c r="L87" s="9">
        <f>IFERROR(F87-G87,"")</f>
        <v/>
      </c>
      <c r="M87" s="9">
        <f>IFERROR(J87-F87,"")</f>
        <v/>
      </c>
      <c r="N87" s="9">
        <f>IFERROR(J87-L87,"")</f>
        <v/>
      </c>
      <c r="O87" s="9">
        <f>IFERROR(J87-H87,"")</f>
        <v/>
      </c>
      <c r="P87" s="9">
        <f>IFERROR(K87-F87,"")</f>
        <v/>
      </c>
      <c r="Q87" s="7" t="n">
        <v>0.0389344262295082</v>
      </c>
      <c r="R87" s="7" t="n">
        <v>0.2889344262295082</v>
      </c>
      <c r="S87" s="7" t="n">
        <v>0.07991803278688525</v>
      </c>
      <c r="T87" s="7" t="n">
        <v>0.05942622950819672</v>
      </c>
      <c r="U87" s="7" t="n">
        <v>0.01744186046511628</v>
      </c>
      <c r="V87" s="7" t="n">
        <v>0.2538759689922481</v>
      </c>
      <c r="W87" s="7" t="n">
        <v>0.3293269230769231</v>
      </c>
      <c r="X87" s="7" t="n">
        <v>0.1525511238983408</v>
      </c>
      <c r="Y87" s="3">
        <f>IF(X87="","",IF(X87&gt;='Léeme'!$B$6,"barato",IF(X87&lt;'Léeme'!$B$7,"caro","medio")))</f>
        <v/>
      </c>
      <c r="Z87" s="11" t="n">
        <v>0.1233490651500866</v>
      </c>
      <c r="AA87" s="11" t="n">
        <v>0.08809452144363172</v>
      </c>
    </row>
    <row r="88">
      <c r="A88" s="3" t="inlineStr">
        <is>
          <t>2013-T3</t>
        </is>
      </c>
      <c r="B88" s="13" t="n">
        <v>41547</v>
      </c>
      <c r="C88" s="14" t="n">
        <v>31.82</v>
      </c>
      <c r="D88" s="14" t="n">
        <v>1.77</v>
      </c>
      <c r="E88" s="14" t="n">
        <v>1.62</v>
      </c>
      <c r="F88" s="5" t="n">
        <v>0.0264</v>
      </c>
      <c r="G88" s="5" t="n">
        <v>0.01538809488600279</v>
      </c>
      <c r="H88" s="5" t="n">
        <v>0.0537</v>
      </c>
      <c r="I88" s="15">
        <f>IFERROR(C88/D88,"")</f>
        <v/>
      </c>
      <c r="J88" s="9">
        <f>IFERROR(D88/C88,"")</f>
        <v/>
      </c>
      <c r="K88" s="9">
        <f>IFERROR(E88/C88,"")</f>
        <v/>
      </c>
      <c r="L88" s="9">
        <f>IFERROR(F88-G88,"")</f>
        <v/>
      </c>
      <c r="M88" s="9">
        <f>IFERROR(J88-F88,"")</f>
        <v/>
      </c>
      <c r="N88" s="9">
        <f>IFERROR(J88-L88,"")</f>
        <v/>
      </c>
      <c r="O88" s="9">
        <f>IFERROR(J88-H88,"")</f>
        <v/>
      </c>
      <c r="P88" s="9">
        <f>IFERROR(K88-F88,"")</f>
        <v/>
      </c>
      <c r="Q88" s="7" t="n">
        <v>0.09109311740890688</v>
      </c>
      <c r="R88" s="7" t="n">
        <v>0.3825910931174089</v>
      </c>
      <c r="S88" s="7" t="n">
        <v>0.1275303643724696</v>
      </c>
      <c r="T88" s="7" t="n">
        <v>0.1558704453441296</v>
      </c>
      <c r="U88" s="7" t="n">
        <v>0.04022988505747126</v>
      </c>
      <c r="V88" s="7" t="n">
        <v>0.3582375478927203</v>
      </c>
      <c r="W88" s="7" t="n">
        <v>0.518957345971564</v>
      </c>
      <c r="X88" s="7" t="n">
        <v>0.239215685594953</v>
      </c>
      <c r="Y88" s="3">
        <f>IF(X88="","",IF(X88&gt;='Léeme'!$B$6,"barato",IF(X88&lt;'Léeme'!$B$7,"caro","medio")))</f>
        <v/>
      </c>
      <c r="Z88" s="11" t="n">
        <v>0.1281845941925717</v>
      </c>
      <c r="AA88" s="11" t="n">
        <v>0.1093880987643596</v>
      </c>
    </row>
    <row r="89">
      <c r="A89" s="3" t="inlineStr">
        <is>
          <t>2013-T4</t>
        </is>
      </c>
      <c r="B89" s="13" t="n">
        <v>41639</v>
      </c>
      <c r="C89" s="14" t="n">
        <v>30.33</v>
      </c>
      <c r="D89" s="14" t="n">
        <v>1.77</v>
      </c>
      <c r="E89" s="14" t="n">
        <v>1.62</v>
      </c>
      <c r="F89" s="5" t="n">
        <v>0.0304</v>
      </c>
      <c r="G89" s="5" t="n">
        <v>0.01232870196195446</v>
      </c>
      <c r="H89" s="5" t="n">
        <v>0.0534</v>
      </c>
      <c r="I89" s="15">
        <f>IFERROR(C89/D89,"")</f>
        <v/>
      </c>
      <c r="J89" s="9">
        <f>IFERROR(D89/C89,"")</f>
        <v/>
      </c>
      <c r="K89" s="9">
        <f>IFERROR(E89/C89,"")</f>
        <v/>
      </c>
      <c r="L89" s="9">
        <f>IFERROR(F89-G89,"")</f>
        <v/>
      </c>
      <c r="M89" s="9">
        <f>IFERROR(J89-F89,"")</f>
        <v/>
      </c>
      <c r="N89" s="9">
        <f>IFERROR(J89-L89,"")</f>
        <v/>
      </c>
      <c r="O89" s="9">
        <f>IFERROR(J89-H89,"")</f>
        <v/>
      </c>
      <c r="P89" s="9">
        <f>IFERROR(K89-F89,"")</f>
        <v/>
      </c>
      <c r="Q89" s="7" t="n">
        <v>0.126</v>
      </c>
      <c r="R89" s="7" t="n">
        <v>0.35</v>
      </c>
      <c r="S89" s="7" t="n">
        <v>0.09</v>
      </c>
      <c r="T89" s="7" t="n">
        <v>0.258</v>
      </c>
      <c r="U89" s="7" t="n">
        <v>0.0625</v>
      </c>
      <c r="V89" s="7" t="n">
        <v>0.3125</v>
      </c>
      <c r="W89" s="7" t="n">
        <v>0.6144859813084113</v>
      </c>
      <c r="X89" s="7" t="n">
        <v>0.2590694259012016</v>
      </c>
      <c r="Y89" s="3">
        <f>IF(X89="","",IF(X89&gt;='Léeme'!$B$6,"barato",IF(X89&lt;'Léeme'!$B$7,"caro","medio")))</f>
        <v/>
      </c>
      <c r="Z89" s="11" t="n">
        <v>0.3475622730867569</v>
      </c>
      <c r="AA89" s="11" t="n">
        <v>0.137738325294162</v>
      </c>
    </row>
    <row r="90">
      <c r="A90" s="3" t="inlineStr">
        <is>
          <t>2014-T1</t>
        </is>
      </c>
      <c r="B90" s="13" t="n">
        <v>41729</v>
      </c>
      <c r="C90" s="14" t="n">
        <v>34.32</v>
      </c>
      <c r="D90" s="14" t="n">
        <v>1.91</v>
      </c>
      <c r="E90" s="14" t="n">
        <v>1.62</v>
      </c>
      <c r="F90" s="5" t="n">
        <v>0.0273</v>
      </c>
      <c r="G90" s="5" t="n">
        <v>0.01120474634772495</v>
      </c>
      <c r="H90" s="5" t="n">
        <v>0.0498</v>
      </c>
      <c r="I90" s="15">
        <f>IFERROR(C90/D90,"")</f>
        <v/>
      </c>
      <c r="J90" s="9">
        <f>IFERROR(D90/C90,"")</f>
        <v/>
      </c>
      <c r="K90" s="9">
        <f>IFERROR(E90/C90,"")</f>
        <v/>
      </c>
      <c r="L90" s="9">
        <f>IFERROR(F90-G90,"")</f>
        <v/>
      </c>
      <c r="M90" s="9">
        <f>IFERROR(J90-F90,"")</f>
        <v/>
      </c>
      <c r="N90" s="9">
        <f>IFERROR(J90-L90,"")</f>
        <v/>
      </c>
      <c r="O90" s="9">
        <f>IFERROR(J90-H90,"")</f>
        <v/>
      </c>
      <c r="P90" s="9">
        <f>IFERROR(K90-F90,"")</f>
        <v/>
      </c>
      <c r="Q90" s="7" t="n">
        <v>0.1047430830039526</v>
      </c>
      <c r="R90" s="7" t="n">
        <v>0.3735177865612648</v>
      </c>
      <c r="S90" s="7" t="n">
        <v>0.08498023715415019</v>
      </c>
      <c r="T90" s="7" t="n">
        <v>0.3221343873517787</v>
      </c>
      <c r="U90" s="7" t="n">
        <v>0.03183520599250936</v>
      </c>
      <c r="V90" s="7" t="n">
        <v>0.2303370786516854</v>
      </c>
      <c r="W90" s="7" t="n">
        <v>0.5506912442396313</v>
      </c>
      <c r="X90" s="7" t="n">
        <v>0.2426055747078532</v>
      </c>
      <c r="Y90" s="3">
        <f>IF(X90="","",IF(X90&gt;='Léeme'!$B$6,"barato",IF(X90&lt;'Léeme'!$B$7,"caro","medio")))</f>
        <v/>
      </c>
      <c r="Z90" s="11" t="n">
        <v>0.2365872316981761</v>
      </c>
      <c r="AA90" s="11" t="n">
        <v>0.139278769457972</v>
      </c>
    </row>
    <row r="91">
      <c r="A91" s="3" t="inlineStr">
        <is>
          <t>2014-T2</t>
        </is>
      </c>
      <c r="B91" s="13" t="n">
        <v>41820</v>
      </c>
      <c r="C91" s="14" t="n">
        <v>37.189999</v>
      </c>
      <c r="D91" s="14" t="n">
        <v>1.91</v>
      </c>
      <c r="E91" s="14" t="n">
        <v>1.62</v>
      </c>
      <c r="F91" s="5" t="n">
        <v>0.0253</v>
      </c>
      <c r="G91" s="5" t="n">
        <v>0.02166947687079812</v>
      </c>
      <c r="H91" s="5" t="n">
        <v>0.0474</v>
      </c>
      <c r="I91" s="15">
        <f>IFERROR(C91/D91,"")</f>
        <v/>
      </c>
      <c r="J91" s="9">
        <f>IFERROR(D91/C91,"")</f>
        <v/>
      </c>
      <c r="K91" s="9">
        <f>IFERROR(E91/C91,"")</f>
        <v/>
      </c>
      <c r="L91" s="9">
        <f>IFERROR(F91-G91,"")</f>
        <v/>
      </c>
      <c r="M91" s="9">
        <f>IFERROR(J91-F91,"")</f>
        <v/>
      </c>
      <c r="N91" s="9">
        <f>IFERROR(J91-L91,"")</f>
        <v/>
      </c>
      <c r="O91" s="9">
        <f>IFERROR(J91-H91,"")</f>
        <v/>
      </c>
      <c r="P91" s="9">
        <f>IFERROR(K91-F91,"")</f>
        <v/>
      </c>
      <c r="Q91" s="7" t="n">
        <v>0.037109375</v>
      </c>
      <c r="R91" s="7" t="n">
        <v>0.279296875</v>
      </c>
      <c r="S91" s="7" t="n">
        <v>0.216796875</v>
      </c>
      <c r="T91" s="7" t="n">
        <v>0.224609375</v>
      </c>
      <c r="U91" s="7" t="n">
        <v>0.005555555555555556</v>
      </c>
      <c r="V91" s="7" t="n">
        <v>0.1944444444444444</v>
      </c>
      <c r="W91" s="7" t="n">
        <v>0.4886363636363636</v>
      </c>
      <c r="X91" s="7" t="n">
        <v>0.2066355519480519</v>
      </c>
      <c r="Y91" s="3">
        <f>IF(X91="","",IF(X91&gt;='Léeme'!$B$6,"barato",IF(X91&lt;'Léeme'!$B$7,"caro","medio")))</f>
        <v/>
      </c>
      <c r="Z91" s="11" t="n">
        <v>-0.02580679274122233</v>
      </c>
      <c r="AA91" s="11" t="n">
        <v>0.1109465011053168</v>
      </c>
    </row>
    <row r="92">
      <c r="A92" s="3" t="inlineStr">
        <is>
          <t>2014-T3</t>
        </is>
      </c>
      <c r="B92" s="13" t="n">
        <v>41912</v>
      </c>
      <c r="C92" s="14" t="n">
        <v>34.57</v>
      </c>
      <c r="D92" s="14" t="n">
        <v>1.91</v>
      </c>
      <c r="E92" s="14" t="n">
        <v>1.68</v>
      </c>
      <c r="F92" s="5" t="n">
        <v>0.0252</v>
      </c>
      <c r="G92" s="5" t="n">
        <v>0.01715098348296906</v>
      </c>
      <c r="H92" s="5" t="n">
        <v>0.04769999999999999</v>
      </c>
      <c r="I92" s="15">
        <f>IFERROR(C92/D92,"")</f>
        <v/>
      </c>
      <c r="J92" s="9">
        <f>IFERROR(D92/C92,"")</f>
        <v/>
      </c>
      <c r="K92" s="9">
        <f>IFERROR(E92/C92,"")</f>
        <v/>
      </c>
      <c r="L92" s="9">
        <f>IFERROR(F92-G92,"")</f>
        <v/>
      </c>
      <c r="M92" s="9">
        <f>IFERROR(J92-F92,"")</f>
        <v/>
      </c>
      <c r="N92" s="9">
        <f>IFERROR(J92-L92,"")</f>
        <v/>
      </c>
      <c r="O92" s="9">
        <f>IFERROR(J92-H92,"")</f>
        <v/>
      </c>
      <c r="P92" s="9">
        <f>IFERROR(K92-F92,"")</f>
        <v/>
      </c>
      <c r="Q92" s="7" t="n">
        <v>0.1061776061776062</v>
      </c>
      <c r="R92" s="7" t="n">
        <v>0.4382239382239382</v>
      </c>
      <c r="S92" s="7" t="n">
        <v>0.2104247104247104</v>
      </c>
      <c r="T92" s="7" t="n">
        <v>0.3918918918918919</v>
      </c>
      <c r="U92" s="7" t="n">
        <v>0.05311355311355311</v>
      </c>
      <c r="V92" s="7" t="n">
        <v>0.3388278388278388</v>
      </c>
      <c r="W92" s="7" t="n">
        <v>0.6031390134529148</v>
      </c>
      <c r="X92" s="7" t="n">
        <v>0.3059712217303505</v>
      </c>
      <c r="Y92" s="3">
        <f>IF(X92="","",IF(X92&gt;='Léeme'!$B$6,"barato",IF(X92&lt;'Léeme'!$B$7,"caro","medio")))</f>
        <v/>
      </c>
      <c r="Z92" s="11" t="n">
        <v>0.08598640740802121</v>
      </c>
      <c r="AA92" s="11" t="n">
        <v>0.1410489398855674</v>
      </c>
    </row>
    <row r="93">
      <c r="A93" s="3" t="inlineStr">
        <is>
          <t>2014-T4</t>
        </is>
      </c>
      <c r="B93" s="13" t="n">
        <v>42004</v>
      </c>
      <c r="C93" s="14" t="n">
        <v>39.369999</v>
      </c>
      <c r="D93" s="14" t="n">
        <v>1.91</v>
      </c>
      <c r="E93" s="14" t="n">
        <v>1.68</v>
      </c>
      <c r="F93" s="5" t="n">
        <v>0.0217</v>
      </c>
      <c r="G93" s="5" t="n">
        <v>0.01231524989320798</v>
      </c>
      <c r="H93" s="5" t="n">
        <v>0.0469</v>
      </c>
      <c r="I93" s="15">
        <f>IFERROR(C93/D93,"")</f>
        <v/>
      </c>
      <c r="J93" s="9">
        <f>IFERROR(D93/C93,"")</f>
        <v/>
      </c>
      <c r="K93" s="9">
        <f>IFERROR(E93/C93,"")</f>
        <v/>
      </c>
      <c r="L93" s="9">
        <f>IFERROR(F93-G93,"")</f>
        <v/>
      </c>
      <c r="M93" s="9">
        <f>IFERROR(J93-F93,"")</f>
        <v/>
      </c>
      <c r="N93" s="9">
        <f>IFERROR(J93-L93,"")</f>
        <v/>
      </c>
      <c r="O93" s="9">
        <f>IFERROR(J93-H93,"")</f>
        <v/>
      </c>
      <c r="P93" s="9">
        <f>IFERROR(K93-F93,"")</f>
        <v/>
      </c>
      <c r="Q93" s="7" t="n">
        <v>0.005725190839694656</v>
      </c>
      <c r="R93" s="7" t="n">
        <v>0.3110687022900763</v>
      </c>
      <c r="S93" s="7" t="n">
        <v>0.07442748091603053</v>
      </c>
      <c r="T93" s="7" t="n">
        <v>0.1354961832061069</v>
      </c>
      <c r="U93" s="7" t="n">
        <v>0.005434782608695652</v>
      </c>
      <c r="V93" s="7" t="n">
        <v>0.266304347826087</v>
      </c>
      <c r="W93" s="7" t="n">
        <v>0.4048672566371682</v>
      </c>
      <c r="X93" s="7" t="n">
        <v>0.1719034206176942</v>
      </c>
      <c r="Y93" s="3">
        <f>IF(X93="","",IF(X93&gt;='Léeme'!$B$6,"barato",IF(X93&lt;'Léeme'!$B$7,"caro","medio")))</f>
        <v/>
      </c>
      <c r="Z93" s="11" t="n">
        <v>0.05296586150202232</v>
      </c>
      <c r="AA93" s="11" t="n">
        <v>0.1001491569720887</v>
      </c>
    </row>
    <row r="94">
      <c r="A94" s="3" t="inlineStr">
        <is>
          <t>2015-T1</t>
        </is>
      </c>
      <c r="B94" s="13" t="n">
        <v>42094</v>
      </c>
      <c r="C94" s="14" t="n">
        <v>40.970001</v>
      </c>
      <c r="D94" s="14" t="n">
        <v>2.09</v>
      </c>
      <c r="E94" s="14" t="n">
        <v>1.68</v>
      </c>
      <c r="F94" s="5" t="n">
        <v>0.0194</v>
      </c>
      <c r="G94" s="5" t="n">
        <v>-0.0008703146293520536</v>
      </c>
      <c r="H94" s="5" t="n">
        <v>0.0451</v>
      </c>
      <c r="I94" s="15">
        <f>IFERROR(C94/D94,"")</f>
        <v/>
      </c>
      <c r="J94" s="9">
        <f>IFERROR(D94/C94,"")</f>
        <v/>
      </c>
      <c r="K94" s="9">
        <f>IFERROR(E94/C94,"")</f>
        <v/>
      </c>
      <c r="L94" s="9">
        <f>IFERROR(F94-G94,"")</f>
        <v/>
      </c>
      <c r="M94" s="9">
        <f>IFERROR(J94-F94,"")</f>
        <v/>
      </c>
      <c r="N94" s="9">
        <f>IFERROR(J94-L94,"")</f>
        <v/>
      </c>
      <c r="O94" s="9">
        <f>IFERROR(J94-H94,"")</f>
        <v/>
      </c>
      <c r="P94" s="9">
        <f>IFERROR(K94-F94,"")</f>
        <v/>
      </c>
      <c r="Q94" s="7" t="n">
        <v>0.04716981132075472</v>
      </c>
      <c r="R94" s="7" t="n">
        <v>0.4849056603773585</v>
      </c>
      <c r="S94" s="7" t="n">
        <v>0.02075471698113207</v>
      </c>
      <c r="T94" s="7" t="n">
        <v>0.3339622641509434</v>
      </c>
      <c r="U94" s="7" t="n">
        <v>0.008960573476702509</v>
      </c>
      <c r="V94" s="7" t="n">
        <v>0.2885304659498208</v>
      </c>
      <c r="W94" s="7" t="n">
        <v>0.5087336244541485</v>
      </c>
      <c r="X94" s="7" t="n">
        <v>0.2418595881015515</v>
      </c>
      <c r="Y94" s="3">
        <f>IF(X94="","",IF(X94&gt;='Léeme'!$B$6,"barato",IF(X94&lt;'Léeme'!$B$7,"caro","medio")))</f>
        <v/>
      </c>
      <c r="Z94" s="11" t="n">
        <v>0.1678418288987562</v>
      </c>
      <c r="AA94" s="11" t="n">
        <v>-0.01456051196794128</v>
      </c>
    </row>
    <row r="95">
      <c r="A95" s="3" t="inlineStr">
        <is>
          <t>2015-T2</t>
        </is>
      </c>
      <c r="B95" s="13" t="n">
        <v>42185</v>
      </c>
      <c r="C95" s="14" t="n">
        <v>35.009998</v>
      </c>
      <c r="D95" s="14" t="n">
        <v>2.09</v>
      </c>
      <c r="E95" s="14" t="n">
        <v>1.68</v>
      </c>
      <c r="F95" s="5" t="n">
        <v>0.0235</v>
      </c>
      <c r="G95" s="5" t="n">
        <v>0.0003503321824429584</v>
      </c>
      <c r="H95" s="5" t="n">
        <v>0.0517</v>
      </c>
      <c r="I95" s="15">
        <f>IFERROR(C95/D95,"")</f>
        <v/>
      </c>
      <c r="J95" s="9">
        <f>IFERROR(D95/C95,"")</f>
        <v/>
      </c>
      <c r="K95" s="9">
        <f>IFERROR(E95/C95,"")</f>
        <v/>
      </c>
      <c r="L95" s="9">
        <f>IFERROR(F95-G95,"")</f>
        <v/>
      </c>
      <c r="M95" s="9">
        <f>IFERROR(J95-F95,"")</f>
        <v/>
      </c>
      <c r="N95" s="9">
        <f>IFERROR(J95-L95,"")</f>
        <v/>
      </c>
      <c r="O95" s="9">
        <f>IFERROR(J95-H95,"")</f>
        <v/>
      </c>
      <c r="P95" s="9">
        <f>IFERROR(K95-F95,"")</f>
        <v/>
      </c>
      <c r="Q95" s="7" t="n">
        <v>0.1958955223880597</v>
      </c>
      <c r="R95" s="7" t="n">
        <v>0.5951492537313433</v>
      </c>
      <c r="S95" s="7" t="n">
        <v>0.06156716417910447</v>
      </c>
      <c r="T95" s="7" t="n">
        <v>0.4309701492537313</v>
      </c>
      <c r="U95" s="7" t="n">
        <v>0.0797872340425532</v>
      </c>
      <c r="V95" s="7" t="n">
        <v>0.398936170212766</v>
      </c>
      <c r="W95" s="7" t="n">
        <v>0.7435344827586207</v>
      </c>
      <c r="X95" s="7" t="n">
        <v>0.3579771395094541</v>
      </c>
      <c r="Y95" s="3">
        <f>IF(X95="","",IF(X95&gt;='Léeme'!$B$6,"barato",IF(X95&lt;'Léeme'!$B$7,"caro","medio")))</f>
        <v/>
      </c>
      <c r="Z95" s="11" t="n">
        <v>0.5291143502097255</v>
      </c>
      <c r="AA95" s="11" t="n">
        <v>0.03777764868471833</v>
      </c>
    </row>
    <row r="96">
      <c r="A96" s="3" t="inlineStr">
        <is>
          <t>2015-T3</t>
        </is>
      </c>
      <c r="B96" s="13" t="n">
        <v>42277</v>
      </c>
      <c r="C96" s="14" t="n">
        <v>36.27</v>
      </c>
      <c r="D96" s="14" t="n">
        <v>2.09</v>
      </c>
      <c r="E96" s="14" t="n">
        <v>1.74</v>
      </c>
      <c r="F96" s="5" t="n">
        <v>0.0206</v>
      </c>
      <c r="G96" s="5" t="n">
        <v>0.002413037985344868</v>
      </c>
      <c r="H96" s="5" t="n">
        <v>0.05309999999999999</v>
      </c>
      <c r="I96" s="15">
        <f>IFERROR(C96/D96,"")</f>
        <v/>
      </c>
      <c r="J96" s="9">
        <f>IFERROR(D96/C96,"")</f>
        <v/>
      </c>
      <c r="K96" s="9">
        <f>IFERROR(E96/C96,"")</f>
        <v/>
      </c>
      <c r="L96" s="9">
        <f>IFERROR(F96-G96,"")</f>
        <v/>
      </c>
      <c r="M96" s="9">
        <f>IFERROR(J96-F96,"")</f>
        <v/>
      </c>
      <c r="N96" s="9">
        <f>IFERROR(J96-L96,"")</f>
        <v/>
      </c>
      <c r="O96" s="9">
        <f>IFERROR(J96-H96,"")</f>
        <v/>
      </c>
      <c r="P96" s="9">
        <f>IFERROR(K96-F96,"")</f>
        <v/>
      </c>
      <c r="Q96" s="7" t="n">
        <v>0.1715867158671587</v>
      </c>
      <c r="R96" s="7" t="n">
        <v>0.6070110701107011</v>
      </c>
      <c r="S96" s="7" t="n">
        <v>0.1088560885608856</v>
      </c>
      <c r="T96" s="7" t="n">
        <v>0.2564575645756458</v>
      </c>
      <c r="U96" s="7" t="n">
        <v>0.0824561403508772</v>
      </c>
      <c r="V96" s="7" t="n">
        <v>0.5</v>
      </c>
      <c r="W96" s="7" t="n">
        <v>0.7127659574468085</v>
      </c>
      <c r="X96" s="7" t="n">
        <v>0.3484476481302967</v>
      </c>
      <c r="Y96" s="3">
        <f>IF(X96="","",IF(X96&gt;='Léeme'!$B$6,"barato",IF(X96&lt;'Léeme'!$B$7,"caro","medio")))</f>
        <v/>
      </c>
      <c r="Z96" s="11" t="n">
        <v>0.4477751947418325</v>
      </c>
      <c r="AA96" s="11" t="n">
        <v>0.02523766677532069</v>
      </c>
    </row>
    <row r="97">
      <c r="A97" s="3" t="inlineStr">
        <is>
          <t>2015-T4</t>
        </is>
      </c>
      <c r="B97" s="13" t="n">
        <v>42369</v>
      </c>
      <c r="C97" s="14" t="n">
        <v>40.049999</v>
      </c>
      <c r="D97" s="14" t="n">
        <v>2.09</v>
      </c>
      <c r="E97" s="14" t="n">
        <v>1.74</v>
      </c>
      <c r="F97" s="5" t="n">
        <v>0.0227</v>
      </c>
      <c r="G97" s="5" t="n">
        <v>0.004363182169185187</v>
      </c>
      <c r="H97" s="5" t="n">
        <v>0.0554</v>
      </c>
      <c r="I97" s="15">
        <f>IFERROR(C97/D97,"")</f>
        <v/>
      </c>
      <c r="J97" s="9">
        <f>IFERROR(D97/C97,"")</f>
        <v/>
      </c>
      <c r="K97" s="9">
        <f>IFERROR(E97/C97,"")</f>
        <v/>
      </c>
      <c r="L97" s="9">
        <f>IFERROR(F97-G97,"")</f>
        <v/>
      </c>
      <c r="M97" s="9">
        <f>IFERROR(J97-F97,"")</f>
        <v/>
      </c>
      <c r="N97" s="9">
        <f>IFERROR(J97-L97,"")</f>
        <v/>
      </c>
      <c r="O97" s="9">
        <f>IFERROR(J97-H97,"")</f>
        <v/>
      </c>
      <c r="P97" s="9">
        <f>IFERROR(K97-F97,"")</f>
        <v/>
      </c>
      <c r="Q97" s="7" t="n">
        <v>0.07846715328467153</v>
      </c>
      <c r="R97" s="7" t="n">
        <v>0.4142335766423358</v>
      </c>
      <c r="S97" s="7" t="n">
        <v>0.05656934306569343</v>
      </c>
      <c r="T97" s="7" t="n">
        <v>0.04927007299270073</v>
      </c>
      <c r="U97" s="7" t="n">
        <v>0.01909722222222222</v>
      </c>
      <c r="V97" s="7" t="n">
        <v>0.2482638888888889</v>
      </c>
      <c r="W97" s="7" t="n">
        <v>0.5273109243697479</v>
      </c>
      <c r="X97" s="7" t="n">
        <v>0.1990303116380372</v>
      </c>
      <c r="Y97" s="3">
        <f>IF(X97="","",IF(X97&gt;='Léeme'!$B$6,"barato",IF(X97&lt;'Léeme'!$B$7,"caro","medio")))</f>
        <v/>
      </c>
      <c r="Z97" s="11" t="n">
        <v>0.1386488001810349</v>
      </c>
      <c r="AA97" s="11" t="n">
        <v>0.04071903505034147</v>
      </c>
    </row>
    <row r="98">
      <c r="A98" s="3" t="inlineStr">
        <is>
          <t>2016-T1</t>
        </is>
      </c>
      <c r="B98" s="13" t="n">
        <v>42460</v>
      </c>
      <c r="C98" s="14" t="n">
        <v>46.200001</v>
      </c>
      <c r="D98" s="14" t="n">
        <v>2.15</v>
      </c>
      <c r="E98" s="14" t="n">
        <v>1.74</v>
      </c>
      <c r="F98" s="5" t="n">
        <v>0.0178</v>
      </c>
      <c r="G98" s="5" t="n">
        <v>0.008472775790126619</v>
      </c>
      <c r="H98" s="5" t="n">
        <v>0.04940000000000001</v>
      </c>
      <c r="I98" s="15">
        <f>IFERROR(C98/D98,"")</f>
        <v/>
      </c>
      <c r="J98" s="9">
        <f>IFERROR(D98/C98,"")</f>
        <v/>
      </c>
      <c r="K98" s="9">
        <f>IFERROR(E98/C98,"")</f>
        <v/>
      </c>
      <c r="L98" s="9">
        <f>IFERROR(F98-G98,"")</f>
        <v/>
      </c>
      <c r="M98" s="9">
        <f>IFERROR(J98-F98,"")</f>
        <v/>
      </c>
      <c r="N98" s="9">
        <f>IFERROR(J98-L98,"")</f>
        <v/>
      </c>
      <c r="O98" s="9">
        <f>IFERROR(J98-H98,"")</f>
        <v/>
      </c>
      <c r="P98" s="9">
        <f>IFERROR(K98-F98,"")</f>
        <v/>
      </c>
      <c r="Q98" s="7" t="n">
        <v>0.009025270758122744</v>
      </c>
      <c r="R98" s="7" t="n">
        <v>0.3808664259927798</v>
      </c>
      <c r="S98" s="7" t="n">
        <v>0.09205776173285199</v>
      </c>
      <c r="T98" s="7" t="n">
        <v>0.0631768953068592</v>
      </c>
      <c r="U98" s="7" t="n">
        <v>0.001718213058419244</v>
      </c>
      <c r="V98" s="7" t="n">
        <v>0.2147766323024055</v>
      </c>
      <c r="W98" s="7" t="n">
        <v>0.3713692946058091</v>
      </c>
      <c r="X98" s="7" t="n">
        <v>0.1618557848224639</v>
      </c>
      <c r="Y98" s="3">
        <f>IF(X98="","",IF(X98&gt;='Léeme'!$B$6,"barato",IF(X98&lt;'Léeme'!$B$7,"caro","medio")))</f>
        <v/>
      </c>
      <c r="Z98" s="11" t="n">
        <v>-0.02575132360282928</v>
      </c>
      <c r="AA98" s="11" t="n">
        <v>0.02694104493813887</v>
      </c>
    </row>
    <row r="99">
      <c r="A99" s="3" t="inlineStr">
        <is>
          <t>2016-T2</t>
        </is>
      </c>
      <c r="B99" s="13" t="n">
        <v>42551</v>
      </c>
      <c r="C99" s="14" t="n">
        <v>51.720001</v>
      </c>
      <c r="D99" s="14" t="n">
        <v>2.15</v>
      </c>
      <c r="E99" s="14" t="n">
        <v>1.74</v>
      </c>
      <c r="F99" s="5" t="n">
        <v>0.0149</v>
      </c>
      <c r="G99" s="5" t="n">
        <v>0.01078476462124622</v>
      </c>
      <c r="H99" s="5" t="n">
        <v>0.044</v>
      </c>
      <c r="I99" s="15">
        <f>IFERROR(C99/D99,"")</f>
        <v/>
      </c>
      <c r="J99" s="9">
        <f>IFERROR(D99/C99,"")</f>
        <v/>
      </c>
      <c r="K99" s="9">
        <f>IFERROR(E99/C99,"")</f>
        <v/>
      </c>
      <c r="L99" s="9">
        <f>IFERROR(F99-G99,"")</f>
        <v/>
      </c>
      <c r="M99" s="9">
        <f>IFERROR(J99-F99,"")</f>
        <v/>
      </c>
      <c r="N99" s="9">
        <f>IFERROR(J99-L99,"")</f>
        <v/>
      </c>
      <c r="O99" s="9">
        <f>IFERROR(J99-H99,"")</f>
        <v/>
      </c>
      <c r="P99" s="9">
        <f>IFERROR(K99-F99,"")</f>
        <v/>
      </c>
      <c r="Q99" s="7" t="n">
        <v>0.001785714285714286</v>
      </c>
      <c r="R99" s="7" t="n">
        <v>0.2910714285714286</v>
      </c>
      <c r="S99" s="7" t="n">
        <v>0.09464285714285714</v>
      </c>
      <c r="T99" s="7" t="n">
        <v>0.07321428571428572</v>
      </c>
      <c r="U99" s="7" t="n">
        <v>0.001700680272108843</v>
      </c>
      <c r="V99" s="7" t="n">
        <v>0.1989795918367347</v>
      </c>
      <c r="W99" s="7" t="n">
        <v>0.1700819672131147</v>
      </c>
      <c r="X99" s="7" t="n">
        <v>0.1187823607194634</v>
      </c>
      <c r="Y99" s="3">
        <f>IF(X99="","",IF(X99&gt;='Léeme'!$B$6,"barato",IF(X99&lt;'Léeme'!$B$7,"caro","medio")))</f>
        <v/>
      </c>
      <c r="Z99" s="11" t="n">
        <v>-0.2194773737795073</v>
      </c>
      <c r="AA99" s="11" t="n">
        <v>0.01672302525589164</v>
      </c>
    </row>
    <row r="100">
      <c r="A100" s="3" t="inlineStr">
        <is>
          <t>2016-T3</t>
        </is>
      </c>
      <c r="B100" s="13" t="n">
        <v>42643</v>
      </c>
      <c r="C100" s="14" t="n">
        <v>50.849998</v>
      </c>
      <c r="D100" s="14" t="n">
        <v>2.15</v>
      </c>
      <c r="E100" s="14" t="n">
        <v>1.82</v>
      </c>
      <c r="F100" s="5" t="n">
        <v>0.016</v>
      </c>
      <c r="G100" s="5" t="n">
        <v>0.01055315859565686</v>
      </c>
      <c r="H100" s="5" t="n">
        <v>0.0423</v>
      </c>
      <c r="I100" s="15">
        <f>IFERROR(C100/D100,"")</f>
        <v/>
      </c>
      <c r="J100" s="9">
        <f>IFERROR(D100/C100,"")</f>
        <v/>
      </c>
      <c r="K100" s="9">
        <f>IFERROR(E100/C100,"")</f>
        <v/>
      </c>
      <c r="L100" s="9">
        <f>IFERROR(F100-G100,"")</f>
        <v/>
      </c>
      <c r="M100" s="9">
        <f>IFERROR(J100-F100,"")</f>
        <v/>
      </c>
      <c r="N100" s="9">
        <f>IFERROR(J100-L100,"")</f>
        <v/>
      </c>
      <c r="O100" s="9">
        <f>IFERROR(J100-H100,"")</f>
        <v/>
      </c>
      <c r="P100" s="9">
        <f>IFERROR(K100-F100,"")</f>
        <v/>
      </c>
      <c r="Q100" s="7" t="n">
        <v>0.008833922261484099</v>
      </c>
      <c r="R100" s="7" t="n">
        <v>0.2703180212014134</v>
      </c>
      <c r="S100" s="7" t="n">
        <v>0.09010600706713781</v>
      </c>
      <c r="T100" s="7" t="n">
        <v>0.1219081272084806</v>
      </c>
      <c r="U100" s="7" t="n">
        <v>0.008417508417508417</v>
      </c>
      <c r="V100" s="7" t="n">
        <v>0.2138047138047138</v>
      </c>
      <c r="W100" s="7" t="n">
        <v>0.2489878542510121</v>
      </c>
      <c r="X100" s="7" t="n">
        <v>0.1374823077445357</v>
      </c>
      <c r="Y100" s="3">
        <f>IF(X100="","",IF(X100&gt;='Léeme'!$B$6,"barato",IF(X100&lt;'Léeme'!$B$7,"caro","medio")))</f>
        <v/>
      </c>
      <c r="Z100" s="11" t="n">
        <v>-0.1522582390751154</v>
      </c>
      <c r="AA100" s="11" t="n">
        <v>0.003915047783134673</v>
      </c>
    </row>
    <row r="101">
      <c r="A101" s="3" t="inlineStr">
        <is>
          <t>2016-T4</t>
        </is>
      </c>
      <c r="B101" s="13" t="n">
        <v>42734</v>
      </c>
      <c r="C101" s="14" t="n">
        <v>44.200001</v>
      </c>
      <c r="D101" s="14" t="n">
        <v>2.15</v>
      </c>
      <c r="E101" s="14" t="n">
        <v>1.82</v>
      </c>
      <c r="F101" s="5" t="n">
        <v>0.0245</v>
      </c>
      <c r="G101" s="5" t="n">
        <v>0.01684333471978894</v>
      </c>
      <c r="H101" s="5" t="n">
        <v>0.0476</v>
      </c>
      <c r="I101" s="15">
        <f>IFERROR(C101/D101,"")</f>
        <v/>
      </c>
      <c r="J101" s="9">
        <f>IFERROR(D101/C101,"")</f>
        <v/>
      </c>
      <c r="K101" s="9">
        <f>IFERROR(E101/C101,"")</f>
        <v/>
      </c>
      <c r="L101" s="9">
        <f>IFERROR(F101-G101,"")</f>
        <v/>
      </c>
      <c r="M101" s="9">
        <f>IFERROR(J101-F101,"")</f>
        <v/>
      </c>
      <c r="N101" s="9">
        <f>IFERROR(J101-L101,"")</f>
        <v/>
      </c>
      <c r="O101" s="9">
        <f>IFERROR(J101-H101,"")</f>
        <v/>
      </c>
      <c r="P101" s="9">
        <f>IFERROR(K101-F101,"")</f>
        <v/>
      </c>
      <c r="Q101" s="7" t="n">
        <v>0.03671328671328671</v>
      </c>
      <c r="R101" s="7" t="n">
        <v>0.1905594405594405</v>
      </c>
      <c r="S101" s="7" t="n">
        <v>0.1660839160839161</v>
      </c>
      <c r="T101" s="7" t="n">
        <v>0.1555944055944056</v>
      </c>
      <c r="U101" s="7" t="n">
        <v>0.045</v>
      </c>
      <c r="V101" s="7" t="n">
        <v>0.155</v>
      </c>
      <c r="W101" s="7" t="n">
        <v>0.526</v>
      </c>
      <c r="X101" s="7" t="n">
        <v>0.1821358641358642</v>
      </c>
      <c r="Y101" s="3">
        <f>IF(X101="","",IF(X101&gt;='Léeme'!$B$6,"barato",IF(X101&lt;'Léeme'!$B$7,"caro","medio")))</f>
        <v/>
      </c>
      <c r="Z101" s="11" t="n">
        <v>0.01103290194278372</v>
      </c>
      <c r="AA101" s="11" t="n">
        <v>0.05497494590459939</v>
      </c>
    </row>
    <row r="102">
      <c r="A102" s="3" t="inlineStr">
        <is>
          <t>2017-T1</t>
        </is>
      </c>
      <c r="B102" s="13" t="n">
        <v>42825</v>
      </c>
      <c r="C102" s="14" t="n">
        <v>43.619999</v>
      </c>
      <c r="D102" s="14" t="n">
        <v>2.28</v>
      </c>
      <c r="E102" s="14" t="n">
        <v>1.82</v>
      </c>
      <c r="F102" s="5" t="n">
        <v>0.024</v>
      </c>
      <c r="G102" s="5" t="n">
        <v>0.02810361681329421</v>
      </c>
      <c r="H102" s="5" t="n">
        <v>0.04650000000000001</v>
      </c>
      <c r="I102" s="15">
        <f>IFERROR(C102/D102,"")</f>
        <v/>
      </c>
      <c r="J102" s="9">
        <f>IFERROR(D102/C102,"")</f>
        <v/>
      </c>
      <c r="K102" s="9">
        <f>IFERROR(E102/C102,"")</f>
        <v/>
      </c>
      <c r="L102" s="9">
        <f>IFERROR(F102-G102,"")</f>
        <v/>
      </c>
      <c r="M102" s="9">
        <f>IFERROR(J102-F102,"")</f>
        <v/>
      </c>
      <c r="N102" s="9">
        <f>IFERROR(J102-L102,"")</f>
        <v/>
      </c>
      <c r="O102" s="9">
        <f>IFERROR(J102-H102,"")</f>
        <v/>
      </c>
      <c r="P102" s="9">
        <f>IFERROR(K102-F102,"")</f>
        <v/>
      </c>
      <c r="Q102" s="7" t="n">
        <v>0.1262975778546713</v>
      </c>
      <c r="R102" s="7" t="n">
        <v>0.3788927335640138</v>
      </c>
      <c r="S102" s="7" t="n">
        <v>0.5069204152249135</v>
      </c>
      <c r="T102" s="7" t="n">
        <v>0.3546712802768166</v>
      </c>
      <c r="U102" s="7" t="n">
        <v>0.05115511551155116</v>
      </c>
      <c r="V102" s="7" t="n">
        <v>0.1765676567656766</v>
      </c>
      <c r="W102" s="7" t="n">
        <v>0.66600790513834</v>
      </c>
      <c r="X102" s="7" t="n">
        <v>0.322930383476569</v>
      </c>
      <c r="Y102" s="3">
        <f>IF(X102="","",IF(X102&gt;='Léeme'!$B$6,"barato",IF(X102&lt;'Léeme'!$B$7,"caro","medio")))</f>
        <v/>
      </c>
      <c r="Z102" s="11" t="n">
        <v>-0.06619773780857807</v>
      </c>
      <c r="AA102" s="11" t="n">
        <v>0.04393866859462592</v>
      </c>
    </row>
    <row r="103">
      <c r="A103" s="3" t="inlineStr">
        <is>
          <t>2017-T2</t>
        </is>
      </c>
      <c r="B103" s="13" t="n">
        <v>42916</v>
      </c>
      <c r="C103" s="14" t="n">
        <v>39.099998</v>
      </c>
      <c r="D103" s="14" t="n">
        <v>2.28</v>
      </c>
      <c r="E103" s="14" t="n">
        <v>1.82</v>
      </c>
      <c r="F103" s="5" t="n">
        <v>0.0231</v>
      </c>
      <c r="G103" s="5" t="n">
        <v>0.01856343166761976</v>
      </c>
      <c r="H103" s="5" t="n">
        <v>0.0438</v>
      </c>
      <c r="I103" s="15">
        <f>IFERROR(C103/D103,"")</f>
        <v/>
      </c>
      <c r="J103" s="9">
        <f>IFERROR(D103/C103,"")</f>
        <v/>
      </c>
      <c r="K103" s="9">
        <f>IFERROR(E103/C103,"")</f>
        <v/>
      </c>
      <c r="L103" s="9">
        <f>IFERROR(F103-G103,"")</f>
        <v/>
      </c>
      <c r="M103" s="9">
        <f>IFERROR(J103-F103,"")</f>
        <v/>
      </c>
      <c r="N103" s="9">
        <f>IFERROR(J103-L103,"")</f>
        <v/>
      </c>
      <c r="O103" s="9">
        <f>IFERROR(J103-H103,"")</f>
        <v/>
      </c>
      <c r="P103" s="9">
        <f>IFERROR(K103-F103,"")</f>
        <v/>
      </c>
      <c r="Q103" s="7" t="n">
        <v>0.238013698630137</v>
      </c>
      <c r="R103" s="7" t="n">
        <v>0.5873287671232876</v>
      </c>
      <c r="S103" s="7" t="n">
        <v>0.4434931506849315</v>
      </c>
      <c r="T103" s="7" t="n">
        <v>0.6763698630136986</v>
      </c>
      <c r="U103" s="7" t="n">
        <v>0.1225490196078431</v>
      </c>
      <c r="V103" s="7" t="n">
        <v>0.3872549019607843</v>
      </c>
      <c r="W103" s="7" t="n">
        <v>0.794921875</v>
      </c>
      <c r="X103" s="7" t="n">
        <v>0.4642758965743831</v>
      </c>
      <c r="Y103" s="3">
        <f>IF(X103="","",IF(X103&gt;='Léeme'!$B$6,"barato",IF(X103&lt;'Léeme'!$B$7,"caro","medio")))</f>
        <v/>
      </c>
      <c r="Z103" s="11" t="n">
        <v>0.1681550595287118</v>
      </c>
      <c r="AA103" s="11" t="n">
        <v>0.05782896885706301</v>
      </c>
    </row>
    <row r="104">
      <c r="A104" s="3" t="inlineStr">
        <is>
          <t>2017-T3</t>
        </is>
      </c>
      <c r="B104" s="13" t="n">
        <v>43007</v>
      </c>
      <c r="C104" s="14" t="n">
        <v>41.66</v>
      </c>
      <c r="D104" s="14" t="n">
        <v>2.28</v>
      </c>
      <c r="E104" s="14" t="n">
        <v>1.9</v>
      </c>
      <c r="F104" s="5" t="n">
        <v>0.0233</v>
      </c>
      <c r="G104" s="5" t="n">
        <v>0.0192812155729698</v>
      </c>
      <c r="H104" s="5" t="n">
        <v>0.0436</v>
      </c>
      <c r="I104" s="15">
        <f>IFERROR(C104/D104,"")</f>
        <v/>
      </c>
      <c r="J104" s="9">
        <f>IFERROR(D104/C104,"")</f>
        <v/>
      </c>
      <c r="K104" s="9">
        <f>IFERROR(E104/C104,"")</f>
        <v/>
      </c>
      <c r="L104" s="9">
        <f>IFERROR(F104-G104,"")</f>
        <v/>
      </c>
      <c r="M104" s="9">
        <f>IFERROR(J104-F104,"")</f>
        <v/>
      </c>
      <c r="N104" s="9">
        <f>IFERROR(J104-L104,"")</f>
        <v/>
      </c>
      <c r="O104" s="9">
        <f>IFERROR(J104-H104,"")</f>
        <v/>
      </c>
      <c r="P104" s="9">
        <f>IFERROR(K104-F104,"")</f>
        <v/>
      </c>
      <c r="Q104" s="7" t="n">
        <v>0.1711864406779661</v>
      </c>
      <c r="R104" s="7" t="n">
        <v>0.4864406779661017</v>
      </c>
      <c r="S104" s="7" t="n">
        <v>0.3610169491525424</v>
      </c>
      <c r="T104" s="7" t="n">
        <v>0.588135593220339</v>
      </c>
      <c r="U104" s="7" t="n">
        <v>0.1084142394822006</v>
      </c>
      <c r="V104" s="7" t="n">
        <v>0.3478964401294498</v>
      </c>
      <c r="W104" s="7" t="n">
        <v>0.7393822393822393</v>
      </c>
      <c r="X104" s="7" t="n">
        <v>0.4003532257158341</v>
      </c>
      <c r="Y104" s="3">
        <f>IF(X104="","",IF(X104&gt;='Léeme'!$B$6,"barato",IF(X104&lt;'Léeme'!$B$7,"caro","medio")))</f>
        <v/>
      </c>
      <c r="Z104" s="11" t="n">
        <v>0.1175018462252937</v>
      </c>
      <c r="AA104" s="11" t="n">
        <v>0.02477410611687936</v>
      </c>
    </row>
    <row r="105">
      <c r="A105" s="3" t="inlineStr">
        <is>
          <t>2017-T4</t>
        </is>
      </c>
      <c r="B105" s="13" t="n">
        <v>43098</v>
      </c>
      <c r="C105" s="14" t="n">
        <v>43.130001</v>
      </c>
      <c r="D105" s="14" t="n">
        <v>2.28</v>
      </c>
      <c r="E105" s="14" t="n">
        <v>1.9</v>
      </c>
      <c r="F105" s="5" t="n">
        <v>0.024</v>
      </c>
      <c r="G105" s="5" t="n">
        <v>0.02172493864295566</v>
      </c>
      <c r="H105" s="5" t="n">
        <v>0.04190000000000001</v>
      </c>
      <c r="I105" s="15">
        <f>IFERROR(C105/D105,"")</f>
        <v/>
      </c>
      <c r="J105" s="9">
        <f>IFERROR(D105/C105,"")</f>
        <v/>
      </c>
      <c r="K105" s="9">
        <f>IFERROR(E105/C105,"")</f>
        <v/>
      </c>
      <c r="L105" s="9">
        <f>IFERROR(F105-G105,"")</f>
        <v/>
      </c>
      <c r="M105" s="9">
        <f>IFERROR(J105-F105,"")</f>
        <v/>
      </c>
      <c r="N105" s="9">
        <f>IFERROR(J105-L105,"")</f>
        <v/>
      </c>
      <c r="O105" s="9">
        <f>IFERROR(J105-H105,"")</f>
        <v/>
      </c>
      <c r="P105" s="9">
        <f>IFERROR(K105-F105,"")</f>
        <v/>
      </c>
      <c r="Q105" s="7" t="n">
        <v>0.1258389261744967</v>
      </c>
      <c r="R105" s="7" t="n">
        <v>0.3976510067114094</v>
      </c>
      <c r="S105" s="7" t="n">
        <v>0.3573825503355705</v>
      </c>
      <c r="T105" s="7" t="n">
        <v>0.5822147651006712</v>
      </c>
      <c r="U105" s="7" t="n">
        <v>0.08814102564102565</v>
      </c>
      <c r="V105" s="7" t="n">
        <v>0.2387820512820513</v>
      </c>
      <c r="W105" s="7" t="n">
        <v>0.6622137404580153</v>
      </c>
      <c r="X105" s="7" t="n">
        <v>0.3503177236718913</v>
      </c>
      <c r="Y105" s="3">
        <f>IF(X105="","",IF(X105&gt;='Léeme'!$B$6,"barato",IF(X105&lt;'Léeme'!$B$7,"caro","medio")))</f>
        <v/>
      </c>
      <c r="Z105" s="11" t="n">
        <v>0.1648962107350553</v>
      </c>
      <c r="AA105" s="11" t="n">
        <v>0.0504867478614075</v>
      </c>
    </row>
    <row r="106">
      <c r="A106" s="3" t="inlineStr">
        <is>
          <t>2018-T1</t>
        </is>
      </c>
      <c r="B106" s="13" t="n">
        <v>43188</v>
      </c>
      <c r="C106" s="14" t="n">
        <v>39.259998</v>
      </c>
      <c r="D106" s="14" t="n">
        <v>2.4</v>
      </c>
      <c r="E106" s="14" t="n">
        <v>1.9</v>
      </c>
      <c r="F106" s="5" t="n">
        <v>0.0274</v>
      </c>
      <c r="G106" s="5" t="n">
        <v>0.02263468931091861</v>
      </c>
      <c r="H106" s="5" t="n">
        <v>0.0463</v>
      </c>
      <c r="I106" s="15">
        <f>IFERROR(C106/D106,"")</f>
        <v/>
      </c>
      <c r="J106" s="9">
        <f>IFERROR(D106/C106,"")</f>
        <v/>
      </c>
      <c r="K106" s="9">
        <f>IFERROR(E106/C106,"")</f>
        <v/>
      </c>
      <c r="L106" s="9">
        <f>IFERROR(F106-G106,"")</f>
        <v/>
      </c>
      <c r="M106" s="9">
        <f>IFERROR(J106-F106,"")</f>
        <v/>
      </c>
      <c r="N106" s="9">
        <f>IFERROR(J106-L106,"")</f>
        <v/>
      </c>
      <c r="O106" s="9">
        <f>IFERROR(J106-H106,"")</f>
        <v/>
      </c>
      <c r="P106" s="9">
        <f>IFERROR(K106-F106,"")</f>
        <v/>
      </c>
      <c r="Q106" s="7" t="n">
        <v>0.2840531561461794</v>
      </c>
      <c r="R106" s="7" t="n">
        <v>0.5465116279069767</v>
      </c>
      <c r="S106" s="7" t="n">
        <v>0.5166112956810631</v>
      </c>
      <c r="T106" s="7" t="n">
        <v>0.6960132890365448</v>
      </c>
      <c r="U106" s="7" t="n">
        <v>0.1698412698412698</v>
      </c>
      <c r="V106" s="7" t="n">
        <v>0.2841269841269841</v>
      </c>
      <c r="W106" s="7" t="n">
        <v>0.809433962264151</v>
      </c>
      <c r="X106" s="7" t="n">
        <v>0.4723702264290241</v>
      </c>
      <c r="Y106" s="3">
        <f>IF(X106="","",IF(X106&gt;='Léeme'!$B$6,"barato",IF(X106&lt;'Léeme'!$B$7,"caro","medio")))</f>
        <v/>
      </c>
      <c r="Z106" s="11" t="n">
        <v>0.4608865519837233</v>
      </c>
      <c r="AA106" s="11" t="n">
        <v>0.05646697659443745</v>
      </c>
    </row>
    <row r="107">
      <c r="A107" s="3" t="inlineStr">
        <is>
          <t>2018-T2</t>
        </is>
      </c>
      <c r="B107" s="13" t="n">
        <v>43280</v>
      </c>
      <c r="C107" s="14" t="n">
        <v>43.959999</v>
      </c>
      <c r="D107" s="14" t="n">
        <v>2.4</v>
      </c>
      <c r="E107" s="14" t="n">
        <v>1.9</v>
      </c>
      <c r="F107" s="5" t="n">
        <v>0.0285</v>
      </c>
      <c r="G107" s="5" t="n">
        <v>0.02781921607842497</v>
      </c>
      <c r="H107" s="5" t="n">
        <v>0.0484</v>
      </c>
      <c r="I107" s="15">
        <f>IFERROR(C107/D107,"")</f>
        <v/>
      </c>
      <c r="J107" s="9">
        <f>IFERROR(D107/C107,"")</f>
        <v/>
      </c>
      <c r="K107" s="9">
        <f>IFERROR(E107/C107,"")</f>
        <v/>
      </c>
      <c r="L107" s="9">
        <f>IFERROR(F107-G107,"")</f>
        <v/>
      </c>
      <c r="M107" s="9">
        <f>IFERROR(J107-F107,"")</f>
        <v/>
      </c>
      <c r="N107" s="9">
        <f>IFERROR(J107-L107,"")</f>
        <v/>
      </c>
      <c r="O107" s="9">
        <f>IFERROR(J107-H107,"")</f>
        <v/>
      </c>
      <c r="P107" s="9">
        <f>IFERROR(K107-F107,"")</f>
        <v/>
      </c>
      <c r="Q107" s="7" t="n">
        <v>0.1661184210526316</v>
      </c>
      <c r="R107" s="7" t="n">
        <v>0.2483552631578947</v>
      </c>
      <c r="S107" s="7" t="n">
        <v>0.4490131578947368</v>
      </c>
      <c r="T107" s="7" t="n">
        <v>0.3865131578947368</v>
      </c>
      <c r="U107" s="7" t="n">
        <v>0.06761006289308176</v>
      </c>
      <c r="V107" s="7" t="n">
        <v>0.1179245283018868</v>
      </c>
      <c r="W107" s="7" t="n">
        <v>0.6399253731343284</v>
      </c>
      <c r="X107" s="7" t="n">
        <v>0.296494280618471</v>
      </c>
      <c r="Y107" s="3">
        <f>IF(X107="","",IF(X107&gt;='Léeme'!$B$6,"barato",IF(X107&lt;'Léeme'!$B$7,"caro","medio")))</f>
        <v/>
      </c>
      <c r="Z107" s="11" t="n">
        <v>0.2459329602442091</v>
      </c>
      <c r="AA107" s="11" t="n">
        <v>0.03287144122503882</v>
      </c>
    </row>
    <row r="108">
      <c r="A108" s="3" t="inlineStr">
        <is>
          <t>2018-T3</t>
        </is>
      </c>
      <c r="B108" s="13" t="n">
        <v>43371</v>
      </c>
      <c r="C108" s="14" t="n">
        <v>44.82</v>
      </c>
      <c r="D108" s="14" t="n">
        <v>2.4</v>
      </c>
      <c r="E108" s="14" t="n">
        <v>2</v>
      </c>
      <c r="F108" s="5" t="n">
        <v>0.0305</v>
      </c>
      <c r="G108" s="5" t="n">
        <v>0.02642923856874257</v>
      </c>
      <c r="H108" s="5" t="n">
        <v>0.0489</v>
      </c>
      <c r="I108" s="15">
        <f>IFERROR(C108/D108,"")</f>
        <v/>
      </c>
      <c r="J108" s="9">
        <f>IFERROR(D108/C108,"")</f>
        <v/>
      </c>
      <c r="K108" s="9">
        <f>IFERROR(E108/C108,"")</f>
        <v/>
      </c>
      <c r="L108" s="9">
        <f>IFERROR(F108-G108,"")</f>
        <v/>
      </c>
      <c r="M108" s="9">
        <f>IFERROR(J108-F108,"")</f>
        <v/>
      </c>
      <c r="N108" s="9">
        <f>IFERROR(J108-L108,"")</f>
        <v/>
      </c>
      <c r="O108" s="9">
        <f>IFERROR(J108-H108,"")</f>
        <v/>
      </c>
      <c r="P108" s="9">
        <f>IFERROR(K108-F108,"")</f>
        <v/>
      </c>
      <c r="Q108" s="7" t="n">
        <v>0.1449511400651466</v>
      </c>
      <c r="R108" s="7" t="n">
        <v>0.1547231270358306</v>
      </c>
      <c r="S108" s="7" t="n">
        <v>0.3143322475570032</v>
      </c>
      <c r="T108" s="7" t="n">
        <v>0.2882736156351792</v>
      </c>
      <c r="U108" s="7" t="n">
        <v>0.09813084112149532</v>
      </c>
      <c r="V108" s="7" t="n">
        <v>0.1074766355140187</v>
      </c>
      <c r="W108" s="7" t="n">
        <v>0.584870848708487</v>
      </c>
      <c r="X108" s="7" t="n">
        <v>0.2418226365195944</v>
      </c>
      <c r="Y108" s="3">
        <f>IF(X108="","",IF(X108&gt;='Léeme'!$B$6,"barato",IF(X108&lt;'Léeme'!$B$7,"caro","medio")))</f>
        <v/>
      </c>
      <c r="Z108" s="11" t="n">
        <v>0.298855960153273</v>
      </c>
      <c r="AA108" s="11" t="n">
        <v>-0.01061055544035427</v>
      </c>
    </row>
    <row r="109">
      <c r="A109" s="3" t="inlineStr">
        <is>
          <t>2018-T4</t>
        </is>
      </c>
      <c r="B109" s="13" t="n">
        <v>43465</v>
      </c>
      <c r="C109" s="14" t="n">
        <v>48.509998</v>
      </c>
      <c r="D109" s="14" t="n">
        <v>2.4</v>
      </c>
      <c r="E109" s="14" t="n">
        <v>2</v>
      </c>
      <c r="F109" s="5" t="n">
        <v>0.0269</v>
      </c>
      <c r="G109" s="5" t="n">
        <v>0.02147328577667773</v>
      </c>
      <c r="H109" s="5" t="n">
        <v>0.0516</v>
      </c>
      <c r="I109" s="15">
        <f>IFERROR(C109/D109,"")</f>
        <v/>
      </c>
      <c r="J109" s="9">
        <f>IFERROR(D109/C109,"")</f>
        <v/>
      </c>
      <c r="K109" s="9">
        <f>IFERROR(E109/C109,"")</f>
        <v/>
      </c>
      <c r="L109" s="9">
        <f>IFERROR(F109-G109,"")</f>
        <v/>
      </c>
      <c r="M109" s="9">
        <f>IFERROR(J109-F109,"")</f>
        <v/>
      </c>
      <c r="N109" s="9">
        <f>IFERROR(J109-L109,"")</f>
        <v/>
      </c>
      <c r="O109" s="9">
        <f>IFERROR(J109-H109,"")</f>
        <v/>
      </c>
      <c r="P109" s="9">
        <f>IFERROR(K109-F109,"")</f>
        <v/>
      </c>
      <c r="Q109" s="7" t="n">
        <v>0.06290322580645161</v>
      </c>
      <c r="R109" s="7" t="n">
        <v>0.1403225806451613</v>
      </c>
      <c r="S109" s="7" t="n">
        <v>0.2080645161290323</v>
      </c>
      <c r="T109" s="7" t="n">
        <v>0.07258064516129033</v>
      </c>
      <c r="U109" s="7" t="n">
        <v>0.05092592592592592</v>
      </c>
      <c r="V109" s="7" t="n">
        <v>0.1157407407407407</v>
      </c>
      <c r="W109" s="7" t="n">
        <v>0.4653284671532847</v>
      </c>
      <c r="X109" s="7" t="n">
        <v>0.1594094430802695</v>
      </c>
      <c r="Y109" s="3">
        <f>IF(X109="","",IF(X109&gt;='Léeme'!$B$6,"barato",IF(X109&lt;'Léeme'!$B$7,"caro","medio")))</f>
        <v/>
      </c>
      <c r="Z109" s="11" t="n">
        <v>0.1391863079799913</v>
      </c>
      <c r="AA109" s="11" t="n">
        <v>0.0150376676385533</v>
      </c>
    </row>
    <row r="110">
      <c r="A110" s="3" t="inlineStr">
        <is>
          <t>2019-T1</t>
        </is>
      </c>
      <c r="B110" s="13" t="n">
        <v>43553</v>
      </c>
      <c r="C110" s="14" t="n">
        <v>55.389999</v>
      </c>
      <c r="D110" s="14" t="n">
        <v>2.53</v>
      </c>
      <c r="E110" s="14" t="n">
        <v>2</v>
      </c>
      <c r="F110" s="5" t="n">
        <v>0.0241</v>
      </c>
      <c r="G110" s="5" t="n">
        <v>0.01518861535132188</v>
      </c>
      <c r="H110" s="5" t="n">
        <v>0.0466</v>
      </c>
      <c r="I110" s="15">
        <f>IFERROR(C110/D110,"")</f>
        <v/>
      </c>
      <c r="J110" s="9">
        <f>IFERROR(D110/C110,"")</f>
        <v/>
      </c>
      <c r="K110" s="9">
        <f>IFERROR(E110/C110,"")</f>
        <v/>
      </c>
      <c r="L110" s="9">
        <f>IFERROR(F110-G110,"")</f>
        <v/>
      </c>
      <c r="M110" s="9">
        <f>IFERROR(J110-F110,"")</f>
        <v/>
      </c>
      <c r="N110" s="9">
        <f>IFERROR(J110-L110,"")</f>
        <v/>
      </c>
      <c r="O110" s="9">
        <f>IFERROR(J110-H110,"")</f>
        <v/>
      </c>
      <c r="P110" s="9">
        <f>IFERROR(K110-F110,"")</f>
        <v/>
      </c>
      <c r="Q110" s="7" t="n">
        <v>0.02396166134185303</v>
      </c>
      <c r="R110" s="7" t="n">
        <v>0.1166134185303514</v>
      </c>
      <c r="S110" s="7" t="n">
        <v>0.08466453674121406</v>
      </c>
      <c r="T110" s="7" t="n">
        <v>0.09744408945686901</v>
      </c>
      <c r="U110" s="7" t="n">
        <v>0.01070336391437309</v>
      </c>
      <c r="V110" s="7" t="n">
        <v>0.07492354740061162</v>
      </c>
      <c r="W110" s="7" t="n">
        <v>0.3447653429602888</v>
      </c>
      <c r="X110" s="7" t="n">
        <v>0.1075822800493659</v>
      </c>
      <c r="Y110" s="3">
        <f>IF(X110="","",IF(X110&gt;='Léeme'!$B$6,"barato",IF(X110&lt;'Léeme'!$B$7,"caro","medio")))</f>
        <v/>
      </c>
      <c r="Z110" s="11" t="n">
        <v>-0.3629637379744706</v>
      </c>
      <c r="AA110" s="11" t="n">
        <v>-0.01251154719495651</v>
      </c>
    </row>
    <row r="111">
      <c r="A111" s="3" t="inlineStr">
        <is>
          <t>2019-T2</t>
        </is>
      </c>
      <c r="B111" s="13" t="n">
        <v>43644</v>
      </c>
      <c r="C111" s="14" t="n">
        <v>53.009998</v>
      </c>
      <c r="D111" s="14" t="n">
        <v>2.53</v>
      </c>
      <c r="E111" s="14" t="n">
        <v>2</v>
      </c>
      <c r="F111" s="5" t="n">
        <v>0.02</v>
      </c>
      <c r="G111" s="5" t="n">
        <v>0.01795910555360614</v>
      </c>
      <c r="H111" s="5" t="n">
        <v>0.0432</v>
      </c>
      <c r="I111" s="15">
        <f>IFERROR(C111/D111,"")</f>
        <v/>
      </c>
      <c r="J111" s="9">
        <f>IFERROR(D111/C111,"")</f>
        <v/>
      </c>
      <c r="K111" s="9">
        <f>IFERROR(E111/C111,"")</f>
        <v/>
      </c>
      <c r="L111" s="9">
        <f>IFERROR(F111-G111,"")</f>
        <v/>
      </c>
      <c r="M111" s="9">
        <f>IFERROR(J111-F111,"")</f>
        <v/>
      </c>
      <c r="N111" s="9">
        <f>IFERROR(J111-L111,"")</f>
        <v/>
      </c>
      <c r="O111" s="9">
        <f>IFERROR(J111-H111,"")</f>
        <v/>
      </c>
      <c r="P111" s="9">
        <f>IFERROR(K111-F111,"")</f>
        <v/>
      </c>
      <c r="Q111" s="7" t="n">
        <v>0.03955696202531646</v>
      </c>
      <c r="R111" s="7" t="n">
        <v>0.3496835443037974</v>
      </c>
      <c r="S111" s="7" t="n">
        <v>0.2484177215189873</v>
      </c>
      <c r="T111" s="7" t="n">
        <v>0.3022151898734177</v>
      </c>
      <c r="U111" s="7" t="n">
        <v>0.02272727272727273</v>
      </c>
      <c r="V111" s="7" t="n">
        <v>0.2045454545454546</v>
      </c>
      <c r="W111" s="7" t="n">
        <v>0.4517857142857143</v>
      </c>
      <c r="X111" s="7" t="n">
        <v>0.2312759798971372</v>
      </c>
      <c r="Y111" s="3">
        <f>IF(X111="","",IF(X111&gt;='Léeme'!$B$6,"barato",IF(X111&lt;'Léeme'!$B$7,"caro","medio")))</f>
        <v/>
      </c>
      <c r="Z111" s="11" t="n">
        <v>-0.3254103587535399</v>
      </c>
      <c r="AA111" s="11" t="n">
        <v>-0.003778336455656395</v>
      </c>
    </row>
    <row r="112">
      <c r="A112" s="3" t="inlineStr">
        <is>
          <t>2019-T3</t>
        </is>
      </c>
      <c r="B112" s="13" t="n">
        <v>43738</v>
      </c>
      <c r="C112" s="14" t="n">
        <v>56.400002</v>
      </c>
      <c r="D112" s="14" t="n">
        <v>2.53</v>
      </c>
      <c r="E112" s="14" t="n">
        <v>2.06</v>
      </c>
      <c r="F112" s="5" t="n">
        <v>0.0168</v>
      </c>
      <c r="G112" s="5" t="n">
        <v>0.01737641210666641</v>
      </c>
      <c r="H112" s="5" t="n">
        <v>0.0388</v>
      </c>
      <c r="I112" s="15">
        <f>IFERROR(C112/D112,"")</f>
        <v/>
      </c>
      <c r="J112" s="9">
        <f>IFERROR(D112/C112,"")</f>
        <v/>
      </c>
      <c r="K112" s="9">
        <f>IFERROR(E112/C112,"")</f>
        <v/>
      </c>
      <c r="L112" s="9">
        <f>IFERROR(F112-G112,"")</f>
        <v/>
      </c>
      <c r="M112" s="9">
        <f>IFERROR(J112-F112,"")</f>
        <v/>
      </c>
      <c r="N112" s="9">
        <f>IFERROR(J112-L112,"")</f>
        <v/>
      </c>
      <c r="O112" s="9">
        <f>IFERROR(J112-H112,"")</f>
        <v/>
      </c>
      <c r="P112" s="9">
        <f>IFERROR(K112-F112,"")</f>
        <v/>
      </c>
      <c r="Q112" s="7" t="n">
        <v>0.02037617554858934</v>
      </c>
      <c r="R112" s="7" t="n">
        <v>0.3714733542319749</v>
      </c>
      <c r="S112" s="7" t="n">
        <v>0.2492163009404389</v>
      </c>
      <c r="T112" s="7" t="n">
        <v>0.3934169278996865</v>
      </c>
      <c r="U112" s="7" t="n">
        <v>0.01651651651651652</v>
      </c>
      <c r="V112" s="7" t="n">
        <v>0.2507507507507508</v>
      </c>
      <c r="W112" s="7" t="n">
        <v>0.3374558303886926</v>
      </c>
      <c r="X112" s="7" t="n">
        <v>0.2341722651823785</v>
      </c>
      <c r="Y112" s="3">
        <f>IF(X112="","",IF(X112&gt;='Léeme'!$B$6,"barato",IF(X112&lt;'Léeme'!$B$7,"caro","medio")))</f>
        <v/>
      </c>
      <c r="Z112" s="11" t="n">
        <v>-0.3640458607737418</v>
      </c>
      <c r="AA112" s="11" t="n">
        <v>0.01026513103964932</v>
      </c>
    </row>
    <row r="113">
      <c r="A113" s="3" t="inlineStr">
        <is>
          <t>2019-T4</t>
        </is>
      </c>
      <c r="B113" s="13" t="n">
        <v>43830</v>
      </c>
      <c r="C113" s="14" t="n">
        <v>53.619999</v>
      </c>
      <c r="D113" s="14" t="n">
        <v>2.53</v>
      </c>
      <c r="E113" s="14" t="n">
        <v>2.06</v>
      </c>
      <c r="F113" s="5" t="n">
        <v>0.0192</v>
      </c>
      <c r="G113" s="5" t="n">
        <v>0.02092290394862917</v>
      </c>
      <c r="H113" s="5" t="n">
        <v>0.0387</v>
      </c>
      <c r="I113" s="15">
        <f>IFERROR(C113/D113,"")</f>
        <v/>
      </c>
      <c r="J113" s="9">
        <f>IFERROR(D113/C113,"")</f>
        <v/>
      </c>
      <c r="K113" s="9">
        <f>IFERROR(E113/C113,"")</f>
        <v/>
      </c>
      <c r="L113" s="9">
        <f>IFERROR(F113-G113,"")</f>
        <v/>
      </c>
      <c r="M113" s="9">
        <f>IFERROR(J113-F113,"")</f>
        <v/>
      </c>
      <c r="N113" s="9">
        <f>IFERROR(J113-L113,"")</f>
        <v/>
      </c>
      <c r="O113" s="9">
        <f>IFERROR(J113-H113,"")</f>
        <v/>
      </c>
      <c r="P113" s="9">
        <f>IFERROR(K113-F113,"")</f>
        <v/>
      </c>
      <c r="Q113" s="7" t="n">
        <v>0.04503105590062112</v>
      </c>
      <c r="R113" s="7" t="n">
        <v>0.3742236024844721</v>
      </c>
      <c r="S113" s="7" t="n">
        <v>0.3338509316770186</v>
      </c>
      <c r="T113" s="7" t="n">
        <v>0.5077639751552795</v>
      </c>
      <c r="U113" s="7" t="n">
        <v>0.04910714285714286</v>
      </c>
      <c r="V113" s="7" t="n">
        <v>0.2425595238095238</v>
      </c>
      <c r="W113" s="7" t="n">
        <v>0.4737762237762238</v>
      </c>
      <c r="X113" s="7" t="n">
        <v>0.2894732079514687</v>
      </c>
      <c r="Y113" s="3">
        <f>IF(X113="","",IF(X113&gt;='Léeme'!$B$6,"barato",IF(X113&lt;'Léeme'!$B$7,"caro","medio")))</f>
        <v/>
      </c>
      <c r="Z113" s="11" t="n">
        <v>-0.2023287679322915</v>
      </c>
      <c r="AA113" s="11" t="n">
        <v>-0.01316328492279817</v>
      </c>
    </row>
    <row r="114">
      <c r="A114" s="3" t="inlineStr">
        <is>
          <t>2020-T1</t>
        </is>
      </c>
      <c r="B114" s="13" t="n">
        <v>43921</v>
      </c>
      <c r="C114" s="14" t="n">
        <v>32.189999</v>
      </c>
      <c r="D114" s="14" t="n">
        <v>2.71</v>
      </c>
      <c r="E114" s="14" t="n">
        <v>2.06</v>
      </c>
      <c r="F114" s="5" t="n">
        <v>0.006999999999999999</v>
      </c>
      <c r="G114" s="5" t="n">
        <v>0.0234131667975952</v>
      </c>
      <c r="H114" s="5" t="n">
        <v>0.0459</v>
      </c>
      <c r="I114" s="15">
        <f>IFERROR(C114/D114,"")</f>
        <v/>
      </c>
      <c r="J114" s="9">
        <f>IFERROR(D114/C114,"")</f>
        <v/>
      </c>
      <c r="K114" s="9">
        <f>IFERROR(E114/C114,"")</f>
        <v/>
      </c>
      <c r="L114" s="9">
        <f>IFERROR(F114-G114,"")</f>
        <v/>
      </c>
      <c r="M114" s="9">
        <f>IFERROR(J114-F114,"")</f>
        <v/>
      </c>
      <c r="N114" s="9">
        <f>IFERROR(J114-L114,"")</f>
        <v/>
      </c>
      <c r="O114" s="9">
        <f>IFERROR(J114-H114,"")</f>
        <v/>
      </c>
      <c r="P114" s="9">
        <f>IFERROR(K114-F114,"")</f>
        <v/>
      </c>
      <c r="Q114" s="7" t="n">
        <v>0.6107692307692307</v>
      </c>
      <c r="R114" s="7" t="n">
        <v>0.9338461538461539</v>
      </c>
      <c r="S114" s="7" t="n">
        <v>0.936923076923077</v>
      </c>
      <c r="T114" s="7" t="n">
        <v>0.9061538461538462</v>
      </c>
      <c r="U114" s="7" t="n">
        <v>0.4203539823008849</v>
      </c>
      <c r="V114" s="7" t="n">
        <v>0.9424778761061947</v>
      </c>
      <c r="W114" s="7" t="n">
        <v>0.9844290657439446</v>
      </c>
      <c r="X114" s="7" t="n">
        <v>0.8192790331204761</v>
      </c>
      <c r="Y114" s="3">
        <f>IF(X114="","",IF(X114&gt;='Léeme'!$B$6,"barato",IF(X114&lt;'Léeme'!$B$7,"caro","medio")))</f>
        <v/>
      </c>
      <c r="Z114" s="11" t="n">
        <v>0.4353631143022079</v>
      </c>
      <c r="AA114" s="11" t="n">
        <v>0.1033110734906586</v>
      </c>
    </row>
    <row r="115">
      <c r="A115" s="3" t="inlineStr">
        <is>
          <t>2020-T2</t>
        </is>
      </c>
      <c r="B115" s="13" t="n">
        <v>44012</v>
      </c>
      <c r="C115" s="14" t="n">
        <v>35.48</v>
      </c>
      <c r="D115" s="14" t="n">
        <v>2.71</v>
      </c>
      <c r="E115" s="14" t="n">
        <v>2.06</v>
      </c>
      <c r="F115" s="5" t="n">
        <v>0.0066</v>
      </c>
      <c r="G115" s="5" t="n">
        <v>0.001982013035848551</v>
      </c>
      <c r="H115" s="5" t="n">
        <v>0.0358</v>
      </c>
      <c r="I115" s="15">
        <f>IFERROR(C115/D115,"")</f>
        <v/>
      </c>
      <c r="J115" s="9">
        <f>IFERROR(D115/C115,"")</f>
        <v/>
      </c>
      <c r="K115" s="9">
        <f>IFERROR(E115/C115,"")</f>
        <v/>
      </c>
      <c r="L115" s="9">
        <f>IFERROR(F115-G115,"")</f>
        <v/>
      </c>
      <c r="M115" s="9">
        <f>IFERROR(J115-F115,"")</f>
        <v/>
      </c>
      <c r="N115" s="9">
        <f>IFERROR(J115-L115,"")</f>
        <v/>
      </c>
      <c r="O115" s="9">
        <f>IFERROR(J115-H115,"")</f>
        <v/>
      </c>
      <c r="P115" s="9">
        <f>IFERROR(K115-F115,"")</f>
        <v/>
      </c>
      <c r="Q115" s="7" t="n">
        <v>0.4954268292682927</v>
      </c>
      <c r="R115" s="7" t="n">
        <v>0.9070121951219512</v>
      </c>
      <c r="S115" s="7" t="n">
        <v>0.7789634146341463</v>
      </c>
      <c r="T115" s="7" t="n">
        <v>0.9100609756097561</v>
      </c>
      <c r="U115" s="7" t="n">
        <v>0.3289473684210527</v>
      </c>
      <c r="V115" s="7" t="n">
        <v>0.9137426900584795</v>
      </c>
      <c r="W115" s="7" t="n">
        <v>0.9092465753424658</v>
      </c>
      <c r="X115" s="7" t="n">
        <v>0.7490571497794491</v>
      </c>
      <c r="Y115" s="3">
        <f>IF(X115="","",IF(X115&gt;='Léeme'!$B$6,"barato",IF(X115&lt;'Léeme'!$B$7,"caro","medio")))</f>
        <v/>
      </c>
      <c r="Z115" s="11" t="n">
        <v>0.3801671770750894</v>
      </c>
      <c r="AA115" s="11" t="n">
        <v>0.0844224841742216</v>
      </c>
    </row>
    <row r="116">
      <c r="A116" s="3" t="inlineStr">
        <is>
          <t>2020-T3</t>
        </is>
      </c>
      <c r="B116" s="13" t="n">
        <v>44104</v>
      </c>
      <c r="C116" s="14" t="n">
        <v>34.509998</v>
      </c>
      <c r="D116" s="14" t="n">
        <v>2.71</v>
      </c>
      <c r="E116" s="14" t="n">
        <v>2.08</v>
      </c>
      <c r="F116" s="5" t="n">
        <v>0.0069</v>
      </c>
      <c r="G116" s="5" t="n">
        <v>0.01281069849552385</v>
      </c>
      <c r="H116" s="5" t="n">
        <v>0.034</v>
      </c>
      <c r="I116" s="15">
        <f>IFERROR(C116/D116,"")</f>
        <v/>
      </c>
      <c r="J116" s="9">
        <f>IFERROR(D116/C116,"")</f>
        <v/>
      </c>
      <c r="K116" s="9">
        <f>IFERROR(E116/C116,"")</f>
        <v/>
      </c>
      <c r="L116" s="9">
        <f>IFERROR(F116-G116,"")</f>
        <v/>
      </c>
      <c r="M116" s="9">
        <f>IFERROR(J116-F116,"")</f>
        <v/>
      </c>
      <c r="N116" s="9">
        <f>IFERROR(J116-L116,"")</f>
        <v/>
      </c>
      <c r="O116" s="9">
        <f>IFERROR(J116-H116,"")</f>
        <v/>
      </c>
      <c r="P116" s="9">
        <f>IFERROR(K116-F116,"")</f>
        <v/>
      </c>
      <c r="Q116" s="7" t="n">
        <v>0.5392749244712991</v>
      </c>
      <c r="R116" s="7" t="n">
        <v>0.9078549848942599</v>
      </c>
      <c r="S116" s="7" t="n">
        <v>0.8655589123867069</v>
      </c>
      <c r="T116" s="7" t="n">
        <v>0.9290030211480362</v>
      </c>
      <c r="U116" s="7" t="n">
        <v>0.372463768115942</v>
      </c>
      <c r="V116" s="7" t="n">
        <v>0.9231884057971015</v>
      </c>
      <c r="W116" s="7" t="n">
        <v>0.9203389830508475</v>
      </c>
      <c r="X116" s="7" t="n">
        <v>0.779668999980599</v>
      </c>
      <c r="Y116" s="3">
        <f>IF(X116="","",IF(X116&gt;='Léeme'!$B$6,"barato",IF(X116&lt;'Léeme'!$B$7,"caro","medio")))</f>
        <v/>
      </c>
      <c r="Z116" s="11" t="n">
        <v>0.3033563833564634</v>
      </c>
      <c r="AA116" s="11" t="n">
        <v>0.08732668540237754</v>
      </c>
    </row>
    <row r="117">
      <c r="A117" s="3" t="inlineStr">
        <is>
          <t>2020-T4</t>
        </is>
      </c>
      <c r="B117" s="13" t="n">
        <v>44196</v>
      </c>
      <c r="C117" s="14" t="n">
        <v>40.919998</v>
      </c>
      <c r="D117" s="14" t="n">
        <v>2.71</v>
      </c>
      <c r="E117" s="14" t="n">
        <v>2.08</v>
      </c>
      <c r="F117" s="5" t="n">
        <v>0.009300000000000001</v>
      </c>
      <c r="G117" s="5" t="n">
        <v>0.01175745213840584</v>
      </c>
      <c r="H117" s="5" t="n">
        <v>0.0313</v>
      </c>
      <c r="I117" s="15">
        <f>IFERROR(C117/D117,"")</f>
        <v/>
      </c>
      <c r="J117" s="9">
        <f>IFERROR(D117/C117,"")</f>
        <v/>
      </c>
      <c r="K117" s="9">
        <f>IFERROR(E117/C117,"")</f>
        <v/>
      </c>
      <c r="L117" s="9">
        <f>IFERROR(F117-G117,"")</f>
        <v/>
      </c>
      <c r="M117" s="9">
        <f>IFERROR(J117-F117,"")</f>
        <v/>
      </c>
      <c r="N117" s="9">
        <f>IFERROR(J117-L117,"")</f>
        <v/>
      </c>
      <c r="O117" s="9">
        <f>IFERROR(J117-H117,"")</f>
        <v/>
      </c>
      <c r="P117" s="9">
        <f>IFERROR(K117-F117,"")</f>
        <v/>
      </c>
      <c r="Q117" s="7" t="n">
        <v>0.3577844311377246</v>
      </c>
      <c r="R117" s="7" t="n">
        <v>0.8158682634730539</v>
      </c>
      <c r="S117" s="7" t="n">
        <v>0.7410179640718563</v>
      </c>
      <c r="T117" s="7" t="n">
        <v>0.8637724550898204</v>
      </c>
      <c r="U117" s="7" t="n">
        <v>0.2399425287356322</v>
      </c>
      <c r="V117" s="7" t="n">
        <v>0.8117816091954023</v>
      </c>
      <c r="W117" s="7" t="n">
        <v>0.8439597315436241</v>
      </c>
      <c r="X117" s="7" t="n">
        <v>0.6677324261781592</v>
      </c>
      <c r="Y117" s="3">
        <f>IF(X117="","",IF(X117&gt;='Léeme'!$B$6,"barato",IF(X117&lt;'Léeme'!$B$7,"caro","medio")))</f>
        <v/>
      </c>
      <c r="Z117" s="11" t="n">
        <v>0.2190552214364643</v>
      </c>
      <c r="AA117" s="11" t="n">
        <v>0.0357811716527745</v>
      </c>
    </row>
    <row r="118">
      <c r="A118" s="3" t="inlineStr">
        <is>
          <t>2021-T1</t>
        </is>
      </c>
      <c r="B118" s="13" t="n">
        <v>44286</v>
      </c>
      <c r="C118" s="14" t="n">
        <v>44.07</v>
      </c>
      <c r="D118" s="14" t="n">
        <v>2.49</v>
      </c>
      <c r="E118" s="14" t="n">
        <v>2.08</v>
      </c>
      <c r="F118" s="5" t="n">
        <v>0.0174</v>
      </c>
      <c r="G118" s="5" t="n">
        <v>0.01669816779170685</v>
      </c>
      <c r="H118" s="5" t="n">
        <v>0.0377</v>
      </c>
      <c r="I118" s="15">
        <f>IFERROR(C118/D118,"")</f>
        <v/>
      </c>
      <c r="J118" s="9">
        <f>IFERROR(D118/C118,"")</f>
        <v/>
      </c>
      <c r="K118" s="9">
        <f>IFERROR(E118/C118,"")</f>
        <v/>
      </c>
      <c r="L118" s="9">
        <f>IFERROR(F118-G118,"")</f>
        <v/>
      </c>
      <c r="M118" s="9">
        <f>IFERROR(J118-F118,"")</f>
        <v/>
      </c>
      <c r="N118" s="9">
        <f>IFERROR(J118-L118,"")</f>
        <v/>
      </c>
      <c r="O118" s="9">
        <f>IFERROR(J118-H118,"")</f>
        <v/>
      </c>
      <c r="P118" s="9">
        <f>IFERROR(K118-F118,"")</f>
        <v/>
      </c>
      <c r="Q118" s="7" t="n">
        <v>0.2655786350148368</v>
      </c>
      <c r="R118" s="7" t="n">
        <v>0.672106824925816</v>
      </c>
      <c r="S118" s="7" t="n">
        <v>0.5029673590504451</v>
      </c>
      <c r="T118" s="7" t="n">
        <v>0.755192878338279</v>
      </c>
      <c r="U118" s="7" t="n">
        <v>0.1894586894586895</v>
      </c>
      <c r="V118" s="7" t="n">
        <v>0.613960113960114</v>
      </c>
      <c r="W118" s="7" t="n">
        <v>0.7192691029900332</v>
      </c>
      <c r="X118" s="7" t="n">
        <v>0.5312190862483162</v>
      </c>
      <c r="Y118" s="3">
        <f>IF(X118="","",IF(X118&gt;='Léeme'!$B$6,"barato",IF(X118&lt;'Léeme'!$B$7,"caro","medio")))</f>
        <v/>
      </c>
      <c r="Z118" s="11" t="n">
        <v>0.05758963720782551</v>
      </c>
      <c r="AA118" s="11" t="n">
        <v>0.03283846712098648</v>
      </c>
    </row>
    <row r="119">
      <c r="A119" s="3" t="inlineStr">
        <is>
          <t>2021-T2</t>
        </is>
      </c>
      <c r="B119" s="13" t="n">
        <v>44377</v>
      </c>
      <c r="C119" s="14" t="n">
        <v>46.880001</v>
      </c>
      <c r="D119" s="14" t="n">
        <v>2.49</v>
      </c>
      <c r="E119" s="14" t="n">
        <v>2.08</v>
      </c>
      <c r="F119" s="5" t="n">
        <v>0.0145</v>
      </c>
      <c r="G119" s="5" t="n">
        <v>0.04918257089467626</v>
      </c>
      <c r="H119" s="5" t="n">
        <v>0.0336</v>
      </c>
      <c r="I119" s="15">
        <f>IFERROR(C119/D119,"")</f>
        <v/>
      </c>
      <c r="J119" s="9">
        <f>IFERROR(D119/C119,"")</f>
        <v/>
      </c>
      <c r="K119" s="9">
        <f>IFERROR(E119/C119,"")</f>
        <v/>
      </c>
      <c r="L119" s="9">
        <f>IFERROR(F119-G119,"")</f>
        <v/>
      </c>
      <c r="M119" s="9">
        <f>IFERROR(J119-F119,"")</f>
        <v/>
      </c>
      <c r="N119" s="9">
        <f>IFERROR(J119-L119,"")</f>
        <v/>
      </c>
      <c r="O119" s="9">
        <f>IFERROR(J119-H119,"")</f>
        <v/>
      </c>
      <c r="P119" s="9">
        <f>IFERROR(K119-F119,"")</f>
        <v/>
      </c>
      <c r="Q119" s="7" t="n">
        <v>0.1632352941176471</v>
      </c>
      <c r="R119" s="7" t="n">
        <v>0.6602941176470588</v>
      </c>
      <c r="S119" s="7" t="n">
        <v>0.875</v>
      </c>
      <c r="T119" s="7" t="n">
        <v>0.7720588235294118</v>
      </c>
      <c r="U119" s="7" t="n">
        <v>0.1370056497175141</v>
      </c>
      <c r="V119" s="7" t="n">
        <v>0.617231638418079</v>
      </c>
      <c r="W119" s="7" t="n">
        <v>0.5641447368421053</v>
      </c>
      <c r="X119" s="7" t="n">
        <v>0.5412814657531166</v>
      </c>
      <c r="Y119" s="3">
        <f>IF(X119="","",IF(X119&gt;='Léeme'!$B$6,"barato",IF(X119&lt;'Léeme'!$B$7,"caro","medio")))</f>
        <v/>
      </c>
      <c r="Z119" s="11" t="n">
        <v>-0.04841084707921783</v>
      </c>
      <c r="AA119" s="11" t="n">
        <v>0.0415329718720403</v>
      </c>
    </row>
    <row r="120">
      <c r="A120" s="3" t="inlineStr">
        <is>
          <t>2021-T3</t>
        </is>
      </c>
      <c r="B120" s="13" t="n">
        <v>44469</v>
      </c>
      <c r="C120" s="14" t="n">
        <v>43.189999</v>
      </c>
      <c r="D120" s="14" t="n">
        <v>2.49</v>
      </c>
      <c r="E120" s="14" t="n">
        <v>2.12</v>
      </c>
      <c r="F120" s="5" t="n">
        <v>0.0152</v>
      </c>
      <c r="G120" s="5" t="n">
        <v>0.05152015301793966</v>
      </c>
      <c r="H120" s="5" t="n">
        <v>0.0336</v>
      </c>
      <c r="I120" s="15">
        <f>IFERROR(C120/D120,"")</f>
        <v/>
      </c>
      <c r="J120" s="9">
        <f>IFERROR(D120/C120,"")</f>
        <v/>
      </c>
      <c r="K120" s="9">
        <f>IFERROR(E120/C120,"")</f>
        <v/>
      </c>
      <c r="L120" s="9">
        <f>IFERROR(F120-G120,"")</f>
        <v/>
      </c>
      <c r="M120" s="9">
        <f>IFERROR(J120-F120,"")</f>
        <v/>
      </c>
      <c r="N120" s="9">
        <f>IFERROR(J120-L120,"")</f>
        <v/>
      </c>
      <c r="O120" s="9">
        <f>IFERROR(J120-H120,"")</f>
        <v/>
      </c>
      <c r="P120" s="9">
        <f>IFERROR(K120-F120,"")</f>
        <v/>
      </c>
      <c r="Q120" s="7" t="n">
        <v>0.2959183673469388</v>
      </c>
      <c r="R120" s="7" t="n">
        <v>0.7244897959183674</v>
      </c>
      <c r="S120" s="7" t="n">
        <v>0.9139941690962099</v>
      </c>
      <c r="T120" s="7" t="n">
        <v>0.7973760932944607</v>
      </c>
      <c r="U120" s="7" t="n">
        <v>0.2394957983193277</v>
      </c>
      <c r="V120" s="7" t="n">
        <v>0.6820728291316527</v>
      </c>
      <c r="W120" s="7" t="n">
        <v>0.7247557003257329</v>
      </c>
      <c r="X120" s="7" t="n">
        <v>0.6254432504903843</v>
      </c>
      <c r="Y120" s="3">
        <f>IF(X120="","",IF(X120&gt;='Léeme'!$B$6,"barato",IF(X120&lt;'Léeme'!$B$7,"caro","medio")))</f>
        <v/>
      </c>
      <c r="Z120" s="11" t="n">
        <v>-0.04194352922630573</v>
      </c>
      <c r="AA120" s="11" t="n"/>
    </row>
    <row r="121">
      <c r="A121" s="3" t="inlineStr">
        <is>
          <t>2021-T4</t>
        </is>
      </c>
      <c r="B121" s="13" t="n">
        <v>44561</v>
      </c>
      <c r="C121" s="14" t="n">
        <v>48.07</v>
      </c>
      <c r="D121" s="14" t="n">
        <v>2.49</v>
      </c>
      <c r="E121" s="14" t="n">
        <v>2.12</v>
      </c>
      <c r="F121" s="5" t="n">
        <v>0.0152</v>
      </c>
      <c r="G121" s="5" t="n">
        <v>0.06901970403700863</v>
      </c>
      <c r="H121" s="5" t="n">
        <v>0.0337</v>
      </c>
      <c r="I121" s="15">
        <f>IFERROR(C121/D121,"")</f>
        <v/>
      </c>
      <c r="J121" s="9">
        <f>IFERROR(D121/C121,"")</f>
        <v/>
      </c>
      <c r="K121" s="9">
        <f>IFERROR(E121/C121,"")</f>
        <v/>
      </c>
      <c r="L121" s="9">
        <f>IFERROR(F121-G121,"")</f>
        <v/>
      </c>
      <c r="M121" s="9">
        <f>IFERROR(J121-F121,"")</f>
        <v/>
      </c>
      <c r="N121" s="9">
        <f>IFERROR(J121-L121,"")</f>
        <v/>
      </c>
      <c r="O121" s="9">
        <f>IFERROR(J121-H121,"")</f>
        <v/>
      </c>
      <c r="P121" s="9">
        <f>IFERROR(K121-F121,"")</f>
        <v/>
      </c>
      <c r="Q121" s="7" t="n">
        <v>0.1488439306358381</v>
      </c>
      <c r="R121" s="7" t="n">
        <v>0.6199421965317919</v>
      </c>
      <c r="S121" s="7" t="n">
        <v>0.9465317919075145</v>
      </c>
      <c r="T121" s="7" t="n">
        <v>0.7326589595375722</v>
      </c>
      <c r="U121" s="7" t="n">
        <v>0.1375</v>
      </c>
      <c r="V121" s="7" t="n">
        <v>0.5819444444444445</v>
      </c>
      <c r="W121" s="7" t="n">
        <v>0.5048387096774194</v>
      </c>
      <c r="X121" s="7" t="n">
        <v>0.5246085761049402</v>
      </c>
      <c r="Y121" s="3">
        <f>IF(X121="","",IF(X121&gt;='Léeme'!$B$6,"barato",IF(X121&lt;'Léeme'!$B$7,"caro","medio")))</f>
        <v/>
      </c>
      <c r="Z121" s="11" t="n">
        <v>-0.01049702763005578</v>
      </c>
      <c r="AA121" s="11" t="n"/>
    </row>
    <row r="122">
      <c r="A122" s="3" t="inlineStr">
        <is>
          <t>2022-T1</t>
        </is>
      </c>
      <c r="B122" s="13" t="n">
        <v>44651</v>
      </c>
      <c r="C122" s="14" t="n">
        <v>44.939999</v>
      </c>
      <c r="D122" s="14" t="n">
        <v>2.68</v>
      </c>
      <c r="E122" s="14" t="n">
        <v>2.12</v>
      </c>
      <c r="F122" s="5" t="n">
        <v>0.0232</v>
      </c>
      <c r="G122" s="5" t="n">
        <v>0.07937278766517819</v>
      </c>
      <c r="H122" s="5" t="n">
        <v>0.0428</v>
      </c>
      <c r="I122" s="15">
        <f>IFERROR(C122/D122,"")</f>
        <v/>
      </c>
      <c r="J122" s="9">
        <f>IFERROR(D122/C122,"")</f>
        <v/>
      </c>
      <c r="K122" s="9">
        <f>IFERROR(E122/C122,"")</f>
        <v/>
      </c>
      <c r="L122" s="9">
        <f>IFERROR(F122-G122,"")</f>
        <v/>
      </c>
      <c r="M122" s="9">
        <f>IFERROR(J122-F122,"")</f>
        <v/>
      </c>
      <c r="N122" s="9">
        <f>IFERROR(J122-L122,"")</f>
        <v/>
      </c>
      <c r="O122" s="9">
        <f>IFERROR(J122-H122,"")</f>
        <v/>
      </c>
      <c r="P122" s="9">
        <f>IFERROR(K122-F122,"")</f>
        <v/>
      </c>
      <c r="Q122" s="7" t="n">
        <v>0.333810888252149</v>
      </c>
      <c r="R122" s="7" t="n">
        <v>0.6088825214899714</v>
      </c>
      <c r="S122" s="7" t="n">
        <v>0.9699140401146131</v>
      </c>
      <c r="T122" s="7" t="n">
        <v>0.7005730659025788</v>
      </c>
      <c r="U122" s="7" t="n">
        <v>0.2024793388429752</v>
      </c>
      <c r="V122" s="7" t="n">
        <v>0.4311294765840221</v>
      </c>
      <c r="W122" s="7" t="n">
        <v>0.7396166134185304</v>
      </c>
      <c r="X122" s="7" t="n">
        <v>0.5694865635149772</v>
      </c>
      <c r="Y122" s="3">
        <f>IF(X122="","",IF(X122&gt;='Léeme'!$B$6,"barato",IF(X122&lt;'Léeme'!$B$7,"caro","medio")))</f>
        <v/>
      </c>
      <c r="Z122" s="11" t="n">
        <v>0.02079112192706778</v>
      </c>
      <c r="AA122" s="11" t="n"/>
    </row>
    <row r="123">
      <c r="A123" s="3" t="inlineStr">
        <is>
          <t>2022-T2</t>
        </is>
      </c>
      <c r="B123" s="13" t="n">
        <v>44742</v>
      </c>
      <c r="C123" s="14" t="n">
        <v>43</v>
      </c>
      <c r="D123" s="14" t="n">
        <v>2.68</v>
      </c>
      <c r="E123" s="14" t="n">
        <v>2.12</v>
      </c>
      <c r="F123" s="5" t="n">
        <v>0.0298</v>
      </c>
      <c r="G123" s="5" t="n">
        <v>0.08538171195642064</v>
      </c>
      <c r="H123" s="5" t="n">
        <v>0.0534</v>
      </c>
      <c r="I123" s="15">
        <f>IFERROR(C123/D123,"")</f>
        <v/>
      </c>
      <c r="J123" s="9">
        <f>IFERROR(D123/C123,"")</f>
        <v/>
      </c>
      <c r="K123" s="9">
        <f>IFERROR(E123/C123,"")</f>
        <v/>
      </c>
      <c r="L123" s="9">
        <f>IFERROR(F123-G123,"")</f>
        <v/>
      </c>
      <c r="M123" s="9">
        <f>IFERROR(J123-F123,"")</f>
        <v/>
      </c>
      <c r="N123" s="9">
        <f>IFERROR(J123-L123,"")</f>
        <v/>
      </c>
      <c r="O123" s="9">
        <f>IFERROR(J123-H123,"")</f>
        <v/>
      </c>
      <c r="P123" s="9">
        <f>IFERROR(K123-F123,"")</f>
        <v/>
      </c>
      <c r="Q123" s="7" t="n">
        <v>0.3536931818181818</v>
      </c>
      <c r="R123" s="7" t="n">
        <v>0.515625</v>
      </c>
      <c r="S123" s="7" t="n">
        <v>0.9730113636363636</v>
      </c>
      <c r="T123" s="7" t="n">
        <v>0.4815340909090909</v>
      </c>
      <c r="U123" s="7" t="n">
        <v>0.2554644808743169</v>
      </c>
      <c r="V123" s="7" t="n">
        <v>0.2363387978142077</v>
      </c>
      <c r="W123" s="7" t="n">
        <v>0.7895569620253164</v>
      </c>
      <c r="X123" s="7" t="n">
        <v>0.5150319824396395</v>
      </c>
      <c r="Y123" s="3">
        <f>IF(X123="","",IF(X123&gt;='Léeme'!$B$6,"barato",IF(X123&lt;'Léeme'!$B$7,"caro","medio")))</f>
        <v/>
      </c>
      <c r="Z123" s="11" t="n">
        <v>0.03501032135210491</v>
      </c>
      <c r="AA123" s="11" t="n"/>
    </row>
    <row r="124">
      <c r="A124" s="3" t="inlineStr">
        <is>
          <t>2022-T3</t>
        </is>
      </c>
      <c r="B124" s="13" t="n">
        <v>44834</v>
      </c>
      <c r="C124" s="14" t="n">
        <v>39.860001</v>
      </c>
      <c r="D124" s="14" t="n">
        <v>2.68</v>
      </c>
      <c r="E124" s="14" t="n">
        <v>2.2</v>
      </c>
      <c r="F124" s="5" t="n">
        <v>0.0383</v>
      </c>
      <c r="G124" s="5" t="n">
        <v>0.08222579178218825</v>
      </c>
      <c r="H124" s="5" t="n">
        <v>0.0603</v>
      </c>
      <c r="I124" s="15">
        <f>IFERROR(C124/D124,"")</f>
        <v/>
      </c>
      <c r="J124" s="9">
        <f>IFERROR(D124/C124,"")</f>
        <v/>
      </c>
      <c r="K124" s="9">
        <f>IFERROR(E124/C124,"")</f>
        <v/>
      </c>
      <c r="L124" s="9">
        <f>IFERROR(F124-G124,"")</f>
        <v/>
      </c>
      <c r="M124" s="9">
        <f>IFERROR(J124-F124,"")</f>
        <v/>
      </c>
      <c r="N124" s="9">
        <f>IFERROR(J124-L124,"")</f>
        <v/>
      </c>
      <c r="O124" s="9">
        <f>IFERROR(J124-H124,"")</f>
        <v/>
      </c>
      <c r="P124" s="9">
        <f>IFERROR(K124-F124,"")</f>
        <v/>
      </c>
      <c r="Q124" s="7" t="n">
        <v>0.3985915492957747</v>
      </c>
      <c r="R124" s="7" t="n">
        <v>0.3901408450704225</v>
      </c>
      <c r="S124" s="7" t="n">
        <v>0.9422535211267605</v>
      </c>
      <c r="T124" s="7" t="n">
        <v>0.4014084507042254</v>
      </c>
      <c r="U124" s="7" t="n">
        <v>0.3130081300813008</v>
      </c>
      <c r="V124" s="7" t="n">
        <v>0.1666666666666667</v>
      </c>
      <c r="W124" s="7" t="n">
        <v>0.8134796238244514</v>
      </c>
      <c r="X124" s="7" t="n">
        <v>0.4893641123956574</v>
      </c>
      <c r="Y124" s="3">
        <f>IF(X124="","",IF(X124&gt;='Léeme'!$B$6,"barato",IF(X124&lt;'Léeme'!$B$7,"caro","medio")))</f>
        <v/>
      </c>
      <c r="Z124" s="11" t="n">
        <v>-0.07674949703750444</v>
      </c>
      <c r="AA124" s="11" t="n"/>
    </row>
    <row r="125">
      <c r="A125" s="3" t="inlineStr">
        <is>
          <t>2022-T4</t>
        </is>
      </c>
      <c r="B125" s="13" t="n">
        <v>44925</v>
      </c>
      <c r="C125" s="14" t="n">
        <v>45.759998</v>
      </c>
      <c r="D125" s="14" t="n">
        <v>2.68</v>
      </c>
      <c r="E125" s="14" t="n">
        <v>2.2</v>
      </c>
      <c r="F125" s="5" t="n">
        <v>0.0388</v>
      </c>
      <c r="G125" s="5" t="n">
        <v>0.07122856456533988</v>
      </c>
      <c r="H125" s="5" t="n">
        <v>0.0584</v>
      </c>
      <c r="I125" s="15">
        <f>IFERROR(C125/D125,"")</f>
        <v/>
      </c>
      <c r="J125" s="9">
        <f>IFERROR(D125/C125,"")</f>
        <v/>
      </c>
      <c r="K125" s="9">
        <f>IFERROR(E125/C125,"")</f>
        <v/>
      </c>
      <c r="L125" s="9">
        <f>IFERROR(F125-G125,"")</f>
        <v/>
      </c>
      <c r="M125" s="9">
        <f>IFERROR(J125-F125,"")</f>
        <v/>
      </c>
      <c r="N125" s="9">
        <f>IFERROR(J125-L125,"")</f>
        <v/>
      </c>
      <c r="O125" s="9">
        <f>IFERROR(J125-H125,"")</f>
        <v/>
      </c>
      <c r="P125" s="9">
        <f>IFERROR(K125-F125,"")</f>
        <v/>
      </c>
      <c r="Q125" s="7" t="n">
        <v>0.3198324022346369</v>
      </c>
      <c r="R125" s="7" t="n">
        <v>0.06005586592178771</v>
      </c>
      <c r="S125" s="7" t="n">
        <v>0.8533519553072626</v>
      </c>
      <c r="T125" s="7" t="n">
        <v>0.1187150837988827</v>
      </c>
      <c r="U125" s="7" t="n">
        <v>0.2432795698924731</v>
      </c>
      <c r="V125" s="7" t="n">
        <v>0.01478494623655914</v>
      </c>
      <c r="W125" s="7" t="n">
        <v>0.6599378881987578</v>
      </c>
      <c r="X125" s="7" t="n">
        <v>0.3242796730843371</v>
      </c>
      <c r="Y125" s="3">
        <f>IF(X125="","",IF(X125&gt;='Léeme'!$B$6,"barato",IF(X125&lt;'Léeme'!$B$7,"caro","medio")))</f>
        <v/>
      </c>
      <c r="Z125" s="11" t="n">
        <v>-0.01700427960435291</v>
      </c>
      <c r="AA125" s="11" t="n"/>
    </row>
    <row r="126">
      <c r="A126" s="3" t="inlineStr">
        <is>
          <t>2023-T1</t>
        </is>
      </c>
      <c r="B126" s="13" t="n">
        <v>45016</v>
      </c>
      <c r="C126" s="14" t="n">
        <v>44.150002</v>
      </c>
      <c r="D126" s="14" t="n">
        <v>3.1</v>
      </c>
      <c r="E126" s="14" t="n">
        <v>2.2</v>
      </c>
      <c r="F126" s="5" t="n">
        <v>0.0348</v>
      </c>
      <c r="G126" s="5" t="n">
        <v>0.05957820738137087</v>
      </c>
      <c r="H126" s="5" t="n">
        <v>0.0566</v>
      </c>
      <c r="I126" s="15">
        <f>IFERROR(C126/D126,"")</f>
        <v/>
      </c>
      <c r="J126" s="9">
        <f>IFERROR(D126/C126,"")</f>
        <v/>
      </c>
      <c r="K126" s="9">
        <f>IFERROR(E126/C126,"")</f>
        <v/>
      </c>
      <c r="L126" s="9">
        <f>IFERROR(F126-G126,"")</f>
        <v/>
      </c>
      <c r="M126" s="9">
        <f>IFERROR(J126-F126,"")</f>
        <v/>
      </c>
      <c r="N126" s="9">
        <f>IFERROR(J126-L126,"")</f>
        <v/>
      </c>
      <c r="O126" s="9">
        <f>IFERROR(J126-H126,"")</f>
        <v/>
      </c>
      <c r="P126" s="9">
        <f>IFERROR(K126-F126,"")</f>
        <v/>
      </c>
      <c r="Q126" s="7" t="n">
        <v>0.4473684210526316</v>
      </c>
      <c r="R126" s="7" t="n">
        <v>0.5969529085872576</v>
      </c>
      <c r="S126" s="7" t="n">
        <v>0.8850415512465374</v>
      </c>
      <c r="T126" s="7" t="n">
        <v>0.6412742382271468</v>
      </c>
      <c r="U126" s="7" t="n">
        <v>0.2733333333333333</v>
      </c>
      <c r="V126" s="7" t="n">
        <v>0.1426666666666667</v>
      </c>
      <c r="W126" s="7" t="n">
        <v>0.8353846153846154</v>
      </c>
      <c r="X126" s="7" t="n">
        <v>0.5460031049283127</v>
      </c>
      <c r="Y126" s="3">
        <f>IF(X126="","",IF(X126&gt;='Léeme'!$B$6,"barato",IF(X126&lt;'Léeme'!$B$7,"caro","medio")))</f>
        <v/>
      </c>
      <c r="Z126" s="11" t="n">
        <v>0.01209140148612531</v>
      </c>
      <c r="AA126" s="11" t="n"/>
    </row>
    <row r="127">
      <c r="A127" s="3" t="inlineStr">
        <is>
          <t>2023-T2</t>
        </is>
      </c>
      <c r="B127" s="13" t="n">
        <v>45107</v>
      </c>
      <c r="C127" s="14" t="n">
        <v>42.790001</v>
      </c>
      <c r="D127" s="14" t="n">
        <v>3.1</v>
      </c>
      <c r="E127" s="14" t="n">
        <v>2.2</v>
      </c>
      <c r="F127" s="5" t="n">
        <v>0.0381</v>
      </c>
      <c r="G127" s="5" t="n">
        <v>0.04131851231385042</v>
      </c>
      <c r="H127" s="5" t="n">
        <v>0.05769999999999999</v>
      </c>
      <c r="I127" s="15">
        <f>IFERROR(C127/D127,"")</f>
        <v/>
      </c>
      <c r="J127" s="9">
        <f>IFERROR(D127/C127,"")</f>
        <v/>
      </c>
      <c r="K127" s="9">
        <f>IFERROR(E127/C127,"")</f>
        <v/>
      </c>
      <c r="L127" s="9">
        <f>IFERROR(F127-G127,"")</f>
        <v/>
      </c>
      <c r="M127" s="9">
        <f>IFERROR(J127-F127,"")</f>
        <v/>
      </c>
      <c r="N127" s="9">
        <f>IFERROR(J127-L127,"")</f>
        <v/>
      </c>
      <c r="O127" s="9">
        <f>IFERROR(J127-H127,"")</f>
        <v/>
      </c>
      <c r="P127" s="9">
        <f>IFERROR(K127-F127,"")</f>
        <v/>
      </c>
      <c r="Q127" s="7" t="n">
        <v>0.4821428571428572</v>
      </c>
      <c r="R127" s="7" t="n">
        <v>0.5618131868131868</v>
      </c>
      <c r="S127" s="7" t="n">
        <v>0.7486263736263736</v>
      </c>
      <c r="T127" s="7" t="n">
        <v>0.6662087912087912</v>
      </c>
      <c r="U127" s="7" t="n">
        <v>0.3002645502645503</v>
      </c>
      <c r="V127" s="7" t="n">
        <v>0.1097883597883598</v>
      </c>
      <c r="W127" s="7" t="n">
        <v>0.8521341463414634</v>
      </c>
      <c r="X127" s="7" t="n">
        <v>0.5315683235979404</v>
      </c>
      <c r="Y127" s="3">
        <f>IF(X127="","",IF(X127&gt;='Léeme'!$B$6,"barato",IF(X127&lt;'Léeme'!$B$7,"caro","medio")))</f>
        <v/>
      </c>
      <c r="Z127" s="11" t="n">
        <v>0.04172506971482814</v>
      </c>
      <c r="AA127" s="11" t="n"/>
    </row>
    <row r="128">
      <c r="A128" s="3" t="inlineStr">
        <is>
          <t>2023-T3</t>
        </is>
      </c>
      <c r="B128" s="13" t="n">
        <v>45198</v>
      </c>
      <c r="C128" s="14" t="n">
        <v>35.34</v>
      </c>
      <c r="D128" s="14" t="n">
        <v>3.1</v>
      </c>
      <c r="E128" s="14" t="n">
        <v>2.26</v>
      </c>
      <c r="F128" s="5" t="n">
        <v>0.0459</v>
      </c>
      <c r="G128" s="5" t="n">
        <v>0.03722504803505289</v>
      </c>
      <c r="H128" s="5" t="n">
        <v>0.0639</v>
      </c>
      <c r="I128" s="15">
        <f>IFERROR(C128/D128,"")</f>
        <v/>
      </c>
      <c r="J128" s="9">
        <f>IFERROR(D128/C128,"")</f>
        <v/>
      </c>
      <c r="K128" s="9">
        <f>IFERROR(E128/C128,"")</f>
        <v/>
      </c>
      <c r="L128" s="9">
        <f>IFERROR(F128-G128,"")</f>
        <v/>
      </c>
      <c r="M128" s="9">
        <f>IFERROR(J128-F128,"")</f>
        <v/>
      </c>
      <c r="N128" s="9">
        <f>IFERROR(J128-L128,"")</f>
        <v/>
      </c>
      <c r="O128" s="9">
        <f>IFERROR(J128-H128,"")</f>
        <v/>
      </c>
      <c r="P128" s="9">
        <f>IFERROR(K128-F128,"")</f>
        <v/>
      </c>
      <c r="Q128" s="7" t="n">
        <v>0.726158038147139</v>
      </c>
      <c r="R128" s="7" t="n">
        <v>0.7207084468664851</v>
      </c>
      <c r="S128" s="7" t="n">
        <v>0.7779291553133515</v>
      </c>
      <c r="T128" s="7" t="n">
        <v>0.8051771117166212</v>
      </c>
      <c r="U128" s="7" t="n">
        <v>0.4763779527559055</v>
      </c>
      <c r="V128" s="7" t="n">
        <v>0.2165354330708661</v>
      </c>
      <c r="W128" s="7" t="n">
        <v>0.9350453172205438</v>
      </c>
      <c r="X128" s="7" t="n">
        <v>0.6654187792987017</v>
      </c>
      <c r="Y128" s="3">
        <f>IF(X128="","",IF(X128&gt;='Léeme'!$B$6,"barato",IF(X128&lt;'Léeme'!$B$7,"caro","medio")))</f>
        <v/>
      </c>
      <c r="Z128" s="11" t="n">
        <v>0.4253492220484674</v>
      </c>
      <c r="AA128" s="11" t="n"/>
    </row>
    <row r="129">
      <c r="A129" s="3" t="inlineStr">
        <is>
          <t>2023-T4</t>
        </is>
      </c>
      <c r="B129" s="13" t="n">
        <v>45289</v>
      </c>
      <c r="C129" s="14" t="n">
        <v>43.099998</v>
      </c>
      <c r="D129" s="14" t="n">
        <v>3.1</v>
      </c>
      <c r="E129" s="14" t="n">
        <v>2.26</v>
      </c>
      <c r="F129" s="5" t="n">
        <v>0.0388</v>
      </c>
      <c r="G129" s="5" t="n">
        <v>0.03133346274591187</v>
      </c>
      <c r="H129" s="5" t="n">
        <v>0.0546</v>
      </c>
      <c r="I129" s="15">
        <f>IFERROR(C129/D129,"")</f>
        <v/>
      </c>
      <c r="J129" s="9">
        <f>IFERROR(D129/C129,"")</f>
        <v/>
      </c>
      <c r="K129" s="9">
        <f>IFERROR(E129/C129,"")</f>
        <v/>
      </c>
      <c r="L129" s="9">
        <f>IFERROR(F129-G129,"")</f>
        <v/>
      </c>
      <c r="M129" s="9">
        <f>IFERROR(J129-F129,"")</f>
        <v/>
      </c>
      <c r="N129" s="9">
        <f>IFERROR(J129-L129,"")</f>
        <v/>
      </c>
      <c r="O129" s="9">
        <f>IFERROR(J129-H129,"")</f>
        <v/>
      </c>
      <c r="P129" s="9">
        <f>IFERROR(K129-F129,"")</f>
        <v/>
      </c>
      <c r="Q129" s="7" t="n">
        <v>0.4716216216216216</v>
      </c>
      <c r="R129" s="7" t="n">
        <v>0.5283783783783784</v>
      </c>
      <c r="S129" s="7" t="n">
        <v>0.6283783783783784</v>
      </c>
      <c r="T129" s="7" t="n">
        <v>0.7148648648648649</v>
      </c>
      <c r="U129" s="7" t="n">
        <v>0.30859375</v>
      </c>
      <c r="V129" s="7" t="n">
        <v>0.1236979166666667</v>
      </c>
      <c r="W129" s="7" t="n">
        <v>0.812874251497006</v>
      </c>
      <c r="X129" s="7" t="n">
        <v>0.512629880200988</v>
      </c>
      <c r="Y129" s="3">
        <f>IF(X129="","",IF(X129&gt;='Léeme'!$B$6,"barato",IF(X129&lt;'Léeme'!$B$7,"caro","medio")))</f>
        <v/>
      </c>
      <c r="Z129" s="11" t="n">
        <v>-0.01874781179769702</v>
      </c>
      <c r="AA129" s="11" t="n"/>
    </row>
    <row r="130">
      <c r="A130" s="3" t="inlineStr">
        <is>
          <t>2024-T1</t>
        </is>
      </c>
      <c r="B130" s="13" t="n">
        <v>45379</v>
      </c>
      <c r="C130" s="14" t="n">
        <v>42.740002</v>
      </c>
      <c r="D130" s="14" t="n">
        <v>3.24</v>
      </c>
      <c r="E130" s="14" t="n">
        <v>2.26</v>
      </c>
      <c r="F130" s="5" t="n">
        <v>0.042</v>
      </c>
      <c r="G130" s="5" t="n">
        <v>0.03157074141648697</v>
      </c>
      <c r="H130" s="5" t="n">
        <v>0.0574</v>
      </c>
      <c r="I130" s="15">
        <f>IFERROR(C130/D130,"")</f>
        <v/>
      </c>
      <c r="J130" s="9">
        <f>IFERROR(D130/C130,"")</f>
        <v/>
      </c>
      <c r="K130" s="9">
        <f>IFERROR(E130/C130,"")</f>
        <v/>
      </c>
      <c r="L130" s="9">
        <f>IFERROR(F130-G130,"")</f>
        <v/>
      </c>
      <c r="M130" s="9">
        <f>IFERROR(J130-F130,"")</f>
        <v/>
      </c>
      <c r="N130" s="9">
        <f>IFERROR(J130-L130,"")</f>
        <v/>
      </c>
      <c r="O130" s="9">
        <f>IFERROR(J130-H130,"")</f>
        <v/>
      </c>
      <c r="P130" s="9">
        <f>IFERROR(K130-F130,"")</f>
        <v/>
      </c>
      <c r="Q130" s="7" t="n">
        <v>0.5214477211796247</v>
      </c>
      <c r="R130" s="7" t="n">
        <v>0.5402144772117963</v>
      </c>
      <c r="S130" s="7" t="n">
        <v>0.6394101876675603</v>
      </c>
      <c r="T130" s="7" t="n">
        <v>0.7359249329758714</v>
      </c>
      <c r="U130" s="7" t="n">
        <v>0.3087855297157623</v>
      </c>
      <c r="V130" s="7" t="n">
        <v>0.03746770025839793</v>
      </c>
      <c r="W130" s="7" t="n">
        <v>0.8175074183976261</v>
      </c>
      <c r="X130" s="7" t="n">
        <v>0.5143939953438056</v>
      </c>
      <c r="Y130" s="3">
        <f>IF(X130="","",IF(X130&gt;='Léeme'!$B$6,"barato",IF(X130&lt;'Léeme'!$B$7,"caro","medio")))</f>
        <v/>
      </c>
      <c r="Z130" s="11" t="n">
        <v>0.02876023102986069</v>
      </c>
      <c r="AA130" s="11" t="n"/>
    </row>
    <row r="131">
      <c r="A131" s="3" t="inlineStr">
        <is>
          <t>2024-T2</t>
        </is>
      </c>
      <c r="B131" s="13" t="n">
        <v>45471</v>
      </c>
      <c r="C131" s="14" t="n">
        <v>42.599998</v>
      </c>
      <c r="D131" s="14" t="n">
        <v>3.24</v>
      </c>
      <c r="E131" s="14" t="n">
        <v>2.26</v>
      </c>
      <c r="F131" s="5" t="n">
        <v>0.0436</v>
      </c>
      <c r="G131" s="5" t="n">
        <v>0.03244278584003113</v>
      </c>
      <c r="H131" s="5" t="n">
        <v>0.0584</v>
      </c>
      <c r="I131" s="15">
        <f>IFERROR(C131/D131,"")</f>
        <v/>
      </c>
      <c r="J131" s="9">
        <f>IFERROR(D131/C131,"")</f>
        <v/>
      </c>
      <c r="K131" s="9">
        <f>IFERROR(E131/C131,"")</f>
        <v/>
      </c>
      <c r="L131" s="9">
        <f>IFERROR(F131-G131,"")</f>
        <v/>
      </c>
      <c r="M131" s="9">
        <f>IFERROR(J131-F131,"")</f>
        <v/>
      </c>
      <c r="N131" s="9">
        <f>IFERROR(J131-L131,"")</f>
        <v/>
      </c>
      <c r="O131" s="9">
        <f>IFERROR(J131-H131,"")</f>
        <v/>
      </c>
      <c r="P131" s="9">
        <f>IFERROR(K131-F131,"")</f>
        <v/>
      </c>
      <c r="Q131" s="7" t="n">
        <v>0.5226063829787234</v>
      </c>
      <c r="R131" s="7" t="n">
        <v>0.4986702127659575</v>
      </c>
      <c r="S131" s="7" t="n">
        <v>0.6289893617021277</v>
      </c>
      <c r="T131" s="7" t="n">
        <v>0.7194148936170213</v>
      </c>
      <c r="U131" s="7" t="n">
        <v>0.3141025641025641</v>
      </c>
      <c r="V131" s="7" t="n">
        <v>0.02435897435897436</v>
      </c>
      <c r="W131" s="7" t="n">
        <v>0.7779411764705882</v>
      </c>
      <c r="X131" s="7" t="n">
        <v>0.4980119379994223</v>
      </c>
      <c r="Y131" s="3">
        <f>IF(X131="","",IF(X131&gt;='Léeme'!$B$6,"barato",IF(X131&lt;'Léeme'!$B$7,"caro","medio")))</f>
        <v/>
      </c>
      <c r="Z131" s="11" t="n">
        <v>0.05168515170044286</v>
      </c>
      <c r="AA131" s="11" t="n"/>
    </row>
    <row r="132">
      <c r="A132" s="3" t="inlineStr">
        <is>
          <t>2024-T3</t>
        </is>
      </c>
      <c r="B132" s="13" t="n">
        <v>45565</v>
      </c>
      <c r="C132" s="14" t="n">
        <v>48.490002</v>
      </c>
      <c r="D132" s="14" t="n">
        <v>3.24</v>
      </c>
      <c r="E132" s="14" t="n">
        <v>2.32</v>
      </c>
      <c r="F132" s="5" t="n">
        <v>0.0381</v>
      </c>
      <c r="G132" s="5" t="n">
        <v>0.02607144490692037</v>
      </c>
      <c r="H132" s="5" t="n">
        <v>0.0541</v>
      </c>
      <c r="I132" s="15">
        <f>IFERROR(C132/D132,"")</f>
        <v/>
      </c>
      <c r="J132" s="9">
        <f>IFERROR(D132/C132,"")</f>
        <v/>
      </c>
      <c r="K132" s="9">
        <f>IFERROR(E132/C132,"")</f>
        <v/>
      </c>
      <c r="L132" s="9">
        <f>IFERROR(F132-G132,"")</f>
        <v/>
      </c>
      <c r="M132" s="9">
        <f>IFERROR(J132-F132,"")</f>
        <v/>
      </c>
      <c r="N132" s="9">
        <f>IFERROR(J132-L132,"")</f>
        <v/>
      </c>
      <c r="O132" s="9">
        <f>IFERROR(J132-H132,"")</f>
        <v/>
      </c>
      <c r="P132" s="9">
        <f>IFERROR(K132-F132,"")</f>
        <v/>
      </c>
      <c r="Q132" s="7" t="n">
        <v>0.3839050131926121</v>
      </c>
      <c r="R132" s="7" t="n">
        <v>0.3627968337730871</v>
      </c>
      <c r="S132" s="7" t="n">
        <v>0.4234828496042216</v>
      </c>
      <c r="T132" s="7" t="n">
        <v>0.5870712401055409</v>
      </c>
      <c r="U132" s="7" t="n">
        <v>0.2201017811704835</v>
      </c>
      <c r="V132" s="7" t="n">
        <v>0.03180661577608142</v>
      </c>
      <c r="W132" s="7" t="n">
        <v>0.5379008746355685</v>
      </c>
      <c r="X132" s="7" t="n">
        <v>0.3638664583225136</v>
      </c>
      <c r="Y132" s="3">
        <f>IF(X132="","",IF(X132&gt;='Léeme'!$B$6,"barato",IF(X132&lt;'Léeme'!$B$7,"caro","medio")))</f>
        <v/>
      </c>
      <c r="Z132" s="11" t="n">
        <v>-0.08156333417446182</v>
      </c>
      <c r="AA132" s="11" t="n"/>
    </row>
    <row r="133">
      <c r="A133" s="3" t="inlineStr">
        <is>
          <t>2024-T4</t>
        </is>
      </c>
      <c r="B133" s="13" t="n">
        <v>45657</v>
      </c>
      <c r="C133" s="14" t="n">
        <v>40.849998</v>
      </c>
      <c r="D133" s="14" t="n">
        <v>3.24</v>
      </c>
      <c r="E133" s="14" t="n">
        <v>2.32</v>
      </c>
      <c r="F133" s="5" t="n">
        <v>0.0458</v>
      </c>
      <c r="G133" s="5" t="n">
        <v>0.02719472461284833</v>
      </c>
      <c r="H133" s="5" t="n">
        <v>0.05980000000000001</v>
      </c>
      <c r="I133" s="15">
        <f>IFERROR(C133/D133,"")</f>
        <v/>
      </c>
      <c r="J133" s="9">
        <f>IFERROR(D133/C133,"")</f>
        <v/>
      </c>
      <c r="K133" s="9">
        <f>IFERROR(E133/C133,"")</f>
        <v/>
      </c>
      <c r="L133" s="9">
        <f>IFERROR(F133-G133,"")</f>
        <v/>
      </c>
      <c r="M133" s="9">
        <f>IFERROR(J133-F133,"")</f>
        <v/>
      </c>
      <c r="N133" s="9">
        <f>IFERROR(J133-L133,"")</f>
        <v/>
      </c>
      <c r="O133" s="9">
        <f>IFERROR(J133-H133,"")</f>
        <v/>
      </c>
      <c r="P133" s="9">
        <f>IFERROR(K133-F133,"")</f>
        <v/>
      </c>
      <c r="Q133" s="7" t="n">
        <v>0.587696335078534</v>
      </c>
      <c r="R133" s="7" t="n">
        <v>0.5431937172774869</v>
      </c>
      <c r="S133" s="7" t="n">
        <v>0.5589005235602095</v>
      </c>
      <c r="T133" s="7" t="n">
        <v>0.7761780104712042</v>
      </c>
      <c r="U133" s="7" t="n">
        <v>0.3825757575757576</v>
      </c>
      <c r="V133" s="7" t="n">
        <v>0.06186868686868687</v>
      </c>
      <c r="W133" s="7" t="n">
        <v>0.7557803468208093</v>
      </c>
      <c r="X133" s="7" t="n">
        <v>0.5237419110932411</v>
      </c>
      <c r="Y133" s="3">
        <f>IF(X133="","",IF(X133&gt;='Léeme'!$B$6,"barato",IF(X133&lt;'Léeme'!$B$7,"caro","medio")))</f>
        <v/>
      </c>
      <c r="Z133" s="11" t="n">
        <v>0.01610244325758248</v>
      </c>
      <c r="AA133" s="11" t="n"/>
    </row>
    <row r="134">
      <c r="A134" s="3" t="inlineStr">
        <is>
          <t>2025-T1</t>
        </is>
      </c>
      <c r="B134" s="13" t="n">
        <v>45747</v>
      </c>
      <c r="C134" s="14" t="n">
        <v>42.650002</v>
      </c>
      <c r="D134" s="14" t="n">
        <v>3.32</v>
      </c>
      <c r="E134" s="14" t="n">
        <v>2.32</v>
      </c>
      <c r="F134" s="5" t="n">
        <v>0.0423</v>
      </c>
      <c r="G134" s="5" t="n">
        <v>0.02801583447761335</v>
      </c>
      <c r="H134" s="5" t="n">
        <v>0.06</v>
      </c>
      <c r="I134" s="15">
        <f>IFERROR(C134/D134,"")</f>
        <v/>
      </c>
      <c r="J134" s="9">
        <f>IFERROR(D134/C134,"")</f>
        <v/>
      </c>
      <c r="K134" s="9">
        <f>IFERROR(E134/C134,"")</f>
        <v/>
      </c>
      <c r="L134" s="9">
        <f>IFERROR(F134-G134,"")</f>
        <v/>
      </c>
      <c r="M134" s="9">
        <f>IFERROR(J134-F134,"")</f>
        <v/>
      </c>
      <c r="N134" s="9">
        <f>IFERROR(J134-L134,"")</f>
        <v/>
      </c>
      <c r="O134" s="9">
        <f>IFERROR(J134-H134,"")</f>
        <v/>
      </c>
      <c r="P134" s="9">
        <f>IFERROR(K134-F134,"")</f>
        <v/>
      </c>
      <c r="Q134" s="7" t="n">
        <v>0.564935064935065</v>
      </c>
      <c r="R134" s="7" t="n">
        <v>0.6064935064935065</v>
      </c>
      <c r="S134" s="7" t="n">
        <v>0.5909090909090909</v>
      </c>
      <c r="T134" s="7" t="n">
        <v>0.7207792207792207</v>
      </c>
      <c r="U134" s="7" t="n">
        <v>0.3320802005012531</v>
      </c>
      <c r="V134" s="7" t="n">
        <v>0.1040100250626566</v>
      </c>
      <c r="W134" s="7" t="n">
        <v>0.6977077363896849</v>
      </c>
      <c r="X134" s="7" t="n">
        <v>0.516702120724354</v>
      </c>
      <c r="Y134" s="3">
        <f>IF(X134="","",IF(X134&gt;='Léeme'!$B$6,"barato",IF(X134&lt;'Léeme'!$B$7,"caro","medio")))</f>
        <v/>
      </c>
      <c r="Z134" s="11" t="n">
        <v>0.03189122357589036</v>
      </c>
      <c r="AA134" s="11" t="n"/>
    </row>
    <row r="135">
      <c r="A135" s="3" t="inlineStr">
        <is>
          <t>2025-T2</t>
        </is>
      </c>
      <c r="B135" s="13" t="n">
        <v>45838</v>
      </c>
      <c r="C135" s="14" t="n">
        <v>43.18</v>
      </c>
      <c r="D135" s="14" t="n">
        <v>3.32</v>
      </c>
      <c r="E135" s="14" t="n">
        <v>2.32</v>
      </c>
      <c r="F135" s="5" t="n">
        <v>0.0424</v>
      </c>
      <c r="G135" s="5" t="n">
        <v>0.02377265107368087</v>
      </c>
      <c r="H135" s="5" t="n">
        <v>0.0608</v>
      </c>
      <c r="I135" s="15">
        <f>IFERROR(C135/D135,"")</f>
        <v/>
      </c>
      <c r="J135" s="9">
        <f>IFERROR(D135/C135,"")</f>
        <v/>
      </c>
      <c r="K135" s="9">
        <f>IFERROR(E135/C135,"")</f>
        <v/>
      </c>
      <c r="L135" s="9">
        <f>IFERROR(F135-G135,"")</f>
        <v/>
      </c>
      <c r="M135" s="9">
        <f>IFERROR(J135-F135,"")</f>
        <v/>
      </c>
      <c r="N135" s="9">
        <f>IFERROR(J135-L135,"")</f>
        <v/>
      </c>
      <c r="O135" s="9">
        <f>IFERROR(J135-H135,"")</f>
        <v/>
      </c>
      <c r="P135" s="9">
        <f>IFERROR(K135-F135,"")</f>
        <v/>
      </c>
      <c r="Q135" s="7" t="n">
        <v>0.5476804123711341</v>
      </c>
      <c r="R135" s="7" t="n">
        <v>0.5631443298969072</v>
      </c>
      <c r="S135" s="7" t="n">
        <v>0.5167525773195877</v>
      </c>
      <c r="T135" s="7" t="n">
        <v>0.6765463917525774</v>
      </c>
      <c r="U135" s="7" t="n">
        <v>0.3271144278606965</v>
      </c>
      <c r="V135" s="7" t="n">
        <v>0.08333333333333333</v>
      </c>
      <c r="W135" s="7" t="n">
        <v>0.671875</v>
      </c>
      <c r="X135" s="7" t="n">
        <v>0.4837780675048909</v>
      </c>
      <c r="Y135" s="3">
        <f>IF(X135="","",IF(X135&gt;='Léeme'!$B$6,"barato",IF(X135&lt;'Léeme'!$B$7,"caro","medio")))</f>
        <v/>
      </c>
      <c r="Z135" s="11" t="n">
        <v>0.1279873831564304</v>
      </c>
      <c r="AA135" s="11" t="n"/>
    </row>
    <row r="136">
      <c r="A136" s="3" t="inlineStr">
        <is>
          <t>2025-T3</t>
        </is>
      </c>
      <c r="B136" s="13" t="n">
        <v>45930</v>
      </c>
      <c r="C136" s="14" t="n">
        <v>42.57</v>
      </c>
      <c r="D136" s="14" t="n">
        <v>3.32</v>
      </c>
      <c r="E136" s="14" t="n">
        <v>2.4</v>
      </c>
      <c r="F136" s="5" t="n">
        <v>0.0416</v>
      </c>
      <c r="G136" s="5" t="n">
        <v>0.02938591743031616</v>
      </c>
      <c r="H136" s="5" t="n">
        <v>0.0579</v>
      </c>
      <c r="I136" s="15">
        <f>IFERROR(C136/D136,"")</f>
        <v/>
      </c>
      <c r="J136" s="9">
        <f>IFERROR(D136/C136,"")</f>
        <v/>
      </c>
      <c r="K136" s="9">
        <f>IFERROR(E136/C136,"")</f>
        <v/>
      </c>
      <c r="L136" s="9">
        <f>IFERROR(F136-G136,"")</f>
        <v/>
      </c>
      <c r="M136" s="9">
        <f>IFERROR(J136-F136,"")</f>
        <v/>
      </c>
      <c r="N136" s="9">
        <f>IFERROR(J136-L136,"")</f>
        <v/>
      </c>
      <c r="O136" s="9">
        <f>IFERROR(J136-H136,"")</f>
        <v/>
      </c>
      <c r="P136" s="9">
        <f>IFERROR(K136-F136,"")</f>
        <v/>
      </c>
      <c r="Q136" s="7" t="n">
        <v>0.5690537084398977</v>
      </c>
      <c r="R136" s="7" t="n">
        <v>0.6227621483375959</v>
      </c>
      <c r="S136" s="7" t="n">
        <v>0.6508951406649617</v>
      </c>
      <c r="T136" s="7" t="n">
        <v>0.7762148337595908</v>
      </c>
      <c r="U136" s="7" t="n">
        <v>0.3740740740740741</v>
      </c>
      <c r="V136" s="7" t="n">
        <v>0.1864197530864198</v>
      </c>
      <c r="W136" s="7" t="n">
        <v>0.6943661971830986</v>
      </c>
      <c r="X136" s="7" t="n">
        <v>0.5533979793636626</v>
      </c>
      <c r="Y136" s="3">
        <f>IF(X136="","",IF(X136&gt;='Léeme'!$B$6,"barato",IF(X136&lt;'Léeme'!$B$7,"caro","medio")))</f>
        <v/>
      </c>
      <c r="Z136" s="11" t="n"/>
      <c r="AA136" s="11" t="n"/>
    </row>
    <row r="137">
      <c r="A137" s="3" t="inlineStr">
        <is>
          <t>2025-T4</t>
        </is>
      </c>
      <c r="B137" s="13" t="n">
        <v>46022</v>
      </c>
      <c r="C137" s="14" t="n">
        <v>39.630001</v>
      </c>
      <c r="D137" s="14" t="n">
        <v>3.32</v>
      </c>
      <c r="E137" s="14" t="n">
        <v>2.4</v>
      </c>
      <c r="F137" s="5" t="n">
        <v>0.0418</v>
      </c>
      <c r="G137" s="5" t="n">
        <v>0.02696443916493951</v>
      </c>
      <c r="H137" s="5" t="n">
        <v>0.05889999999999999</v>
      </c>
      <c r="I137" s="15">
        <f>IFERROR(C137/D137,"")</f>
        <v/>
      </c>
      <c r="J137" s="9">
        <f>IFERROR(D137/C137,"")</f>
        <v/>
      </c>
      <c r="K137" s="9">
        <f>IFERROR(E137/C137,"")</f>
        <v/>
      </c>
      <c r="L137" s="9">
        <f>IFERROR(F137-G137,"")</f>
        <v/>
      </c>
      <c r="M137" s="9">
        <f>IFERROR(J137-F137,"")</f>
        <v/>
      </c>
      <c r="N137" s="9">
        <f>IFERROR(J137-L137,"")</f>
        <v/>
      </c>
      <c r="O137" s="9">
        <f>IFERROR(J137-H137,"")</f>
        <v/>
      </c>
      <c r="P137" s="9">
        <f>IFERROR(K137-F137,"")</f>
        <v/>
      </c>
      <c r="Q137" s="7" t="n">
        <v>0.6611675126903553</v>
      </c>
      <c r="R137" s="7" t="n">
        <v>0.7423857868020305</v>
      </c>
      <c r="S137" s="7" t="n">
        <v>0.699238578680203</v>
      </c>
      <c r="T137" s="7" t="n">
        <v>0.8236040609137056</v>
      </c>
      <c r="U137" s="7" t="n">
        <v>0.4669117647058824</v>
      </c>
      <c r="V137" s="7" t="n">
        <v>0.2904411764705883</v>
      </c>
      <c r="W137" s="7" t="n">
        <v>0.7723463687150838</v>
      </c>
      <c r="X137" s="7" t="n">
        <v>0.6365850355682641</v>
      </c>
      <c r="Y137" s="3">
        <f>IF(X137="","",IF(X137&gt;='Léeme'!$B$6,"barato",IF(X137&lt;'Léeme'!$B$7,"caro","medio")))</f>
        <v/>
      </c>
      <c r="Z137" s="11" t="n"/>
      <c r="AA137" s="11" t="n"/>
    </row>
    <row r="138">
      <c r="A138" s="3" t="inlineStr">
        <is>
          <t>2026-T1</t>
        </is>
      </c>
      <c r="B138" s="13" t="n">
        <v>46112</v>
      </c>
      <c r="C138" s="14" t="n">
        <v>42.029999</v>
      </c>
      <c r="D138" s="14" t="n">
        <v>3.4</v>
      </c>
      <c r="E138" s="14" t="n">
        <v>2.4</v>
      </c>
      <c r="F138" s="5" t="n">
        <v>0.043</v>
      </c>
      <c r="G138" s="5" t="n">
        <v>0.02434004110373222</v>
      </c>
      <c r="H138" s="5" t="n">
        <v>0.0614</v>
      </c>
      <c r="I138" s="15">
        <f>IFERROR(C138/D138,"")</f>
        <v/>
      </c>
      <c r="J138" s="9">
        <f>IFERROR(D138/C138,"")</f>
        <v/>
      </c>
      <c r="K138" s="9">
        <f>IFERROR(E138/C138,"")</f>
        <v/>
      </c>
      <c r="L138" s="9">
        <f>IFERROR(F138-G138,"")</f>
        <v/>
      </c>
      <c r="M138" s="9">
        <f>IFERROR(J138-F138,"")</f>
        <v/>
      </c>
      <c r="N138" s="9">
        <f>IFERROR(J138-L138,"")</f>
        <v/>
      </c>
      <c r="O138" s="9">
        <f>IFERROR(J138-H138,"")</f>
        <v/>
      </c>
      <c r="P138" s="9">
        <f>IFERROR(K138-F138,"")</f>
        <v/>
      </c>
      <c r="Q138" s="7" t="n">
        <v>0.6183879093198993</v>
      </c>
      <c r="R138" s="7" t="n">
        <v>0.6662468513853904</v>
      </c>
      <c r="S138" s="7" t="n">
        <v>0.570528967254408</v>
      </c>
      <c r="T138" s="7" t="n">
        <v>0.756926952141058</v>
      </c>
      <c r="U138" s="7" t="n">
        <v>0.3929440389294404</v>
      </c>
      <c r="V138" s="7" t="n">
        <v>0.1666666666666667</v>
      </c>
      <c r="W138" s="7" t="n">
        <v>0.7188365650969529</v>
      </c>
      <c r="X138" s="7" t="n">
        <v>0.5557911358276879</v>
      </c>
      <c r="Y138" s="3">
        <f>IF(X138="","",IF(X138&gt;='Léeme'!$B$6,"barato",IF(X138&lt;'Léeme'!$B$7,"caro","medio")))</f>
        <v/>
      </c>
      <c r="Z138" s="11" t="n"/>
      <c r="AA138" s="11" t="n"/>
    </row>
    <row r="139">
      <c r="A139" s="3" t="inlineStr">
        <is>
          <t>2026-T2</t>
        </is>
      </c>
      <c r="B139" s="13" t="n">
        <v>46203</v>
      </c>
      <c r="C139" s="14" t="n">
        <v>46.529999</v>
      </c>
      <c r="D139" s="14" t="n">
        <v>3.4</v>
      </c>
      <c r="E139" s="14" t="n">
        <v>2.4</v>
      </c>
      <c r="F139" s="5" t="n">
        <v>0.0444</v>
      </c>
      <c r="G139" s="5" t="n">
        <v>0.04166614684049641</v>
      </c>
      <c r="H139" s="5" t="n">
        <v>0.0593</v>
      </c>
      <c r="I139" s="15">
        <f>IFERROR(C139/D139,"")</f>
        <v/>
      </c>
      <c r="J139" s="9">
        <f>IFERROR(D139/C139,"")</f>
        <v/>
      </c>
      <c r="K139" s="9">
        <f>IFERROR(E139/C139,"")</f>
        <v/>
      </c>
      <c r="L139" s="9">
        <f>IFERROR(F139-G139,"")</f>
        <v/>
      </c>
      <c r="M139" s="9">
        <f>IFERROR(J139-F139,"")</f>
        <v/>
      </c>
      <c r="N139" s="9">
        <f>IFERROR(J139-L139,"")</f>
        <v/>
      </c>
      <c r="O139" s="9">
        <f>IFERROR(J139-H139,"")</f>
        <v/>
      </c>
      <c r="P139" s="9">
        <f>IFERROR(K139-F139,"")</f>
        <v/>
      </c>
      <c r="Q139" s="7" t="n">
        <v>0.46375</v>
      </c>
      <c r="R139" s="7" t="n">
        <v>0.34375</v>
      </c>
      <c r="S139" s="7" t="n">
        <v>0.72375</v>
      </c>
      <c r="T139" s="7" t="n">
        <v>0.58625</v>
      </c>
      <c r="U139" s="7" t="n">
        <v>0.2838164251207729</v>
      </c>
      <c r="V139" s="7" t="n">
        <v>0.001207729468599034</v>
      </c>
      <c r="W139" s="7" t="n">
        <v>0.4958791208791209</v>
      </c>
      <c r="X139" s="7" t="n">
        <v>0.4140576107812133</v>
      </c>
      <c r="Y139" s="3">
        <f>IF(X139="","",IF(X139&gt;='Léeme'!$B$6,"barato",IF(X139&lt;'Léeme'!$B$7,"caro","medio")))</f>
        <v/>
      </c>
      <c r="Z139" s="11" t="n"/>
      <c r="AA139" s="11" t="n"/>
    </row>
    <row r="140">
      <c r="A140" s="3" t="inlineStr">
        <is>
          <t>2026-T3</t>
        </is>
      </c>
      <c r="B140" s="13" t="n">
        <v>46293</v>
      </c>
      <c r="C140" s="14" t="n">
        <v>41.41</v>
      </c>
      <c r="D140" s="14" t="n">
        <v>3.4</v>
      </c>
      <c r="E140" s="14" t="n">
        <v>2.48</v>
      </c>
      <c r="F140" s="5" t="n">
        <v>0.0524</v>
      </c>
      <c r="G140" s="5" t="n">
        <v>0.03353016322755642</v>
      </c>
      <c r="H140" s="5" t="n">
        <v>0.0663</v>
      </c>
      <c r="I140" s="15">
        <f>IFERROR(C140/D140,"")</f>
        <v/>
      </c>
      <c r="J140" s="9">
        <f>IFERROR(D140/C140,"")</f>
        <v/>
      </c>
      <c r="K140" s="9">
        <f>IFERROR(E140/C140,"")</f>
        <v/>
      </c>
      <c r="L140" s="9">
        <f>IFERROR(F140-G140,"")</f>
        <v/>
      </c>
      <c r="M140" s="9">
        <f>IFERROR(J140-F140,"")</f>
        <v/>
      </c>
      <c r="N140" s="9">
        <f>IFERROR(J140-L140,"")</f>
        <v/>
      </c>
      <c r="O140" s="9">
        <f>IFERROR(J140-H140,"")</f>
        <v/>
      </c>
      <c r="P140" s="9">
        <f>IFERROR(K140-F140,"")</f>
        <v/>
      </c>
      <c r="Q140" s="7" t="n">
        <v>0.6364764267990074</v>
      </c>
      <c r="R140" s="7" t="n">
        <v>0.3982630272952853</v>
      </c>
      <c r="S140" s="7" t="n">
        <v>0.5818858560794045</v>
      </c>
      <c r="T140" s="7" t="n">
        <v>0.6439205955334988</v>
      </c>
      <c r="U140" s="7" t="n">
        <v>0.4664268585131894</v>
      </c>
      <c r="V140" s="7" t="n">
        <v>0.01079136690647482</v>
      </c>
      <c r="W140" s="7" t="n">
        <v>0.7043596730245232</v>
      </c>
      <c r="X140" s="7" t="n">
        <v>0.4917319720216262</v>
      </c>
      <c r="Y140" s="3">
        <f>IF(X140="","",IF(X140&gt;='Léeme'!$B$6,"barato",IF(X140&lt;'Léeme'!$B$7,"caro","medio")))</f>
        <v/>
      </c>
      <c r="Z140" s="11" t="n"/>
      <c r="AA140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2" t="inlineStr">
        <is>
          <t>Trimestre</t>
        </is>
      </c>
      <c r="B1" s="2" t="inlineStr">
        <is>
          <t>Fecha</t>
        </is>
      </c>
      <c r="C1" s="2" t="inlineStr">
        <is>
          <t>Precio</t>
        </is>
      </c>
      <c r="D1" s="2" t="inlineStr">
        <is>
          <t>Flujo por acción, 12 meses</t>
        </is>
      </c>
      <c r="E1" s="2" t="inlineStr">
        <is>
          <t>Dividendo anualizado</t>
        </is>
      </c>
      <c r="F1" s="2" t="inlineStr">
        <is>
          <t>Treasury 10 años</t>
        </is>
      </c>
      <c r="G1" s="2" t="inlineStr">
        <is>
          <t>Inflación 12 meses</t>
        </is>
      </c>
      <c r="H1" s="2" t="inlineStr">
        <is>
          <t>Bonos Baa</t>
        </is>
      </c>
      <c r="I1" s="2" t="inlineStr">
        <is>
          <t>Múltiplo precio/flujo</t>
        </is>
      </c>
      <c r="J1" s="2" t="inlineStr">
        <is>
          <t>Yield de flujo</t>
        </is>
      </c>
      <c r="K1" s="2" t="inlineStr">
        <is>
          <t>Yield de dividendo</t>
        </is>
      </c>
      <c r="L1" s="2" t="inlineStr">
        <is>
          <t>Tasa real</t>
        </is>
      </c>
      <c r="M1" s="2" t="inlineStr">
        <is>
          <t>Prima sobre el Treasury</t>
        </is>
      </c>
      <c r="N1" s="2" t="inlineStr">
        <is>
          <t>Prima sobre la tasa real</t>
        </is>
      </c>
      <c r="O1" s="2" t="inlineStr">
        <is>
          <t>Prima sobre bonos Baa</t>
        </is>
      </c>
      <c r="P1" s="2" t="inlineStr">
        <is>
          <t>Dividendo sobre el Treasury</t>
        </is>
      </c>
      <c r="Q1" s="2" t="inlineStr">
        <is>
          <t>Percentil: Múltiplo P/FFO</t>
        </is>
      </c>
      <c r="R1" s="2" t="inlineStr">
        <is>
          <t>Percentil: Prima sobre el Treasury</t>
        </is>
      </c>
      <c r="S1" s="2" t="inlineStr">
        <is>
          <t>Percentil: Prima sobre la tasa real</t>
        </is>
      </c>
      <c r="T1" s="2" t="inlineStr">
        <is>
          <t>Percentil: Prima sobre bonos Baa</t>
        </is>
      </c>
      <c r="U1" s="2" t="inlineStr">
        <is>
          <t>Percentil: Yield de dividendo</t>
        </is>
      </c>
      <c r="V1" s="2" t="inlineStr">
        <is>
          <t>Percentil: Dividendo sobre el Treasury</t>
        </is>
      </c>
      <c r="W1" s="2" t="inlineStr">
        <is>
          <t>Percentil: Múltiplo contra sus últimos 5 años</t>
        </is>
      </c>
      <c r="X1" s="2" t="inlineStr">
        <is>
          <t>Percentil: Consenso de los siete</t>
        </is>
      </c>
      <c r="Y1" s="2" t="inlineStr">
        <is>
          <t>Señal del consenso</t>
        </is>
      </c>
      <c r="Z1" s="2" t="inlineStr">
        <is>
          <t>Retorno anual, 1 año después</t>
        </is>
      </c>
      <c r="AA1" s="2" t="inlineStr">
        <is>
          <t>Retorno anual, 5 años después</t>
        </is>
      </c>
    </row>
    <row r="2">
      <c r="A2" s="3" t="inlineStr">
        <is>
          <t>1994-T4</t>
        </is>
      </c>
      <c r="B2" s="13" t="n">
        <v>34698</v>
      </c>
      <c r="C2" s="14" t="n">
        <v>8.5625</v>
      </c>
      <c r="E2" s="14" t="n">
        <v>0.8999999999999999</v>
      </c>
      <c r="F2" s="5" t="n">
        <v>0.0784</v>
      </c>
      <c r="G2" s="5" t="n">
        <v>0.02602739726027403</v>
      </c>
      <c r="H2" s="5" t="n">
        <v>0.091</v>
      </c>
      <c r="I2" s="15">
        <f>IFERROR(C2/D2,"")</f>
        <v/>
      </c>
      <c r="J2" s="9">
        <f>IFERROR(D2/C2,"")</f>
        <v/>
      </c>
      <c r="K2" s="9">
        <f>IFERROR(E2/C2,"")</f>
        <v/>
      </c>
      <c r="L2" s="9">
        <f>IFERROR(F2-G2,"")</f>
        <v/>
      </c>
      <c r="M2" s="9">
        <f>IFERROR(J2-F2,"")</f>
        <v/>
      </c>
      <c r="N2" s="9">
        <f>IFERROR(J2-L2,"")</f>
        <v/>
      </c>
      <c r="O2" s="9">
        <f>IFERROR(J2-H2,"")</f>
        <v/>
      </c>
      <c r="P2" s="9">
        <f>IFERROR(K2-F2,"")</f>
        <v/>
      </c>
      <c r="Q2" s="7" t="n"/>
      <c r="R2" s="7" t="n"/>
      <c r="S2" s="7" t="n"/>
      <c r="T2" s="7" t="n"/>
      <c r="U2" s="7" t="n"/>
      <c r="V2" s="7" t="n"/>
      <c r="W2" s="7" t="n"/>
      <c r="X2" s="7" t="n"/>
      <c r="Y2" s="3">
        <f>IF(X2="","",IF(X2&gt;='Léeme'!$B$6,"barato",IF(X2&lt;'Léeme'!$B$7,"caro","medio")))</f>
        <v/>
      </c>
      <c r="Z2" s="11" t="n">
        <v>0.4358575754708647</v>
      </c>
      <c r="AA2" s="11" t="n">
        <v>0.1142962236539955</v>
      </c>
    </row>
    <row r="3">
      <c r="A3" s="3" t="inlineStr">
        <is>
          <t>1995-T1</t>
        </is>
      </c>
      <c r="B3" s="13" t="n">
        <v>34789</v>
      </c>
      <c r="C3" s="14" t="n">
        <v>9.0625</v>
      </c>
      <c r="E3" s="14" t="n">
        <v>0.8999999999999999</v>
      </c>
      <c r="F3" s="5" t="n">
        <v>0.07200000000000001</v>
      </c>
      <c r="G3" s="5" t="n">
        <v>0.02862985685071595</v>
      </c>
      <c r="H3" s="5" t="n">
        <v>0.0866</v>
      </c>
      <c r="I3" s="15">
        <f>IFERROR(C3/D3,"")</f>
        <v/>
      </c>
      <c r="J3" s="9">
        <f>IFERROR(D3/C3,"")</f>
        <v/>
      </c>
      <c r="K3" s="9">
        <f>IFERROR(E3/C3,"")</f>
        <v/>
      </c>
      <c r="L3" s="9">
        <f>IFERROR(F3-G3,"")</f>
        <v/>
      </c>
      <c r="M3" s="9">
        <f>IFERROR(J3-F3,"")</f>
        <v/>
      </c>
      <c r="N3" s="9">
        <f>IFERROR(J3-L3,"")</f>
        <v/>
      </c>
      <c r="O3" s="9">
        <f>IFERROR(J3-H3,"")</f>
        <v/>
      </c>
      <c r="P3" s="9">
        <f>IFERROR(K3-F3,"")</f>
        <v/>
      </c>
      <c r="Q3" s="7" t="n"/>
      <c r="R3" s="7" t="n"/>
      <c r="S3" s="7" t="n"/>
      <c r="T3" s="7" t="n"/>
      <c r="U3" s="7" t="n"/>
      <c r="V3" s="7" t="n"/>
      <c r="W3" s="7" t="n"/>
      <c r="X3" s="7" t="n"/>
      <c r="Y3" s="3">
        <f>IF(X3="","",IF(X3&gt;='Léeme'!$B$6,"barato",IF(X3&lt;'Léeme'!$B$7,"caro","medio")))</f>
        <v/>
      </c>
      <c r="Z3" s="11" t="n">
        <v>0.2408091363258629</v>
      </c>
      <c r="AA3" s="11" t="n">
        <v>0.08479903683256373</v>
      </c>
    </row>
    <row r="4">
      <c r="A4" s="3" t="inlineStr">
        <is>
          <t>1995-T2</t>
        </is>
      </c>
      <c r="B4" s="13" t="n">
        <v>34880</v>
      </c>
      <c r="C4" s="14" t="n">
        <v>10.5625</v>
      </c>
      <c r="E4" s="14" t="n">
        <v>0.8999999999999999</v>
      </c>
      <c r="F4" s="5" t="n">
        <v>0.0621</v>
      </c>
      <c r="G4" s="5" t="n">
        <v>0.03118644067796605</v>
      </c>
      <c r="H4" s="5" t="n">
        <v>0.0799</v>
      </c>
      <c r="I4" s="15">
        <f>IFERROR(C4/D4,"")</f>
        <v/>
      </c>
      <c r="J4" s="9">
        <f>IFERROR(D4/C4,"")</f>
        <v/>
      </c>
      <c r="K4" s="9">
        <f>IFERROR(E4/C4,"")</f>
        <v/>
      </c>
      <c r="L4" s="9">
        <f>IFERROR(F4-G4,"")</f>
        <v/>
      </c>
      <c r="M4" s="9">
        <f>IFERROR(J4-F4,"")</f>
        <v/>
      </c>
      <c r="N4" s="9">
        <f>IFERROR(J4-L4,"")</f>
        <v/>
      </c>
      <c r="O4" s="9">
        <f>IFERROR(J4-H4,"")</f>
        <v/>
      </c>
      <c r="P4" s="9">
        <f>IFERROR(K4-F4,"")</f>
        <v/>
      </c>
      <c r="Q4" s="7" t="n"/>
      <c r="R4" s="7" t="n"/>
      <c r="S4" s="7" t="n"/>
      <c r="T4" s="7" t="n"/>
      <c r="U4" s="7" t="n"/>
      <c r="V4" s="7" t="n"/>
      <c r="W4" s="7" t="n"/>
      <c r="X4" s="7" t="n"/>
      <c r="Y4" s="3">
        <f>IF(X4="","",IF(X4&gt;='Léeme'!$B$6,"barato",IF(X4&lt;'Léeme'!$B$7,"caro","medio")))</f>
        <v/>
      </c>
      <c r="Z4" s="11" t="n">
        <v>0.064447999614756</v>
      </c>
      <c r="AA4" s="11" t="n">
        <v>0.09574668062808445</v>
      </c>
    </row>
    <row r="5">
      <c r="A5" s="3" t="inlineStr">
        <is>
          <t>1995-T3</t>
        </is>
      </c>
      <c r="B5" s="13" t="n">
        <v>34971</v>
      </c>
      <c r="C5" s="14" t="n">
        <v>10.5625</v>
      </c>
      <c r="E5" s="14" t="n">
        <v>0.9299999999999999</v>
      </c>
      <c r="F5" s="5" t="n">
        <v>0.0617</v>
      </c>
      <c r="G5" s="5" t="n">
        <v>0.02617449664429539</v>
      </c>
      <c r="H5" s="5" t="n">
        <v>0.0795</v>
      </c>
      <c r="I5" s="15">
        <f>IFERROR(C5/D5,"")</f>
        <v/>
      </c>
      <c r="J5" s="9">
        <f>IFERROR(D5/C5,"")</f>
        <v/>
      </c>
      <c r="K5" s="9">
        <f>IFERROR(E5/C5,"")</f>
        <v/>
      </c>
      <c r="L5" s="9">
        <f>IFERROR(F5-G5,"")</f>
        <v/>
      </c>
      <c r="M5" s="9">
        <f>IFERROR(J5-F5,"")</f>
        <v/>
      </c>
      <c r="N5" s="9">
        <f>IFERROR(J5-L5,"")</f>
        <v/>
      </c>
      <c r="O5" s="9">
        <f>IFERROR(J5-H5,"")</f>
        <v/>
      </c>
      <c r="P5" s="9">
        <f>IFERROR(K5-F5,"")</f>
        <v/>
      </c>
      <c r="Q5" s="7" t="n"/>
      <c r="R5" s="7" t="n"/>
      <c r="S5" s="7" t="n"/>
      <c r="T5" s="7" t="n"/>
      <c r="U5" s="7" t="n"/>
      <c r="V5" s="7" t="n"/>
      <c r="W5" s="7" t="n"/>
      <c r="X5" s="7" t="n"/>
      <c r="Y5" s="3">
        <f>IF(X5="","",IF(X5&gt;='Léeme'!$B$6,"barato",IF(X5&lt;'Léeme'!$B$7,"caro","medio")))</f>
        <v/>
      </c>
      <c r="Z5" s="11" t="n">
        <v>0.1661818621185207</v>
      </c>
      <c r="AA5" s="11" t="n">
        <v>0.09354618959137317</v>
      </c>
    </row>
    <row r="6">
      <c r="A6" s="3" t="inlineStr">
        <is>
          <t>1995-T4</t>
        </is>
      </c>
      <c r="B6" s="13" t="n">
        <v>35062</v>
      </c>
      <c r="C6" s="14" t="n">
        <v>11.25</v>
      </c>
      <c r="E6" s="14" t="n">
        <v>0.9299999999999999</v>
      </c>
      <c r="F6" s="5" t="n">
        <v>0.0558</v>
      </c>
      <c r="G6" s="5" t="n">
        <v>0.02603471295060067</v>
      </c>
      <c r="H6" s="5" t="n">
        <v>0.0741</v>
      </c>
      <c r="I6" s="15">
        <f>IFERROR(C6/D6,"")</f>
        <v/>
      </c>
      <c r="J6" s="9">
        <f>IFERROR(D6/C6,"")</f>
        <v/>
      </c>
      <c r="K6" s="9">
        <f>IFERROR(E6/C6,"")</f>
        <v/>
      </c>
      <c r="L6" s="9">
        <f>IFERROR(F6-G6,"")</f>
        <v/>
      </c>
      <c r="M6" s="9">
        <f>IFERROR(J6-F6,"")</f>
        <v/>
      </c>
      <c r="N6" s="9">
        <f>IFERROR(J6-L6,"")</f>
        <v/>
      </c>
      <c r="O6" s="9">
        <f>IFERROR(J6-H6,"")</f>
        <v/>
      </c>
      <c r="P6" s="9">
        <f>IFERROR(K6-F6,"")</f>
        <v/>
      </c>
      <c r="Q6" s="7" t="n"/>
      <c r="R6" s="7" t="n"/>
      <c r="S6" s="7" t="n"/>
      <c r="T6" s="7" t="n"/>
      <c r="U6" s="7" t="n"/>
      <c r="V6" s="7" t="n"/>
      <c r="W6" s="7" t="n"/>
      <c r="X6" s="7" t="n"/>
      <c r="Y6" s="3">
        <f>IF(X6="","",IF(X6&gt;='Léeme'!$B$6,"barato",IF(X6&lt;'Léeme'!$B$7,"caro","medio")))</f>
        <v/>
      </c>
      <c r="Z6" s="11" t="n">
        <v>0.1298379456954859</v>
      </c>
      <c r="AA6" s="11" t="n">
        <v>0.09071277662487498</v>
      </c>
    </row>
    <row r="7">
      <c r="A7" s="3" t="inlineStr">
        <is>
          <t>1996-T1</t>
        </is>
      </c>
      <c r="B7" s="13" t="n">
        <v>35153</v>
      </c>
      <c r="C7" s="14" t="n">
        <v>10.375001</v>
      </c>
      <c r="E7" s="14" t="n">
        <v>0.9299999999999999</v>
      </c>
      <c r="F7" s="5" t="n">
        <v>0.0634</v>
      </c>
      <c r="G7" s="5" t="n">
        <v>0.02717031146454607</v>
      </c>
      <c r="H7" s="5" t="n">
        <v>0.08169999999999999</v>
      </c>
      <c r="I7" s="15">
        <f>IFERROR(C7/D7,"")</f>
        <v/>
      </c>
      <c r="J7" s="9">
        <f>IFERROR(D7/C7,"")</f>
        <v/>
      </c>
      <c r="K7" s="9">
        <f>IFERROR(E7/C7,"")</f>
        <v/>
      </c>
      <c r="L7" s="9">
        <f>IFERROR(F7-G7,"")</f>
        <v/>
      </c>
      <c r="M7" s="9">
        <f>IFERROR(J7-F7,"")</f>
        <v/>
      </c>
      <c r="N7" s="9">
        <f>IFERROR(J7-L7,"")</f>
        <v/>
      </c>
      <c r="O7" s="9">
        <f>IFERROR(J7-H7,"")</f>
        <v/>
      </c>
      <c r="P7" s="9">
        <f>IFERROR(K7-F7,"")</f>
        <v/>
      </c>
      <c r="Q7" s="7" t="n"/>
      <c r="R7" s="7" t="n"/>
      <c r="S7" s="7" t="n"/>
      <c r="T7" s="7" t="n"/>
      <c r="U7" s="7" t="n"/>
      <c r="V7" s="7" t="n"/>
      <c r="W7" s="7" t="n"/>
      <c r="X7" s="7" t="n"/>
      <c r="Y7" s="3">
        <f>IF(X7="","",IF(X7&gt;='Léeme'!$B$6,"barato",IF(X7&lt;'Léeme'!$B$7,"caro","medio")))</f>
        <v/>
      </c>
      <c r="Z7" s="11" t="n">
        <v>0.2165699302469044</v>
      </c>
      <c r="AA7" s="11" t="n">
        <v>0.1208015497970722</v>
      </c>
    </row>
    <row r="8">
      <c r="A8" s="3" t="inlineStr">
        <is>
          <t>1996-T2</t>
        </is>
      </c>
      <c r="B8" s="13" t="n">
        <v>35244</v>
      </c>
      <c r="C8" s="14" t="n">
        <v>10.375001</v>
      </c>
      <c r="E8" s="14" t="n">
        <v>0.9299999999999999</v>
      </c>
      <c r="F8" s="5" t="n">
        <v>0.0673</v>
      </c>
      <c r="G8" s="5" t="n">
        <v>0.02827087442472065</v>
      </c>
      <c r="H8" s="5" t="n">
        <v>0.0834</v>
      </c>
      <c r="I8" s="15">
        <f>IFERROR(C8/D8,"")</f>
        <v/>
      </c>
      <c r="J8" s="9">
        <f>IFERROR(D8/C8,"")</f>
        <v/>
      </c>
      <c r="K8" s="9">
        <f>IFERROR(E8/C8,"")</f>
        <v/>
      </c>
      <c r="L8" s="9">
        <f>IFERROR(F8-G8,"")</f>
        <v/>
      </c>
      <c r="M8" s="9">
        <f>IFERROR(J8-F8,"")</f>
        <v/>
      </c>
      <c r="N8" s="9">
        <f>IFERROR(J8-L8,"")</f>
        <v/>
      </c>
      <c r="O8" s="9">
        <f>IFERROR(J8-H8,"")</f>
        <v/>
      </c>
      <c r="P8" s="9">
        <f>IFERROR(K8-F8,"")</f>
        <v/>
      </c>
      <c r="Q8" s="7" t="n"/>
      <c r="R8" s="7" t="n"/>
      <c r="S8" s="7" t="n"/>
      <c r="T8" s="7" t="n"/>
      <c r="U8" s="7" t="n"/>
      <c r="V8" s="7" t="n"/>
      <c r="W8" s="7" t="n"/>
      <c r="X8" s="7" t="n"/>
      <c r="Y8" s="3">
        <f>IF(X8="","",IF(X8&gt;='Léeme'!$B$6,"barato",IF(X8&lt;'Léeme'!$B$7,"caro","medio")))</f>
        <v/>
      </c>
      <c r="Z8" s="11" t="n">
        <v>0.3475004296629984</v>
      </c>
      <c r="AA8" s="11" t="n">
        <v>0.1398566714057334</v>
      </c>
    </row>
    <row r="9">
      <c r="A9" s="3" t="inlineStr">
        <is>
          <t>1996-T3</t>
        </is>
      </c>
      <c r="B9" s="13" t="n">
        <v>35338</v>
      </c>
      <c r="C9" s="14" t="n">
        <v>11.375001</v>
      </c>
      <c r="E9" s="14" t="n">
        <v>0.9299999999999999</v>
      </c>
      <c r="F9" s="5" t="n">
        <v>0.0672</v>
      </c>
      <c r="G9" s="5" t="n">
        <v>0.02812295618051008</v>
      </c>
      <c r="H9" s="5" t="n">
        <v>0.08210000000000001</v>
      </c>
      <c r="I9" s="15">
        <f>IFERROR(C9/D9,"")</f>
        <v/>
      </c>
      <c r="J9" s="9">
        <f>IFERROR(D9/C9,"")</f>
        <v/>
      </c>
      <c r="K9" s="9">
        <f>IFERROR(E9/C9,"")</f>
        <v/>
      </c>
      <c r="L9" s="9">
        <f>IFERROR(F9-G9,"")</f>
        <v/>
      </c>
      <c r="M9" s="9">
        <f>IFERROR(J9-F9,"")</f>
        <v/>
      </c>
      <c r="N9" s="9">
        <f>IFERROR(J9-L9,"")</f>
        <v/>
      </c>
      <c r="O9" s="9">
        <f>IFERROR(J9-H9,"")</f>
        <v/>
      </c>
      <c r="P9" s="9">
        <f>IFERROR(K9-F9,"")</f>
        <v/>
      </c>
      <c r="Q9" s="7" t="n"/>
      <c r="R9" s="7" t="n"/>
      <c r="S9" s="7" t="n"/>
      <c r="T9" s="7" t="n"/>
      <c r="U9" s="7" t="n"/>
      <c r="V9" s="7" t="n"/>
      <c r="W9" s="7" t="n"/>
      <c r="X9" s="7" t="n"/>
      <c r="Y9" s="3">
        <f>IF(X9="","",IF(X9&gt;='Léeme'!$B$6,"barato",IF(X9&lt;'Léeme'!$B$7,"caro","medio")))</f>
        <v/>
      </c>
      <c r="Z9" s="11" t="n">
        <v>0.2579427618069108</v>
      </c>
      <c r="AA9" s="11" t="n">
        <v>0.1227072402943772</v>
      </c>
    </row>
    <row r="10">
      <c r="A10" s="3" t="inlineStr">
        <is>
          <t>1996-T4</t>
        </is>
      </c>
      <c r="B10" s="13" t="n">
        <v>35430</v>
      </c>
      <c r="C10" s="14" t="n">
        <v>11.9375</v>
      </c>
      <c r="E10" s="14" t="n">
        <v>0.9450000000000001</v>
      </c>
      <c r="F10" s="5" t="n">
        <v>0.0643</v>
      </c>
      <c r="G10" s="5" t="n">
        <v>0.03253090435914108</v>
      </c>
      <c r="H10" s="5" t="n">
        <v>0.0786</v>
      </c>
      <c r="I10" s="15">
        <f>IFERROR(C10/D10,"")</f>
        <v/>
      </c>
      <c r="J10" s="9">
        <f>IFERROR(D10/C10,"")</f>
        <v/>
      </c>
      <c r="K10" s="9">
        <f>IFERROR(E10/C10,"")</f>
        <v/>
      </c>
      <c r="L10" s="9">
        <f>IFERROR(F10-G10,"")</f>
        <v/>
      </c>
      <c r="M10" s="9">
        <f>IFERROR(J10-F10,"")</f>
        <v/>
      </c>
      <c r="N10" s="9">
        <f>IFERROR(J10-L10,"")</f>
        <v/>
      </c>
      <c r="O10" s="9">
        <f>IFERROR(J10-H10,"")</f>
        <v/>
      </c>
      <c r="P10" s="9">
        <f>IFERROR(K10-F10,"")</f>
        <v/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3">
        <f>IF(X10="","",IF(X10&gt;='Léeme'!$B$6,"barato",IF(X10&lt;'Léeme'!$B$7,"caro","medio")))</f>
        <v/>
      </c>
      <c r="Z10" s="11" t="n">
        <v>0.1305233958883472</v>
      </c>
      <c r="AA10" s="11" t="n">
        <v>0.1148846399761407</v>
      </c>
    </row>
    <row r="11">
      <c r="A11" s="3" t="inlineStr">
        <is>
          <t>1997-T1</t>
        </is>
      </c>
      <c r="B11" s="13" t="n">
        <v>35520</v>
      </c>
      <c r="C11" s="14" t="n">
        <v>11.5</v>
      </c>
      <c r="D11" s="14" t="n">
        <v>1.0385</v>
      </c>
      <c r="E11" s="14" t="n">
        <v>0.948</v>
      </c>
      <c r="F11" s="5" t="n">
        <v>0.0692</v>
      </c>
      <c r="G11" s="5" t="n">
        <v>0.03032258064516125</v>
      </c>
      <c r="H11" s="5" t="n">
        <v>0.0832</v>
      </c>
      <c r="I11" s="15">
        <f>IFERROR(C11/D11,"")</f>
        <v/>
      </c>
      <c r="J11" s="9">
        <f>IFERROR(D11/C11,"")</f>
        <v/>
      </c>
      <c r="K11" s="9">
        <f>IFERROR(E11/C11,"")</f>
        <v/>
      </c>
      <c r="L11" s="9">
        <f>IFERROR(F11-G11,"")</f>
        <v/>
      </c>
      <c r="M11" s="9">
        <f>IFERROR(J11-F11,"")</f>
        <v/>
      </c>
      <c r="N11" s="9">
        <f>IFERROR(J11-L11,"")</f>
        <v/>
      </c>
      <c r="O11" s="9">
        <f>IFERROR(J11-H11,"")</f>
        <v/>
      </c>
      <c r="P11" s="9">
        <f>IFERROR(K11-F11,"")</f>
        <v/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3">
        <f>IF(X11="","",IF(X11&gt;='Léeme'!$B$6,"barato",IF(X11&lt;'Léeme'!$B$7,"caro","medio")))</f>
        <v/>
      </c>
      <c r="Z11" s="11" t="n">
        <v>0.2532929207772585</v>
      </c>
      <c r="AA11" s="11" t="n">
        <v>0.1506595430602404</v>
      </c>
    </row>
    <row r="12">
      <c r="A12" s="3" t="inlineStr">
        <is>
          <t>1997-T2</t>
        </is>
      </c>
      <c r="B12" s="13" t="n">
        <v>35611</v>
      </c>
      <c r="C12" s="14" t="n">
        <v>13.125</v>
      </c>
      <c r="D12" s="14" t="n">
        <v>1.0385</v>
      </c>
      <c r="E12" s="14" t="n">
        <v>0.948</v>
      </c>
      <c r="F12" s="5" t="n">
        <v>0.06509999999999999</v>
      </c>
      <c r="G12" s="5" t="n">
        <v>0.02237851662404089</v>
      </c>
      <c r="H12" s="5" t="n">
        <v>0.07969999999999999</v>
      </c>
      <c r="I12" s="15">
        <f>IFERROR(C12/D12,"")</f>
        <v/>
      </c>
      <c r="J12" s="9">
        <f>IFERROR(D12/C12,"")</f>
        <v/>
      </c>
      <c r="K12" s="9">
        <f>IFERROR(E12/C12,"")</f>
        <v/>
      </c>
      <c r="L12" s="9">
        <f>IFERROR(F12-G12,"")</f>
        <v/>
      </c>
      <c r="M12" s="9">
        <f>IFERROR(J12-F12,"")</f>
        <v/>
      </c>
      <c r="N12" s="9">
        <f>IFERROR(J12-L12,"")</f>
        <v/>
      </c>
      <c r="O12" s="9">
        <f>IFERROR(J12-H12,"")</f>
        <v/>
      </c>
      <c r="P12" s="9">
        <f>IFERROR(K12-F12,"")</f>
        <v/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3">
        <f>IF(X12="","",IF(X12&gt;='Léeme'!$B$6,"barato",IF(X12&lt;'Léeme'!$B$7,"caro","medio")))</f>
        <v/>
      </c>
      <c r="Z12" s="11" t="n">
        <v>0.06515510704092353</v>
      </c>
      <c r="AA12" s="11" t="n">
        <v>0.1443036990415696</v>
      </c>
    </row>
    <row r="13">
      <c r="A13" s="3" t="inlineStr">
        <is>
          <t>1997-T3</t>
        </is>
      </c>
      <c r="B13" s="13" t="n">
        <v>35703</v>
      </c>
      <c r="C13" s="14" t="n">
        <v>13.46875</v>
      </c>
      <c r="D13" s="14" t="n">
        <v>1.0385</v>
      </c>
      <c r="E13" s="14" t="n">
        <v>0.948</v>
      </c>
      <c r="F13" s="5" t="n">
        <v>0.0612</v>
      </c>
      <c r="G13" s="5" t="n">
        <v>0.02290076335877878</v>
      </c>
      <c r="H13" s="5" t="n">
        <v>0.0764</v>
      </c>
      <c r="I13" s="15">
        <f>IFERROR(C13/D13,"")</f>
        <v/>
      </c>
      <c r="J13" s="9">
        <f>IFERROR(D13/C13,"")</f>
        <v/>
      </c>
      <c r="K13" s="9">
        <f>IFERROR(E13/C13,"")</f>
        <v/>
      </c>
      <c r="L13" s="9">
        <f>IFERROR(F13-G13,"")</f>
        <v/>
      </c>
      <c r="M13" s="9">
        <f>IFERROR(J13-F13,"")</f>
        <v/>
      </c>
      <c r="N13" s="9">
        <f>IFERROR(J13-L13,"")</f>
        <v/>
      </c>
      <c r="O13" s="9">
        <f>IFERROR(J13-H13,"")</f>
        <v/>
      </c>
      <c r="P13" s="9">
        <f>IFERROR(K13-F13,"")</f>
        <v/>
      </c>
      <c r="Q13" s="7" t="n"/>
      <c r="R13" s="7" t="n"/>
      <c r="S13" s="7" t="n"/>
      <c r="T13" s="7" t="n"/>
      <c r="U13" s="7" t="n">
        <v>0.04166666666666666</v>
      </c>
      <c r="V13" s="7" t="n">
        <v>0.125</v>
      </c>
      <c r="W13" s="7" t="n"/>
      <c r="X13" s="7" t="n"/>
      <c r="Y13" s="3">
        <f>IF(X13="","",IF(X13&gt;='Léeme'!$B$6,"barato",IF(X13&lt;'Léeme'!$B$7,"caro","medio")))</f>
        <v/>
      </c>
      <c r="Z13" s="11" t="n">
        <v>-0.01926456922719866</v>
      </c>
      <c r="AA13" s="11" t="n">
        <v>0.1206507027161037</v>
      </c>
    </row>
    <row r="14">
      <c r="A14" s="3" t="inlineStr">
        <is>
          <t>1997-T4</t>
        </is>
      </c>
      <c r="B14" s="13" t="n">
        <v>35795</v>
      </c>
      <c r="C14" s="14" t="n">
        <v>12.71875</v>
      </c>
      <c r="D14" s="14" t="n">
        <v>1.0385</v>
      </c>
      <c r="E14" s="14" t="n">
        <v>0.96</v>
      </c>
      <c r="F14" s="5" t="n">
        <v>0.0575</v>
      </c>
      <c r="G14" s="5" t="n">
        <v>0.01890359168241962</v>
      </c>
      <c r="H14" s="5" t="n">
        <v>0.0732</v>
      </c>
      <c r="I14" s="15">
        <f>IFERROR(C14/D14,"")</f>
        <v/>
      </c>
      <c r="J14" s="9">
        <f>IFERROR(D14/C14,"")</f>
        <v/>
      </c>
      <c r="K14" s="9">
        <f>IFERROR(E14/C14,"")</f>
        <v/>
      </c>
      <c r="L14" s="9">
        <f>IFERROR(F14-G14,"")</f>
        <v/>
      </c>
      <c r="M14" s="9">
        <f>IFERROR(J14-F14,"")</f>
        <v/>
      </c>
      <c r="N14" s="9">
        <f>IFERROR(J14-L14,"")</f>
        <v/>
      </c>
      <c r="O14" s="9">
        <f>IFERROR(J14-H14,"")</f>
        <v/>
      </c>
      <c r="P14" s="9">
        <f>IFERROR(K14-F14,"")</f>
        <v/>
      </c>
      <c r="Q14" s="7" t="n"/>
      <c r="R14" s="7" t="n"/>
      <c r="S14" s="7" t="n"/>
      <c r="T14" s="7" t="n"/>
      <c r="U14" s="7" t="n">
        <v>0.217948717948718</v>
      </c>
      <c r="V14" s="7" t="n">
        <v>0.3974358974358974</v>
      </c>
      <c r="W14" s="7" t="n"/>
      <c r="X14" s="7" t="n"/>
      <c r="Y14" s="3">
        <f>IF(X14="","",IF(X14&gt;='Léeme'!$B$6,"barato",IF(X14&lt;'Léeme'!$B$7,"caro","medio")))</f>
        <v/>
      </c>
      <c r="Z14" s="11" t="n">
        <v>0.04006757944076966</v>
      </c>
      <c r="AA14" s="11" t="n">
        <v>0.1388446870394888</v>
      </c>
    </row>
    <row r="15">
      <c r="A15" s="3" t="inlineStr">
        <is>
          <t>1998-T1</t>
        </is>
      </c>
      <c r="B15" s="13" t="n">
        <v>35885</v>
      </c>
      <c r="C15" s="14" t="n">
        <v>13.59375</v>
      </c>
      <c r="D15" s="14" t="n">
        <v>1.11</v>
      </c>
      <c r="E15" s="14" t="n">
        <v>0.972</v>
      </c>
      <c r="F15" s="5" t="n">
        <v>0.0567</v>
      </c>
      <c r="G15" s="5" t="n">
        <v>0.01440200375704448</v>
      </c>
      <c r="H15" s="5" t="n">
        <v>0.0736</v>
      </c>
      <c r="I15" s="15">
        <f>IFERROR(C15/D15,"")</f>
        <v/>
      </c>
      <c r="J15" s="9">
        <f>IFERROR(D15/C15,"")</f>
        <v/>
      </c>
      <c r="K15" s="9">
        <f>IFERROR(E15/C15,"")</f>
        <v/>
      </c>
      <c r="L15" s="9">
        <f>IFERROR(F15-G15,"")</f>
        <v/>
      </c>
      <c r="M15" s="9">
        <f>IFERROR(J15-F15,"")</f>
        <v/>
      </c>
      <c r="N15" s="9">
        <f>IFERROR(J15-L15,"")</f>
        <v/>
      </c>
      <c r="O15" s="9">
        <f>IFERROR(J15-H15,"")</f>
        <v/>
      </c>
      <c r="P15" s="9">
        <f>IFERROR(K15-F15,"")</f>
        <v/>
      </c>
      <c r="Q15" s="7" t="n"/>
      <c r="R15" s="7" t="n"/>
      <c r="S15" s="7" t="n"/>
      <c r="T15" s="7" t="n"/>
      <c r="U15" s="7" t="n">
        <v>0.05952380952380952</v>
      </c>
      <c r="V15" s="7" t="n">
        <v>0.3214285714285715</v>
      </c>
      <c r="W15" s="7" t="n"/>
      <c r="X15" s="7" t="n"/>
      <c r="Y15" s="3">
        <f>IF(X15="","",IF(X15&gt;='Léeme'!$B$6,"barato",IF(X15&lt;'Léeme'!$B$7,"caro","medio")))</f>
        <v/>
      </c>
      <c r="Z15" s="11" t="n">
        <v>-0.1752987541033685</v>
      </c>
      <c r="AA15" s="11" t="n">
        <v>0.1283421478714906</v>
      </c>
    </row>
    <row r="16">
      <c r="A16" s="3" t="inlineStr">
        <is>
          <t>1998-T2</t>
        </is>
      </c>
      <c r="B16" s="13" t="n">
        <v>35976</v>
      </c>
      <c r="C16" s="14" t="n">
        <v>13.1875</v>
      </c>
      <c r="D16" s="14" t="n">
        <v>1.11</v>
      </c>
      <c r="E16" s="14" t="n">
        <v>0.99</v>
      </c>
      <c r="F16" s="5" t="n">
        <v>0.0544</v>
      </c>
      <c r="G16" s="5" t="n">
        <v>0.01688555347091936</v>
      </c>
      <c r="H16" s="5" t="n">
        <v>0.0713</v>
      </c>
      <c r="I16" s="15">
        <f>IFERROR(C16/D16,"")</f>
        <v/>
      </c>
      <c r="J16" s="9">
        <f>IFERROR(D16/C16,"")</f>
        <v/>
      </c>
      <c r="K16" s="9">
        <f>IFERROR(E16/C16,"")</f>
        <v/>
      </c>
      <c r="L16" s="9">
        <f>IFERROR(F16-G16,"")</f>
        <v/>
      </c>
      <c r="M16" s="9">
        <f>IFERROR(J16-F16,"")</f>
        <v/>
      </c>
      <c r="N16" s="9">
        <f>IFERROR(J16-L16,"")</f>
        <v/>
      </c>
      <c r="O16" s="9">
        <f>IFERROR(J16-H16,"")</f>
        <v/>
      </c>
      <c r="P16" s="9">
        <f>IFERROR(K16-F16,"")</f>
        <v/>
      </c>
      <c r="Q16" s="7" t="n"/>
      <c r="R16" s="7" t="n"/>
      <c r="S16" s="7" t="n"/>
      <c r="T16" s="7" t="n"/>
      <c r="U16" s="7" t="n">
        <v>0.3</v>
      </c>
      <c r="V16" s="7" t="n">
        <v>0.5666666666666667</v>
      </c>
      <c r="W16" s="7" t="n"/>
      <c r="X16" s="7" t="n"/>
      <c r="Y16" s="3">
        <f>IF(X16="","",IF(X16&gt;='Léeme'!$B$6,"barato",IF(X16&lt;'Léeme'!$B$7,"caro","medio")))</f>
        <v/>
      </c>
      <c r="Z16" s="11" t="n">
        <v>-0.03623018870867023</v>
      </c>
      <c r="AA16" s="11" t="n">
        <v>0.1490725080354744</v>
      </c>
    </row>
    <row r="17">
      <c r="A17" s="3" t="inlineStr">
        <is>
          <t>1998-T3</t>
        </is>
      </c>
      <c r="B17" s="13" t="n">
        <v>36068</v>
      </c>
      <c r="C17" s="14" t="n">
        <v>12.4375</v>
      </c>
      <c r="D17" s="14" t="n">
        <v>1.11</v>
      </c>
      <c r="E17" s="14" t="n">
        <v>1.008</v>
      </c>
      <c r="F17" s="5" t="n">
        <v>0.0444</v>
      </c>
      <c r="G17" s="5" t="n">
        <v>0.01616915422885579</v>
      </c>
      <c r="H17" s="5" t="n">
        <v>0.0709</v>
      </c>
      <c r="I17" s="15">
        <f>IFERROR(C17/D17,"")</f>
        <v/>
      </c>
      <c r="J17" s="9">
        <f>IFERROR(D17/C17,"")</f>
        <v/>
      </c>
      <c r="K17" s="9">
        <f>IFERROR(E17/C17,"")</f>
        <v/>
      </c>
      <c r="L17" s="9">
        <f>IFERROR(F17-G17,"")</f>
        <v/>
      </c>
      <c r="M17" s="9">
        <f>IFERROR(J17-F17,"")</f>
        <v/>
      </c>
      <c r="N17" s="9">
        <f>IFERROR(J17-L17,"")</f>
        <v/>
      </c>
      <c r="O17" s="9">
        <f>IFERROR(J17-H17,"")</f>
        <v/>
      </c>
      <c r="P17" s="9">
        <f>IFERROR(K17-F17,"")</f>
        <v/>
      </c>
      <c r="Q17" s="7" t="n"/>
      <c r="R17" s="7" t="n"/>
      <c r="S17" s="7" t="n"/>
      <c r="T17" s="7" t="n"/>
      <c r="U17" s="7" t="n">
        <v>0.4479166666666667</v>
      </c>
      <c r="V17" s="7" t="n">
        <v>0.96875</v>
      </c>
      <c r="W17" s="7" t="n"/>
      <c r="X17" s="7" t="n"/>
      <c r="Y17" s="3">
        <f>IF(X17="","",IF(X17&gt;='Léeme'!$B$6,"barato",IF(X17&lt;'Léeme'!$B$7,"caro","medio")))</f>
        <v/>
      </c>
      <c r="Z17" s="11" t="n">
        <v>-0.002850773928052108</v>
      </c>
      <c r="AA17" s="11" t="n">
        <v>0.1710453142823605</v>
      </c>
    </row>
    <row r="18">
      <c r="A18" s="3" t="inlineStr">
        <is>
          <t>1998-T4</t>
        </is>
      </c>
      <c r="B18" s="13" t="n">
        <v>36160</v>
      </c>
      <c r="C18" s="14" t="n">
        <v>12.4375</v>
      </c>
      <c r="D18" s="14" t="n">
        <v>1.11</v>
      </c>
      <c r="E18" s="14" t="n">
        <v>1.02</v>
      </c>
      <c r="F18" s="5" t="n">
        <v>0.04650000000000001</v>
      </c>
      <c r="G18" s="5" t="n">
        <v>0.01484230055658631</v>
      </c>
      <c r="H18" s="5" t="n">
        <v>0.0726</v>
      </c>
      <c r="I18" s="15">
        <f>IFERROR(C18/D18,"")</f>
        <v/>
      </c>
      <c r="J18" s="9">
        <f>IFERROR(D18/C18,"")</f>
        <v/>
      </c>
      <c r="K18" s="9">
        <f>IFERROR(E18/C18,"")</f>
        <v/>
      </c>
      <c r="L18" s="9">
        <f>IFERROR(F18-G18,"")</f>
        <v/>
      </c>
      <c r="M18" s="9">
        <f>IFERROR(J18-F18,"")</f>
        <v/>
      </c>
      <c r="N18" s="9">
        <f>IFERROR(J18-L18,"")</f>
        <v/>
      </c>
      <c r="O18" s="9">
        <f>IFERROR(J18-H18,"")</f>
        <v/>
      </c>
      <c r="P18" s="9">
        <f>IFERROR(K18-F18,"")</f>
        <v/>
      </c>
      <c r="Q18" s="7" t="n"/>
      <c r="R18" s="7" t="n"/>
      <c r="S18" s="7" t="n"/>
      <c r="T18" s="7" t="n"/>
      <c r="U18" s="7" t="n">
        <v>0.5</v>
      </c>
      <c r="V18" s="7" t="n">
        <v>0.9509803921568627</v>
      </c>
      <c r="W18" s="7" t="n"/>
      <c r="X18" s="7" t="n"/>
      <c r="Y18" s="3">
        <f>IF(X18="","",IF(X18&gt;='Léeme'!$B$6,"barato",IF(X18&lt;'Léeme'!$B$7,"caro","medio")))</f>
        <v/>
      </c>
      <c r="Z18" s="11" t="n">
        <v>-0.1075079290683634</v>
      </c>
      <c r="AA18" s="11" t="n">
        <v>0.1720825094854521</v>
      </c>
    </row>
    <row r="19">
      <c r="A19" s="3" t="inlineStr">
        <is>
          <t>1999-T1</t>
        </is>
      </c>
      <c r="B19" s="13" t="n">
        <v>36250</v>
      </c>
      <c r="C19" s="14" t="n">
        <v>10.500001</v>
      </c>
      <c r="D19" s="14" t="n">
        <v>1.18</v>
      </c>
      <c r="E19" s="14" t="n">
        <v>1.032</v>
      </c>
      <c r="F19" s="5" t="n">
        <v>0.0525</v>
      </c>
      <c r="G19" s="5" t="n">
        <v>0.01666666666666661</v>
      </c>
      <c r="H19" s="5" t="n">
        <v>0.07530000000000001</v>
      </c>
      <c r="I19" s="15">
        <f>IFERROR(C19/D19,"")</f>
        <v/>
      </c>
      <c r="J19" s="9">
        <f>IFERROR(D19/C19,"")</f>
        <v/>
      </c>
      <c r="K19" s="9">
        <f>IFERROR(E19/C19,"")</f>
        <v/>
      </c>
      <c r="L19" s="9">
        <f>IFERROR(F19-G19,"")</f>
        <v/>
      </c>
      <c r="M19" s="9">
        <f>IFERROR(J19-F19,"")</f>
        <v/>
      </c>
      <c r="N19" s="9">
        <f>IFERROR(J19-L19,"")</f>
        <v/>
      </c>
      <c r="O19" s="9">
        <f>IFERROR(J19-H19,"")</f>
        <v/>
      </c>
      <c r="P19" s="9">
        <f>IFERROR(K19-F19,"")</f>
        <v/>
      </c>
      <c r="Q19" s="7" t="n"/>
      <c r="R19" s="7" t="n"/>
      <c r="S19" s="7" t="n"/>
      <c r="T19" s="7" t="n"/>
      <c r="U19" s="7" t="n">
        <v>0.8981481481481481</v>
      </c>
      <c r="V19" s="7" t="n">
        <v>0.9907407407407407</v>
      </c>
      <c r="W19" s="7" t="n"/>
      <c r="X19" s="7" t="n"/>
      <c r="Y19" s="3">
        <f>IF(X19="","",IF(X19&gt;='Léeme'!$B$6,"barato",IF(X19&lt;'Léeme'!$B$7,"caro","medio")))</f>
        <v/>
      </c>
      <c r="Z19" s="11" t="n">
        <v>-0.01099347598513933</v>
      </c>
      <c r="AA19" s="11" t="n">
        <v>0.2376620642118294</v>
      </c>
    </row>
    <row r="20">
      <c r="A20" s="3" t="inlineStr">
        <is>
          <t>1999-T2</t>
        </is>
      </c>
      <c r="B20" s="13" t="n">
        <v>36341</v>
      </c>
      <c r="C20" s="14" t="n">
        <v>11.875</v>
      </c>
      <c r="D20" s="14" t="n">
        <v>1.18</v>
      </c>
      <c r="E20" s="14" t="n">
        <v>1.05</v>
      </c>
      <c r="F20" s="5" t="n">
        <v>0.0581</v>
      </c>
      <c r="G20" s="5" t="n">
        <v>0.02091020910209096</v>
      </c>
      <c r="H20" s="5" t="n">
        <v>0.0805</v>
      </c>
      <c r="I20" s="15">
        <f>IFERROR(C20/D20,"")</f>
        <v/>
      </c>
      <c r="J20" s="9">
        <f>IFERROR(D20/C20,"")</f>
        <v/>
      </c>
      <c r="K20" s="9">
        <f>IFERROR(E20/C20,"")</f>
        <v/>
      </c>
      <c r="L20" s="9">
        <f>IFERROR(F20-G20,"")</f>
        <v/>
      </c>
      <c r="M20" s="9">
        <f>IFERROR(J20-F20,"")</f>
        <v/>
      </c>
      <c r="N20" s="9">
        <f>IFERROR(J20-L20,"")</f>
        <v/>
      </c>
      <c r="O20" s="9">
        <f>IFERROR(J20-H20,"")</f>
        <v/>
      </c>
      <c r="P20" s="9">
        <f>IFERROR(K20-F20,"")</f>
        <v/>
      </c>
      <c r="Q20" s="7" t="n"/>
      <c r="R20" s="7" t="n"/>
      <c r="S20" s="7" t="n"/>
      <c r="T20" s="7" t="n"/>
      <c r="U20" s="7" t="n">
        <v>0.7105263157894737</v>
      </c>
      <c r="V20" s="7" t="n">
        <v>0.7807017543859649</v>
      </c>
      <c r="W20" s="7" t="n"/>
      <c r="X20" s="7" t="n"/>
      <c r="Y20" s="3">
        <f>IF(X20="","",IF(X20&gt;='Léeme'!$B$6,"barato",IF(X20&lt;'Léeme'!$B$7,"caro","medio")))</f>
        <v/>
      </c>
      <c r="Z20" s="11" t="n">
        <v>0.07278151973180558</v>
      </c>
      <c r="AA20" s="11" t="n">
        <v>0.1901137117491549</v>
      </c>
    </row>
    <row r="21">
      <c r="A21" s="3" t="inlineStr">
        <is>
          <t>1999-T3</t>
        </is>
      </c>
      <c r="B21" s="13" t="n">
        <v>36433</v>
      </c>
      <c r="C21" s="14" t="n">
        <v>11.5625</v>
      </c>
      <c r="D21" s="14" t="n">
        <v>1.18</v>
      </c>
      <c r="E21" s="14" t="n">
        <v>1.068</v>
      </c>
      <c r="F21" s="5" t="n">
        <v>0.059</v>
      </c>
      <c r="G21" s="5" t="n">
        <v>0.0226438188494491</v>
      </c>
      <c r="H21" s="5" t="n">
        <v>0.0828</v>
      </c>
      <c r="I21" s="15">
        <f>IFERROR(C21/D21,"")</f>
        <v/>
      </c>
      <c r="J21" s="9">
        <f>IFERROR(D21/C21,"")</f>
        <v/>
      </c>
      <c r="K21" s="9">
        <f>IFERROR(E21/C21,"")</f>
        <v/>
      </c>
      <c r="L21" s="9">
        <f>IFERROR(F21-G21,"")</f>
        <v/>
      </c>
      <c r="M21" s="9">
        <f>IFERROR(J21-F21,"")</f>
        <v/>
      </c>
      <c r="N21" s="9">
        <f>IFERROR(J21-L21,"")</f>
        <v/>
      </c>
      <c r="O21" s="9">
        <f>IFERROR(J21-H21,"")</f>
        <v/>
      </c>
      <c r="P21" s="9">
        <f>IFERROR(K21-F21,"")</f>
        <v/>
      </c>
      <c r="Q21" s="7" t="n"/>
      <c r="R21" s="7" t="n"/>
      <c r="S21" s="7" t="n"/>
      <c r="T21" s="7" t="n"/>
      <c r="U21" s="7" t="n">
        <v>0.8083333333333333</v>
      </c>
      <c r="V21" s="7" t="n">
        <v>0.8083333333333333</v>
      </c>
      <c r="W21" s="7" t="n"/>
      <c r="X21" s="7" t="n"/>
      <c r="Y21" s="3">
        <f>IF(X21="","",IF(X21&gt;='Léeme'!$B$6,"barato",IF(X21&lt;'Léeme'!$B$7,"caro","medio")))</f>
        <v/>
      </c>
      <c r="Z21" s="11" t="n">
        <v>0.09005013612481316</v>
      </c>
      <c r="AA21" s="11" t="n">
        <v>0.2132816075964994</v>
      </c>
    </row>
    <row r="22">
      <c r="A22" s="3" t="inlineStr">
        <is>
          <t>1999-T4</t>
        </is>
      </c>
      <c r="B22" s="13" t="n">
        <v>36525</v>
      </c>
      <c r="C22" s="14" t="n">
        <v>10.3125</v>
      </c>
      <c r="D22" s="14" t="n">
        <v>1.18</v>
      </c>
      <c r="E22" s="14" t="n">
        <v>1.08</v>
      </c>
      <c r="F22" s="5" t="n">
        <v>0.0645</v>
      </c>
      <c r="G22" s="5" t="n">
        <v>0.02620353443022561</v>
      </c>
      <c r="H22" s="5" t="n">
        <v>0.0823</v>
      </c>
      <c r="I22" s="15">
        <f>IFERROR(C22/D22,"")</f>
        <v/>
      </c>
      <c r="J22" s="9">
        <f>IFERROR(D22/C22,"")</f>
        <v/>
      </c>
      <c r="K22" s="9">
        <f>IFERROR(E22/C22,"")</f>
        <v/>
      </c>
      <c r="L22" s="9">
        <f>IFERROR(F22-G22,"")</f>
        <v/>
      </c>
      <c r="M22" s="9">
        <f>IFERROR(J22-F22,"")</f>
        <v/>
      </c>
      <c r="N22" s="9">
        <f>IFERROR(J22-L22,"")</f>
        <v/>
      </c>
      <c r="O22" s="9">
        <f>IFERROR(J22-H22,"")</f>
        <v/>
      </c>
      <c r="P22" s="9">
        <f>IFERROR(K22-F22,"")</f>
        <v/>
      </c>
      <c r="Q22" s="7" t="n"/>
      <c r="R22" s="7" t="n"/>
      <c r="S22" s="7" t="n"/>
      <c r="T22" s="7" t="n"/>
      <c r="U22" s="7" t="n">
        <v>0.9444444444444444</v>
      </c>
      <c r="V22" s="7" t="n">
        <v>0.9603174603174603</v>
      </c>
      <c r="W22" s="7" t="n"/>
      <c r="X22" s="7" t="n"/>
      <c r="Y22" s="3">
        <f>IF(X22="","",IF(X22&gt;='Léeme'!$B$6,"barato",IF(X22&lt;'Léeme'!$B$7,"caro","medio")))</f>
        <v/>
      </c>
      <c r="Z22" s="11" t="n">
        <v>0.3019381894767394</v>
      </c>
      <c r="AA22" s="11" t="n">
        <v>0.2682090526119467</v>
      </c>
    </row>
    <row r="23">
      <c r="A23" s="3" t="inlineStr">
        <is>
          <t>2000-T1</t>
        </is>
      </c>
      <c r="B23" s="13" t="n">
        <v>36616</v>
      </c>
      <c r="C23" s="14" t="n">
        <v>9.624999000000001</v>
      </c>
      <c r="D23" s="14" t="n">
        <v>1.2285</v>
      </c>
      <c r="E23" s="14" t="n">
        <v>1.086</v>
      </c>
      <c r="F23" s="5" t="n">
        <v>0.0603</v>
      </c>
      <c r="G23" s="5" t="n">
        <v>0.03217972070431085</v>
      </c>
      <c r="H23" s="5" t="n">
        <v>0.08359999999999999</v>
      </c>
      <c r="I23" s="15">
        <f>IFERROR(C23/D23,"")</f>
        <v/>
      </c>
      <c r="J23" s="9">
        <f>IFERROR(D23/C23,"")</f>
        <v/>
      </c>
      <c r="K23" s="9">
        <f>IFERROR(E23/C23,"")</f>
        <v/>
      </c>
      <c r="L23" s="9">
        <f>IFERROR(F23-G23,"")</f>
        <v/>
      </c>
      <c r="M23" s="9">
        <f>IFERROR(J23-F23,"")</f>
        <v/>
      </c>
      <c r="N23" s="9">
        <f>IFERROR(J23-L23,"")</f>
        <v/>
      </c>
      <c r="O23" s="9">
        <f>IFERROR(J23-H23,"")</f>
        <v/>
      </c>
      <c r="P23" s="9">
        <f>IFERROR(K23-F23,"")</f>
        <v/>
      </c>
      <c r="Q23" s="7" t="n">
        <v>0.9864864864864865</v>
      </c>
      <c r="R23" s="7" t="n">
        <v>0.9864864864864865</v>
      </c>
      <c r="S23" s="7" t="n">
        <v>0.9864864864864865</v>
      </c>
      <c r="T23" s="7" t="n">
        <v>0.9864864864864865</v>
      </c>
      <c r="U23" s="7" t="n">
        <v>0.9924242424242424</v>
      </c>
      <c r="V23" s="7" t="n">
        <v>0.9924242424242424</v>
      </c>
      <c r="W23" s="7" t="n"/>
      <c r="X23" s="7" t="n">
        <v>0.9884657384657385</v>
      </c>
      <c r="Y23" s="3">
        <f>IF(X23="","",IF(X23&gt;='Léeme'!$B$6,"barato",IF(X23&lt;'Léeme'!$B$7,"caro","medio")))</f>
        <v/>
      </c>
      <c r="Z23" s="11" t="n">
        <v>0.4809568324164308</v>
      </c>
      <c r="AA23" s="11" t="n">
        <v>0.2579827146160296</v>
      </c>
    </row>
    <row r="24">
      <c r="A24" s="3" t="inlineStr">
        <is>
          <t>2000-T2</t>
        </is>
      </c>
      <c r="B24" s="13" t="n">
        <v>36707</v>
      </c>
      <c r="C24" s="14" t="n">
        <v>11.789062</v>
      </c>
      <c r="D24" s="14" t="n">
        <v>1.2285</v>
      </c>
      <c r="E24" s="14" t="n">
        <v>1.098</v>
      </c>
      <c r="F24" s="5" t="n">
        <v>0.0603</v>
      </c>
      <c r="G24" s="5" t="n">
        <v>0.03132530120481913</v>
      </c>
      <c r="H24" s="5" t="n">
        <v>0.08439999999999999</v>
      </c>
      <c r="I24" s="15">
        <f>IFERROR(C24/D24,"")</f>
        <v/>
      </c>
      <c r="J24" s="9">
        <f>IFERROR(D24/C24,"")</f>
        <v/>
      </c>
      <c r="K24" s="9">
        <f>IFERROR(E24/C24,"")</f>
        <v/>
      </c>
      <c r="L24" s="9">
        <f>IFERROR(F24-G24,"")</f>
        <v/>
      </c>
      <c r="M24" s="9">
        <f>IFERROR(J24-F24,"")</f>
        <v/>
      </c>
      <c r="N24" s="9">
        <f>IFERROR(J24-L24,"")</f>
        <v/>
      </c>
      <c r="O24" s="9">
        <f>IFERROR(J24-H24,"")</f>
        <v/>
      </c>
      <c r="P24" s="9">
        <f>IFERROR(K24-F24,"")</f>
        <v/>
      </c>
      <c r="Q24" s="7" t="n">
        <v>0.7875</v>
      </c>
      <c r="R24" s="7" t="n">
        <v>0.6875</v>
      </c>
      <c r="S24" s="7" t="n">
        <v>0.8625</v>
      </c>
      <c r="T24" s="7" t="n">
        <v>0.6375</v>
      </c>
      <c r="U24" s="7" t="n">
        <v>0.7318840579710145</v>
      </c>
      <c r="V24" s="7" t="n">
        <v>0.7173913043478261</v>
      </c>
      <c r="W24" s="7" t="n"/>
      <c r="X24" s="7" t="n">
        <v>0.7373792270531402</v>
      </c>
      <c r="Y24" s="3">
        <f>IF(X24="","",IF(X24&gt;='Léeme'!$B$6,"barato",IF(X24&lt;'Léeme'!$B$7,"caro","medio")))</f>
        <v/>
      </c>
      <c r="Z24" s="11" t="n">
        <v>0.3448826736995829</v>
      </c>
      <c r="AA24" s="11" t="n">
        <v>0.2279858043039977</v>
      </c>
    </row>
    <row r="25">
      <c r="A25" s="3" t="inlineStr">
        <is>
          <t>2000-T3</t>
        </is>
      </c>
      <c r="B25" s="13" t="n">
        <v>36798</v>
      </c>
      <c r="C25" s="14" t="n">
        <v>11.65625</v>
      </c>
      <c r="D25" s="14" t="n">
        <v>1.2285</v>
      </c>
      <c r="E25" s="14" t="n">
        <v>1.104</v>
      </c>
      <c r="F25" s="5" t="n">
        <v>0.058</v>
      </c>
      <c r="G25" s="5" t="n">
        <v>0.03351286654697772</v>
      </c>
      <c r="H25" s="5" t="n">
        <v>0.0832</v>
      </c>
      <c r="I25" s="15">
        <f>IFERROR(C25/D25,"")</f>
        <v/>
      </c>
      <c r="J25" s="9">
        <f>IFERROR(D25/C25,"")</f>
        <v/>
      </c>
      <c r="K25" s="9">
        <f>IFERROR(E25/C25,"")</f>
        <v/>
      </c>
      <c r="L25" s="9">
        <f>IFERROR(F25-G25,"")</f>
        <v/>
      </c>
      <c r="M25" s="9">
        <f>IFERROR(J25-F25,"")</f>
        <v/>
      </c>
      <c r="N25" s="9">
        <f>IFERROR(J25-L25,"")</f>
        <v/>
      </c>
      <c r="O25" s="9">
        <f>IFERROR(J25-H25,"")</f>
        <v/>
      </c>
      <c r="P25" s="9">
        <f>IFERROR(K25-F25,"")</f>
        <v/>
      </c>
      <c r="Q25" s="7" t="n">
        <v>0.8023255813953488</v>
      </c>
      <c r="R25" s="7" t="n">
        <v>0.8255813953488372</v>
      </c>
      <c r="S25" s="7" t="n">
        <v>0.9186046511627907</v>
      </c>
      <c r="T25" s="7" t="n">
        <v>0.7325581395348837</v>
      </c>
      <c r="U25" s="7" t="n">
        <v>0.7430555555555556</v>
      </c>
      <c r="V25" s="7" t="n">
        <v>0.8680555555555556</v>
      </c>
      <c r="W25" s="7" t="n"/>
      <c r="X25" s="7" t="n">
        <v>0.8150301464254953</v>
      </c>
      <c r="Y25" s="3">
        <f>IF(X25="","",IF(X25&gt;='Léeme'!$B$6,"barato",IF(X25&lt;'Léeme'!$B$7,"caro","medio")))</f>
        <v/>
      </c>
      <c r="Z25" s="11" t="n">
        <v>0.3301886604301039</v>
      </c>
      <c r="AA25" s="11" t="n">
        <v>0.2156805470688963</v>
      </c>
    </row>
    <row r="26">
      <c r="A26" s="3" t="inlineStr">
        <is>
          <t>2000-T4</t>
        </is>
      </c>
      <c r="B26" s="13" t="n">
        <v>36889</v>
      </c>
      <c r="C26" s="14" t="n">
        <v>12.4375</v>
      </c>
      <c r="D26" s="14" t="n">
        <v>1.2285</v>
      </c>
      <c r="E26" s="14" t="n">
        <v>1.11</v>
      </c>
      <c r="F26" s="5" t="n">
        <v>0.0512</v>
      </c>
      <c r="G26" s="5" t="n">
        <v>0.03444180522565321</v>
      </c>
      <c r="H26" s="5" t="n">
        <v>0.0796</v>
      </c>
      <c r="I26" s="15">
        <f>IFERROR(C26/D26,"")</f>
        <v/>
      </c>
      <c r="J26" s="9">
        <f>IFERROR(D26/C26,"")</f>
        <v/>
      </c>
      <c r="K26" s="9">
        <f>IFERROR(E26/C26,"")</f>
        <v/>
      </c>
      <c r="L26" s="9">
        <f>IFERROR(F26-G26,"")</f>
        <v/>
      </c>
      <c r="M26" s="9">
        <f>IFERROR(J26-F26,"")</f>
        <v/>
      </c>
      <c r="N26" s="9">
        <f>IFERROR(J26-L26,"")</f>
        <v/>
      </c>
      <c r="O26" s="9">
        <f>IFERROR(J26-H26,"")</f>
        <v/>
      </c>
      <c r="P26" s="9">
        <f>IFERROR(K26-F26,"")</f>
        <v/>
      </c>
      <c r="Q26" s="7" t="n">
        <v>0.5543478260869565</v>
      </c>
      <c r="R26" s="7" t="n">
        <v>0.7934782608695652</v>
      </c>
      <c r="S26" s="7" t="n">
        <v>0.8804347826086957</v>
      </c>
      <c r="T26" s="7" t="n">
        <v>0.5543478260869565</v>
      </c>
      <c r="U26" s="7" t="n">
        <v>0.5933333333333334</v>
      </c>
      <c r="V26" s="7" t="n">
        <v>0.8866666666666667</v>
      </c>
      <c r="W26" s="7" t="n"/>
      <c r="X26" s="7" t="n">
        <v>0.7104347826086957</v>
      </c>
      <c r="Y26" s="3">
        <f>IF(X26="","",IF(X26&gt;='Léeme'!$B$6,"barato",IF(X26&lt;'Léeme'!$B$7,"caro","medio")))</f>
        <v/>
      </c>
      <c r="Z26" s="11" t="n">
        <v>0.2748567231549837</v>
      </c>
      <c r="AA26" s="11" t="n">
        <v>0.178614120455634</v>
      </c>
    </row>
    <row r="27">
      <c r="A27" s="3" t="inlineStr">
        <is>
          <t>2001-T1</t>
        </is>
      </c>
      <c r="B27" s="13" t="n">
        <v>36980</v>
      </c>
      <c r="C27" s="14" t="n">
        <v>13.249999</v>
      </c>
      <c r="D27" s="14" t="n">
        <v>1.2285</v>
      </c>
      <c r="E27" s="14" t="n">
        <v>1.116</v>
      </c>
      <c r="F27" s="5" t="n">
        <v>0.0493</v>
      </c>
      <c r="G27" s="5" t="n">
        <v>0.03529411764705892</v>
      </c>
      <c r="H27" s="5" t="n">
        <v>0.08</v>
      </c>
      <c r="I27" s="15">
        <f>IFERROR(C27/D27,"")</f>
        <v/>
      </c>
      <c r="J27" s="9">
        <f>IFERROR(D27/C27,"")</f>
        <v/>
      </c>
      <c r="K27" s="9">
        <f>IFERROR(E27/C27,"")</f>
        <v/>
      </c>
      <c r="L27" s="9">
        <f>IFERROR(F27-G27,"")</f>
        <v/>
      </c>
      <c r="M27" s="9">
        <f>IFERROR(J27-F27,"")</f>
        <v/>
      </c>
      <c r="N27" s="9">
        <f>IFERROR(J27-L27,"")</f>
        <v/>
      </c>
      <c r="O27" s="9">
        <f>IFERROR(J27-H27,"")</f>
        <v/>
      </c>
      <c r="P27" s="9">
        <f>IFERROR(K27-F27,"")</f>
        <v/>
      </c>
      <c r="Q27" s="7" t="n">
        <v>0.4387755102040816</v>
      </c>
      <c r="R27" s="7" t="n">
        <v>0.5816326530612245</v>
      </c>
      <c r="S27" s="7" t="n">
        <v>0.826530612244898</v>
      </c>
      <c r="T27" s="7" t="n">
        <v>0.3163265306122449</v>
      </c>
      <c r="U27" s="7" t="n">
        <v>0.4166666666666667</v>
      </c>
      <c r="V27" s="7" t="n">
        <v>0.7756410256410257</v>
      </c>
      <c r="W27" s="7" t="n"/>
      <c r="X27" s="7" t="n">
        <v>0.5592621664050236</v>
      </c>
      <c r="Y27" s="3">
        <f>IF(X27="","",IF(X27&gt;='Léeme'!$B$6,"barato",IF(X27&lt;'Léeme'!$B$7,"caro","medio")))</f>
        <v/>
      </c>
      <c r="Z27" s="11" t="n">
        <v>0.3324270011910631</v>
      </c>
      <c r="AA27" s="11" t="n">
        <v>0.1852244876466671</v>
      </c>
    </row>
    <row r="28">
      <c r="A28" s="3" t="inlineStr">
        <is>
          <t>2001-T2</t>
        </is>
      </c>
      <c r="B28" s="13" t="n">
        <v>37071</v>
      </c>
      <c r="C28" s="14" t="n">
        <v>14.779999</v>
      </c>
      <c r="D28" s="14" t="n">
        <v>1.2585</v>
      </c>
      <c r="E28" s="14" t="n">
        <v>1.128</v>
      </c>
      <c r="F28" s="5" t="n">
        <v>0.0542</v>
      </c>
      <c r="G28" s="5" t="n">
        <v>0.03563084112149539</v>
      </c>
      <c r="H28" s="5" t="n">
        <v>0.0801</v>
      </c>
      <c r="I28" s="15">
        <f>IFERROR(C28/D28,"")</f>
        <v/>
      </c>
      <c r="J28" s="9">
        <f>IFERROR(D28/C28,"")</f>
        <v/>
      </c>
      <c r="K28" s="9">
        <f>IFERROR(E28/C28,"")</f>
        <v/>
      </c>
      <c r="L28" s="9">
        <f>IFERROR(F28-G28,"")</f>
        <v/>
      </c>
      <c r="M28" s="9">
        <f>IFERROR(J28-F28,"")</f>
        <v/>
      </c>
      <c r="N28" s="9">
        <f>IFERROR(J28-L28,"")</f>
        <v/>
      </c>
      <c r="O28" s="9">
        <f>IFERROR(J28-H28,"")</f>
        <v/>
      </c>
      <c r="P28" s="9">
        <f>IFERROR(K28-F28,"")</f>
        <v/>
      </c>
      <c r="Q28" s="7" t="n">
        <v>0.2980769230769231</v>
      </c>
      <c r="R28" s="7" t="n">
        <v>0.3173076923076923</v>
      </c>
      <c r="S28" s="7" t="n">
        <v>0.6057692307692307</v>
      </c>
      <c r="T28" s="7" t="n">
        <v>0.1442307692307692</v>
      </c>
      <c r="U28" s="7" t="n">
        <v>0.2037037037037037</v>
      </c>
      <c r="V28" s="7" t="n">
        <v>0.3271604938271605</v>
      </c>
      <c r="W28" s="7" t="n"/>
      <c r="X28" s="7" t="n">
        <v>0.3160414688192466</v>
      </c>
      <c r="Y28" s="3">
        <f>IF(X28="","",IF(X28&gt;='Léeme'!$B$6,"barato",IF(X28&lt;'Léeme'!$B$7,"caro","medio")))</f>
        <v/>
      </c>
      <c r="Z28" s="11" t="n">
        <v>0.3247217124369359</v>
      </c>
      <c r="AA28" s="11" t="n">
        <v>0.143149175999121</v>
      </c>
    </row>
    <row r="29">
      <c r="A29" s="3" t="inlineStr">
        <is>
          <t>2001-T3</t>
        </is>
      </c>
      <c r="B29" s="13" t="n">
        <v>37162</v>
      </c>
      <c r="C29" s="14" t="n">
        <v>14.500001</v>
      </c>
      <c r="D29" s="14" t="n">
        <v>1.2585</v>
      </c>
      <c r="E29" s="14" t="n">
        <v>1.134</v>
      </c>
      <c r="F29" s="5" t="n">
        <v>0.046</v>
      </c>
      <c r="G29" s="5" t="n">
        <v>0.0272148233931675</v>
      </c>
      <c r="H29" s="5" t="n">
        <v>0.0805</v>
      </c>
      <c r="I29" s="15">
        <f>IFERROR(C29/D29,"")</f>
        <v/>
      </c>
      <c r="J29" s="9">
        <f>IFERROR(D29/C29,"")</f>
        <v/>
      </c>
      <c r="K29" s="9">
        <f>IFERROR(E29/C29,"")</f>
        <v/>
      </c>
      <c r="L29" s="9">
        <f>IFERROR(F29-G29,"")</f>
        <v/>
      </c>
      <c r="M29" s="9">
        <f>IFERROR(J29-F29,"")</f>
        <v/>
      </c>
      <c r="N29" s="9">
        <f>IFERROR(J29-L29,"")</f>
        <v/>
      </c>
      <c r="O29" s="9">
        <f>IFERROR(J29-H29,"")</f>
        <v/>
      </c>
      <c r="P29" s="9">
        <f>IFERROR(K29-F29,"")</f>
        <v/>
      </c>
      <c r="Q29" s="7" t="n">
        <v>0.3</v>
      </c>
      <c r="R29" s="7" t="n">
        <v>0.4636363636363636</v>
      </c>
      <c r="S29" s="7" t="n">
        <v>0.6090909090909091</v>
      </c>
      <c r="T29" s="7" t="n">
        <v>0.1909090909090909</v>
      </c>
      <c r="U29" s="7" t="n">
        <v>0.2321428571428572</v>
      </c>
      <c r="V29" s="7" t="n">
        <v>0.6488095238095238</v>
      </c>
      <c r="W29" s="7" t="n"/>
      <c r="X29" s="7" t="n">
        <v>0.4074314574314575</v>
      </c>
      <c r="Y29" s="3">
        <f>IF(X29="","",IF(X29&gt;='Léeme'!$B$6,"barato",IF(X29&lt;'Léeme'!$B$7,"caro","medio")))</f>
        <v/>
      </c>
      <c r="Z29" s="11" t="n">
        <v>0.2482884794700606</v>
      </c>
      <c r="AA29" s="11" t="n">
        <v>0.1692414294341726</v>
      </c>
    </row>
    <row r="30">
      <c r="A30" s="3" t="inlineStr">
        <is>
          <t>2001-T4</t>
        </is>
      </c>
      <c r="B30" s="13" t="n">
        <v>37256</v>
      </c>
      <c r="C30" s="14" t="n">
        <v>14.7</v>
      </c>
      <c r="D30" s="14" t="n">
        <v>1.2585</v>
      </c>
      <c r="E30" s="14" t="n">
        <v>1.14</v>
      </c>
      <c r="F30" s="5" t="n">
        <v>0.0507</v>
      </c>
      <c r="G30" s="5" t="n">
        <v>0.01894374282433997</v>
      </c>
      <c r="H30" s="5" t="n">
        <v>0.08019999999999999</v>
      </c>
      <c r="I30" s="15">
        <f>IFERROR(C30/D30,"")</f>
        <v/>
      </c>
      <c r="J30" s="9">
        <f>IFERROR(D30/C30,"")</f>
        <v/>
      </c>
      <c r="K30" s="9">
        <f>IFERROR(E30/C30,"")</f>
        <v/>
      </c>
      <c r="L30" s="9">
        <f>IFERROR(F30-G30,"")</f>
        <v/>
      </c>
      <c r="M30" s="9">
        <f>IFERROR(J30-F30,"")</f>
        <v/>
      </c>
      <c r="N30" s="9">
        <f>IFERROR(J30-L30,"")</f>
        <v/>
      </c>
      <c r="O30" s="9">
        <f>IFERROR(J30-H30,"")</f>
        <v/>
      </c>
      <c r="P30" s="9">
        <f>IFERROR(K30-F30,"")</f>
        <v/>
      </c>
      <c r="Q30" s="7" t="n">
        <v>0.2844827586206897</v>
      </c>
      <c r="R30" s="7" t="n">
        <v>0.3189655172413793</v>
      </c>
      <c r="S30" s="7" t="n">
        <v>0.3017241379310345</v>
      </c>
      <c r="T30" s="7" t="n">
        <v>0.146551724137931</v>
      </c>
      <c r="U30" s="7" t="n">
        <v>0.2126436781609195</v>
      </c>
      <c r="V30" s="7" t="n">
        <v>0.4540229885057471</v>
      </c>
      <c r="W30" s="7" t="n"/>
      <c r="X30" s="7" t="n">
        <v>0.2863984674329502</v>
      </c>
      <c r="Y30" s="3">
        <f>IF(X30="","",IF(X30&gt;='Léeme'!$B$6,"barato",IF(X30&lt;'Léeme'!$B$7,"caro","medio")))</f>
        <v/>
      </c>
      <c r="Z30" s="11" t="n">
        <v>0.257339021382788</v>
      </c>
      <c r="AA30" s="11" t="n">
        <v>0.1918130594962815</v>
      </c>
    </row>
    <row r="31">
      <c r="A31" s="3" t="inlineStr">
        <is>
          <t>2002-T1</t>
        </is>
      </c>
      <c r="B31" s="13" t="n">
        <v>37343</v>
      </c>
      <c r="C31" s="14" t="n">
        <v>16.600001</v>
      </c>
      <c r="D31" s="14" t="n">
        <v>1.2585</v>
      </c>
      <c r="E31" s="14" t="n">
        <v>1.146</v>
      </c>
      <c r="F31" s="5" t="n">
        <v>0.0542</v>
      </c>
      <c r="G31" s="5" t="n">
        <v>0.01136363636363646</v>
      </c>
      <c r="H31" s="5" t="n">
        <v>0.08160000000000001</v>
      </c>
      <c r="I31" s="15">
        <f>IFERROR(C31/D31,"")</f>
        <v/>
      </c>
      <c r="J31" s="9">
        <f>IFERROR(D31/C31,"")</f>
        <v/>
      </c>
      <c r="K31" s="9">
        <f>IFERROR(E31/C31,"")</f>
        <v/>
      </c>
      <c r="L31" s="9">
        <f>IFERROR(F31-G31,"")</f>
        <v/>
      </c>
      <c r="M31" s="9">
        <f>IFERROR(J31-F31,"")</f>
        <v/>
      </c>
      <c r="N31" s="9">
        <f>IFERROR(J31-L31,"")</f>
        <v/>
      </c>
      <c r="O31" s="9">
        <f>IFERROR(J31-H31,"")</f>
        <v/>
      </c>
      <c r="P31" s="9">
        <f>IFERROR(K31-F31,"")</f>
        <v/>
      </c>
      <c r="Q31" s="7" t="n">
        <v>0.02459016393442623</v>
      </c>
      <c r="R31" s="7" t="n">
        <v>0.1557377049180328</v>
      </c>
      <c r="S31" s="7" t="n">
        <v>0.00819672131147541</v>
      </c>
      <c r="T31" s="7" t="n">
        <v>0.00819672131147541</v>
      </c>
      <c r="U31" s="7" t="n">
        <v>0.01666666666666667</v>
      </c>
      <c r="V31" s="7" t="n">
        <v>0.1611111111111111</v>
      </c>
      <c r="W31" s="7" t="n"/>
      <c r="X31" s="7" t="n">
        <v>0.06241651487553127</v>
      </c>
      <c r="Y31" s="3">
        <f>IF(X31="","",IF(X31&gt;='Léeme'!$B$6,"barato",IF(X31&lt;'Léeme'!$B$7,"caro","medio")))</f>
        <v/>
      </c>
      <c r="Z31" s="11" t="n">
        <v>0.1366948047918743</v>
      </c>
      <c r="AA31" s="11" t="n">
        <v>0.1624632210818655</v>
      </c>
    </row>
    <row r="32">
      <c r="A32" s="3" t="inlineStr">
        <is>
          <t>2002-T2</t>
        </is>
      </c>
      <c r="B32" s="13" t="n">
        <v>37435</v>
      </c>
      <c r="C32" s="14" t="n">
        <v>18.459999</v>
      </c>
      <c r="D32" s="14" t="n">
        <v>1.3285</v>
      </c>
      <c r="E32" s="14" t="n">
        <v>1.158</v>
      </c>
      <c r="F32" s="5" t="n">
        <v>0.0486</v>
      </c>
      <c r="G32" s="5" t="n">
        <v>0.01240834743372798</v>
      </c>
      <c r="H32" s="5" t="n">
        <v>0.07980000000000001</v>
      </c>
      <c r="I32" s="15">
        <f>IFERROR(C32/D32,"")</f>
        <v/>
      </c>
      <c r="J32" s="9">
        <f>IFERROR(D32/C32,"")</f>
        <v/>
      </c>
      <c r="K32" s="9">
        <f>IFERROR(E32/C32,"")</f>
        <v/>
      </c>
      <c r="L32" s="9">
        <f>IFERROR(F32-G32,"")</f>
        <v/>
      </c>
      <c r="M32" s="9">
        <f>IFERROR(J32-F32,"")</f>
        <v/>
      </c>
      <c r="N32" s="9">
        <f>IFERROR(J32-L32,"")</f>
        <v/>
      </c>
      <c r="O32" s="9">
        <f>IFERROR(J32-H32,"")</f>
        <v/>
      </c>
      <c r="P32" s="9">
        <f>IFERROR(K32-F32,"")</f>
        <v/>
      </c>
      <c r="Q32" s="7" t="n">
        <v>0.0078125</v>
      </c>
      <c r="R32" s="7" t="n">
        <v>0.1796875</v>
      </c>
      <c r="S32" s="7" t="n">
        <v>0.0390625</v>
      </c>
      <c r="T32" s="7" t="n">
        <v>0.0078125</v>
      </c>
      <c r="U32" s="7" t="n">
        <v>0.005376344086021506</v>
      </c>
      <c r="V32" s="7" t="n">
        <v>0.1129032258064516</v>
      </c>
      <c r="W32" s="7" t="n"/>
      <c r="X32" s="7" t="n">
        <v>0.05877576164874552</v>
      </c>
      <c r="Y32" s="3">
        <f>IF(X32="","",IF(X32&gt;='Léeme'!$B$6,"barato",IF(X32&lt;'Léeme'!$B$7,"caro","medio")))</f>
        <v/>
      </c>
      <c r="Z32" s="11" t="n">
        <v>0.1066704574585489</v>
      </c>
      <c r="AA32" s="11" t="n">
        <v>0.1175011699151181</v>
      </c>
    </row>
    <row r="33">
      <c r="A33" s="3" t="inlineStr">
        <is>
          <t>2002-T3</t>
        </is>
      </c>
      <c r="B33" s="13" t="n">
        <v>37529</v>
      </c>
      <c r="C33" s="14" t="n">
        <v>17.075001</v>
      </c>
      <c r="D33" s="14" t="n">
        <v>1.3285</v>
      </c>
      <c r="E33" s="14" t="n">
        <v>1.158</v>
      </c>
      <c r="F33" s="5" t="n">
        <v>0.0363</v>
      </c>
      <c r="G33" s="5" t="n">
        <v>0.01747463359639223</v>
      </c>
      <c r="H33" s="5" t="n">
        <v>0.07400000000000001</v>
      </c>
      <c r="I33" s="15">
        <f>IFERROR(C33/D33,"")</f>
        <v/>
      </c>
      <c r="J33" s="9">
        <f>IFERROR(D33/C33,"")</f>
        <v/>
      </c>
      <c r="K33" s="9">
        <f>IFERROR(E33/C33,"")</f>
        <v/>
      </c>
      <c r="L33" s="9">
        <f>IFERROR(F33-G33,"")</f>
        <v/>
      </c>
      <c r="M33" s="9">
        <f>IFERROR(J33-F33,"")</f>
        <v/>
      </c>
      <c r="N33" s="9">
        <f>IFERROR(J33-L33,"")</f>
        <v/>
      </c>
      <c r="O33" s="9">
        <f>IFERROR(J33-H33,"")</f>
        <v/>
      </c>
      <c r="P33" s="9">
        <f>IFERROR(K33-F33,"")</f>
        <v/>
      </c>
      <c r="Q33" s="7" t="n">
        <v>0.08208955223880597</v>
      </c>
      <c r="R33" s="7" t="n">
        <v>0.5895522388059702</v>
      </c>
      <c r="S33" s="7" t="n">
        <v>0.4552238805970149</v>
      </c>
      <c r="T33" s="7" t="n">
        <v>0.2014925373134328</v>
      </c>
      <c r="U33" s="7" t="n">
        <v>0.02604166666666667</v>
      </c>
      <c r="V33" s="7" t="n">
        <v>0.671875</v>
      </c>
      <c r="W33" s="7" t="n"/>
      <c r="X33" s="7" t="n">
        <v>0.3377124792703151</v>
      </c>
      <c r="Y33" s="3">
        <f>IF(X33="","",IF(X33&gt;='Léeme'!$B$6,"barato",IF(X33&lt;'Léeme'!$B$7,"caro","medio")))</f>
        <v/>
      </c>
      <c r="Z33" s="11" t="n">
        <v>0.2219938765194516</v>
      </c>
      <c r="AA33" s="11" t="n">
        <v>0.1570950667149746</v>
      </c>
    </row>
    <row r="34">
      <c r="A34" s="3" t="inlineStr">
        <is>
          <t>2002-T4</t>
        </is>
      </c>
      <c r="B34" s="13" t="n">
        <v>37621</v>
      </c>
      <c r="C34" s="14" t="n">
        <v>17.499999</v>
      </c>
      <c r="D34" s="14" t="n">
        <v>1.3285</v>
      </c>
      <c r="E34" s="14" t="n">
        <v>1.17</v>
      </c>
      <c r="F34" s="5" t="n">
        <v>0.0383</v>
      </c>
      <c r="G34" s="5" t="n">
        <v>0.0225352112676056</v>
      </c>
      <c r="H34" s="5" t="n">
        <v>0.073</v>
      </c>
      <c r="I34" s="15">
        <f>IFERROR(C34/D34,"")</f>
        <v/>
      </c>
      <c r="J34" s="9">
        <f>IFERROR(D34/C34,"")</f>
        <v/>
      </c>
      <c r="K34" s="9">
        <f>IFERROR(E34/C34,"")</f>
        <v/>
      </c>
      <c r="L34" s="9">
        <f>IFERROR(F34-G34,"")</f>
        <v/>
      </c>
      <c r="M34" s="9">
        <f>IFERROR(J34-F34,"")</f>
        <v/>
      </c>
      <c r="N34" s="9">
        <f>IFERROR(J34-L34,"")</f>
        <v/>
      </c>
      <c r="O34" s="9">
        <f>IFERROR(J34-H34,"")</f>
        <v/>
      </c>
      <c r="P34" s="9">
        <f>IFERROR(K34-F34,"")</f>
        <v/>
      </c>
      <c r="Q34" s="7" t="n">
        <v>0.05</v>
      </c>
      <c r="R34" s="7" t="n">
        <v>0.4357142857142857</v>
      </c>
      <c r="S34" s="7" t="n">
        <v>0.4785714285714286</v>
      </c>
      <c r="T34" s="7" t="n">
        <v>0.1928571428571429</v>
      </c>
      <c r="U34" s="7" t="n">
        <v>0.03535353535353535</v>
      </c>
      <c r="V34" s="7" t="n">
        <v>0.5707070707070707</v>
      </c>
      <c r="W34" s="7" t="n"/>
      <c r="X34" s="7" t="n">
        <v>0.2938672438672439</v>
      </c>
      <c r="Y34" s="3">
        <f>IF(X34="","",IF(X34&gt;='Léeme'!$B$6,"barato",IF(X34&lt;'Léeme'!$B$7,"caro","medio")))</f>
        <v/>
      </c>
      <c r="Z34" s="11" t="n">
        <v>0.2009639872445388</v>
      </c>
      <c r="AA34" s="11" t="n">
        <v>0.1432298276727662</v>
      </c>
    </row>
    <row r="35">
      <c r="A35" s="3" t="inlineStr">
        <is>
          <t>2003-T1</t>
        </is>
      </c>
      <c r="B35" s="13" t="n">
        <v>37711</v>
      </c>
      <c r="C35" s="14" t="n">
        <v>17.874999</v>
      </c>
      <c r="D35" s="14" t="n">
        <v>1.38</v>
      </c>
      <c r="E35" s="14" t="n">
        <v>1.176</v>
      </c>
      <c r="F35" s="5" t="n">
        <v>0.0383</v>
      </c>
      <c r="G35" s="5" t="n">
        <v>0.03146067415730336</v>
      </c>
      <c r="H35" s="5" t="n">
        <v>0.0693</v>
      </c>
      <c r="I35" s="15">
        <f>IFERROR(C35/D35,"")</f>
        <v/>
      </c>
      <c r="J35" s="9">
        <f>IFERROR(D35/C35,"")</f>
        <v/>
      </c>
      <c r="K35" s="9">
        <f>IFERROR(E35/C35,"")</f>
        <v/>
      </c>
      <c r="L35" s="9">
        <f>IFERROR(F35-G35,"")</f>
        <v/>
      </c>
      <c r="M35" s="9">
        <f>IFERROR(J35-F35,"")</f>
        <v/>
      </c>
      <c r="N35" s="9">
        <f>IFERROR(J35-L35,"")</f>
        <v/>
      </c>
      <c r="O35" s="9">
        <f>IFERROR(J35-H35,"")</f>
        <v/>
      </c>
      <c r="P35" s="9">
        <f>IFERROR(K35-F35,"")</f>
        <v/>
      </c>
      <c r="Q35" s="7" t="n">
        <v>0.08904109589041095</v>
      </c>
      <c r="R35" s="7" t="n">
        <v>0.4452054794520548</v>
      </c>
      <c r="S35" s="7" t="n">
        <v>0.7054794520547946</v>
      </c>
      <c r="T35" s="7" t="n">
        <v>0.3904109589041096</v>
      </c>
      <c r="U35" s="7" t="n">
        <v>0.01470588235294118</v>
      </c>
      <c r="V35" s="7" t="n">
        <v>0.5245098039215687</v>
      </c>
      <c r="W35" s="7" t="n">
        <v>0.1216216216216216</v>
      </c>
      <c r="X35" s="7" t="n">
        <v>0.3272820420282145</v>
      </c>
      <c r="Y35" s="3">
        <f>IF(X35="","",IF(X35&gt;='Léeme'!$B$6,"barato",IF(X35&lt;'Léeme'!$B$7,"caro","medio")))</f>
        <v/>
      </c>
      <c r="Z35" s="11" t="n">
        <v>0.3094924332387547</v>
      </c>
      <c r="AA35" s="11" t="n">
        <v>0.1263842973957374</v>
      </c>
    </row>
    <row r="36">
      <c r="A36" s="3" t="inlineStr">
        <is>
          <t>2003-T2</t>
        </is>
      </c>
      <c r="B36" s="13" t="n">
        <v>37802</v>
      </c>
      <c r="C36" s="14" t="n">
        <v>19.039999</v>
      </c>
      <c r="D36" s="14" t="n">
        <v>1.38</v>
      </c>
      <c r="E36" s="14" t="n">
        <v>1.182</v>
      </c>
      <c r="F36" s="5" t="n">
        <v>0.0354</v>
      </c>
      <c r="G36" s="5" t="n">
        <v>0.01894150417827301</v>
      </c>
      <c r="H36" s="5" t="n">
        <v>0.0638</v>
      </c>
      <c r="I36" s="15">
        <f>IFERROR(C36/D36,"")</f>
        <v/>
      </c>
      <c r="J36" s="9">
        <f>IFERROR(D36/C36,"")</f>
        <v/>
      </c>
      <c r="K36" s="9">
        <f>IFERROR(E36/C36,"")</f>
        <v/>
      </c>
      <c r="L36" s="9">
        <f>IFERROR(F36-G36,"")</f>
        <v/>
      </c>
      <c r="M36" s="9">
        <f>IFERROR(J36-F36,"")</f>
        <v/>
      </c>
      <c r="N36" s="9">
        <f>IFERROR(J36-L36,"")</f>
        <v/>
      </c>
      <c r="O36" s="9">
        <f>IFERROR(J36-H36,"")</f>
        <v/>
      </c>
      <c r="P36" s="9">
        <f>IFERROR(K36-F36,"")</f>
        <v/>
      </c>
      <c r="Q36" s="7" t="n">
        <v>0.01973684210526316</v>
      </c>
      <c r="R36" s="7" t="n">
        <v>0.375</v>
      </c>
      <c r="S36" s="7" t="n">
        <v>0.3881578947368421</v>
      </c>
      <c r="T36" s="7" t="n">
        <v>0.4407894736842105</v>
      </c>
      <c r="U36" s="7" t="n">
        <v>0.004761904761904762</v>
      </c>
      <c r="V36" s="7" t="n">
        <v>0.4523809523809524</v>
      </c>
      <c r="W36" s="7" t="n">
        <v>0.0375</v>
      </c>
      <c r="X36" s="7" t="n">
        <v>0.2454752953813104</v>
      </c>
      <c r="Y36" s="3">
        <f>IF(X36="","",IF(X36&gt;='Léeme'!$B$6,"barato",IF(X36&lt;'Léeme'!$B$7,"caro","medio")))</f>
        <v/>
      </c>
      <c r="Z36" s="11" t="n">
        <v>0.1486254703404328</v>
      </c>
      <c r="AA36" s="11" t="n">
        <v>0.08643127227855585</v>
      </c>
    </row>
    <row r="37">
      <c r="A37" s="3" t="inlineStr">
        <is>
          <t>2003-T3</t>
        </is>
      </c>
      <c r="B37" s="13" t="n">
        <v>37894</v>
      </c>
      <c r="C37" s="14" t="n">
        <v>19.825001</v>
      </c>
      <c r="D37" s="14" t="n">
        <v>1.38</v>
      </c>
      <c r="E37" s="14" t="n">
        <v>1.188</v>
      </c>
      <c r="F37" s="5" t="n">
        <v>0.0396</v>
      </c>
      <c r="G37" s="5" t="n">
        <v>0.02216066481994461</v>
      </c>
      <c r="H37" s="5" t="n">
        <v>0.0665</v>
      </c>
      <c r="I37" s="15">
        <f>IFERROR(C37/D37,"")</f>
        <v/>
      </c>
      <c r="J37" s="9">
        <f>IFERROR(D37/C37,"")</f>
        <v/>
      </c>
      <c r="K37" s="9">
        <f>IFERROR(E37/C37,"")</f>
        <v/>
      </c>
      <c r="L37" s="9">
        <f>IFERROR(F37-G37,"")</f>
        <v/>
      </c>
      <c r="M37" s="9">
        <f>IFERROR(J37-F37,"")</f>
        <v/>
      </c>
      <c r="N37" s="9">
        <f>IFERROR(J37-L37,"")</f>
        <v/>
      </c>
      <c r="O37" s="9">
        <f>IFERROR(J37-H37,"")</f>
        <v/>
      </c>
      <c r="P37" s="9">
        <f>IFERROR(K37-F37,"")</f>
        <v/>
      </c>
      <c r="Q37" s="7" t="n">
        <v>0.01265822784810127</v>
      </c>
      <c r="R37" s="7" t="n">
        <v>0.2848101265822785</v>
      </c>
      <c r="S37" s="7" t="n">
        <v>0.3354430379746836</v>
      </c>
      <c r="T37" s="7" t="n">
        <v>0.2215189873417721</v>
      </c>
      <c r="U37" s="7" t="n">
        <v>0.02314814814814815</v>
      </c>
      <c r="V37" s="7" t="n">
        <v>0.2824074074074074</v>
      </c>
      <c r="W37" s="7" t="n">
        <v>0.03488372093023256</v>
      </c>
      <c r="X37" s="7" t="n">
        <v>0.1706956651760891</v>
      </c>
      <c r="Y37" s="3">
        <f>IF(X37="","",IF(X37&gt;='Léeme'!$B$6,"barato",IF(X37&lt;'Léeme'!$B$7,"caro","medio")))</f>
        <v/>
      </c>
      <c r="Z37" s="11" t="n">
        <v>0.190418653581597</v>
      </c>
      <c r="AA37" s="11" t="n">
        <v>0.1036200437829939</v>
      </c>
    </row>
    <row r="38">
      <c r="A38" s="3" t="inlineStr">
        <is>
          <t>2003-T4</t>
        </is>
      </c>
      <c r="B38" s="13" t="n">
        <v>37986</v>
      </c>
      <c r="C38" s="14" t="n">
        <v>20</v>
      </c>
      <c r="D38" s="14" t="n">
        <v>1.38</v>
      </c>
      <c r="E38" s="14" t="n">
        <v>1.2</v>
      </c>
      <c r="F38" s="5" t="n">
        <v>0.04269999999999999</v>
      </c>
      <c r="G38" s="5" t="n">
        <v>0.01928374655647391</v>
      </c>
      <c r="H38" s="5" t="n">
        <v>0.06619999999999999</v>
      </c>
      <c r="I38" s="15">
        <f>IFERROR(C38/D38,"")</f>
        <v/>
      </c>
      <c r="J38" s="9">
        <f>IFERROR(D38/C38,"")</f>
        <v/>
      </c>
      <c r="K38" s="9">
        <f>IFERROR(E38/C38,"")</f>
        <v/>
      </c>
      <c r="L38" s="9">
        <f>IFERROR(F38-G38,"")</f>
        <v/>
      </c>
      <c r="M38" s="9">
        <f>IFERROR(J38-F38,"")</f>
        <v/>
      </c>
      <c r="N38" s="9">
        <f>IFERROR(J38-L38,"")</f>
        <v/>
      </c>
      <c r="O38" s="9">
        <f>IFERROR(J38-H38,"")</f>
        <v/>
      </c>
      <c r="P38" s="9">
        <f>IFERROR(K38-F38,"")</f>
        <v/>
      </c>
      <c r="Q38" s="7" t="n">
        <v>0.01829268292682927</v>
      </c>
      <c r="R38" s="7" t="n">
        <v>0.225609756097561</v>
      </c>
      <c r="S38" s="7" t="n">
        <v>0.2621951219512195</v>
      </c>
      <c r="T38" s="7" t="n">
        <v>0.201219512195122</v>
      </c>
      <c r="U38" s="7" t="n">
        <v>0.04054054054054054</v>
      </c>
      <c r="V38" s="7" t="n">
        <v>0.2297297297297297</v>
      </c>
      <c r="W38" s="7" t="n">
        <v>0.09782608695652174</v>
      </c>
      <c r="X38" s="7" t="n">
        <v>0.1536304900567891</v>
      </c>
      <c r="Y38" s="3">
        <f>IF(X38="","",IF(X38&gt;='Léeme'!$B$6,"barato",IF(X38&lt;'Léeme'!$B$7,"caro","medio")))</f>
        <v/>
      </c>
      <c r="Z38" s="11" t="n">
        <v>0.3236333011754413</v>
      </c>
      <c r="AA38" s="11" t="n">
        <v>0.08051385084893181</v>
      </c>
    </row>
    <row r="39">
      <c r="A39" s="3" t="inlineStr">
        <is>
          <t>2004-T1</t>
        </is>
      </c>
      <c r="B39" s="13" t="n">
        <v>38077</v>
      </c>
      <c r="C39" s="14" t="n">
        <v>22.325</v>
      </c>
      <c r="D39" s="14" t="n">
        <v>1.46</v>
      </c>
      <c r="E39" s="14" t="n">
        <v>1.2</v>
      </c>
      <c r="F39" s="5" t="n">
        <v>0.0386</v>
      </c>
      <c r="G39" s="5" t="n">
        <v>0.01688453159041381</v>
      </c>
      <c r="H39" s="5" t="n">
        <v>0.0619</v>
      </c>
      <c r="I39" s="15">
        <f>IFERROR(C39/D39,"")</f>
        <v/>
      </c>
      <c r="J39" s="9">
        <f>IFERROR(D39/C39,"")</f>
        <v/>
      </c>
      <c r="K39" s="9">
        <f>IFERROR(E39/C39,"")</f>
        <v/>
      </c>
      <c r="L39" s="9">
        <f>IFERROR(F39-G39,"")</f>
        <v/>
      </c>
      <c r="M39" s="9">
        <f>IFERROR(J39-F39,"")</f>
        <v/>
      </c>
      <c r="N39" s="9">
        <f>IFERROR(J39-L39,"")</f>
        <v/>
      </c>
      <c r="O39" s="9">
        <f>IFERROR(J39-H39,"")</f>
        <v/>
      </c>
      <c r="P39" s="9">
        <f>IFERROR(K39-F39,"")</f>
        <v/>
      </c>
      <c r="Q39" s="7" t="n">
        <v>0.005882352941176471</v>
      </c>
      <c r="R39" s="7" t="n">
        <v>0.2647058823529412</v>
      </c>
      <c r="S39" s="7" t="n">
        <v>0.2058823529411765</v>
      </c>
      <c r="T39" s="7" t="n">
        <v>0.2647058823529412</v>
      </c>
      <c r="U39" s="7" t="n">
        <v>0.004385964912280702</v>
      </c>
      <c r="V39" s="7" t="n">
        <v>0.162280701754386</v>
      </c>
      <c r="W39" s="7" t="n">
        <v>0.01020408163265306</v>
      </c>
      <c r="X39" s="7" t="n">
        <v>0.1311496026982222</v>
      </c>
      <c r="Y39" s="3">
        <f>IF(X39="","",IF(X39&gt;='Léeme'!$B$6,"barato",IF(X39&lt;'Léeme'!$B$7,"caro","medio")))</f>
        <v/>
      </c>
      <c r="Z39" s="11" t="n">
        <v>0.07290712009273981</v>
      </c>
      <c r="AA39" s="11" t="n">
        <v>0.0156639314466902</v>
      </c>
    </row>
    <row r="40">
      <c r="A40" s="3" t="inlineStr">
        <is>
          <t>2004-T2</t>
        </is>
      </c>
      <c r="B40" s="13" t="n">
        <v>38168</v>
      </c>
      <c r="C40" s="14" t="n">
        <v>20.865</v>
      </c>
      <c r="D40" s="14" t="n">
        <v>1.46</v>
      </c>
      <c r="E40" s="14" t="n">
        <v>1.218</v>
      </c>
      <c r="F40" s="5" t="n">
        <v>0.0462</v>
      </c>
      <c r="G40" s="5" t="n">
        <v>0.02897758337889544</v>
      </c>
      <c r="H40" s="5" t="n">
        <v>0.06759999999999999</v>
      </c>
      <c r="I40" s="15">
        <f>IFERROR(C40/D40,"")</f>
        <v/>
      </c>
      <c r="J40" s="9">
        <f>IFERROR(D40/C40,"")</f>
        <v/>
      </c>
      <c r="K40" s="9">
        <f>IFERROR(E40/C40,"")</f>
        <v/>
      </c>
      <c r="L40" s="9">
        <f>IFERROR(F40-G40,"")</f>
        <v/>
      </c>
      <c r="M40" s="9">
        <f>IFERROR(J40-F40,"")</f>
        <v/>
      </c>
      <c r="N40" s="9">
        <f>IFERROR(J40-L40,"")</f>
        <v/>
      </c>
      <c r="O40" s="9">
        <f>IFERROR(J40-H40,"")</f>
        <v/>
      </c>
      <c r="P40" s="9">
        <f>IFERROR(K40-F40,"")</f>
        <v/>
      </c>
      <c r="Q40" s="7" t="n">
        <v>0.09659090909090909</v>
      </c>
      <c r="R40" s="7" t="n">
        <v>0.1420454545454546</v>
      </c>
      <c r="S40" s="7" t="n">
        <v>0.4034090909090909</v>
      </c>
      <c r="T40" s="7" t="n">
        <v>0.1761363636363636</v>
      </c>
      <c r="U40" s="7" t="n">
        <v>0.02991452991452992</v>
      </c>
      <c r="V40" s="7" t="n">
        <v>0.0641025641025641</v>
      </c>
      <c r="W40" s="7" t="n">
        <v>0.2596153846153846</v>
      </c>
      <c r="X40" s="7" t="n">
        <v>0.1674020424020424</v>
      </c>
      <c r="Y40" s="3">
        <f>IF(X40="","",IF(X40&gt;='Léeme'!$B$6,"barato",IF(X40&lt;'Léeme'!$B$7,"caro","medio")))</f>
        <v/>
      </c>
      <c r="Z40" s="11" t="n">
        <v>0.2546879316361452</v>
      </c>
      <c r="AA40" s="11" t="n">
        <v>0.06210658670719238</v>
      </c>
    </row>
    <row r="41">
      <c r="A41" s="3" t="inlineStr">
        <is>
          <t>2004-T3</t>
        </is>
      </c>
      <c r="B41" s="13" t="n">
        <v>38260</v>
      </c>
      <c r="C41" s="14" t="n">
        <v>22.515</v>
      </c>
      <c r="D41" s="14" t="n">
        <v>1.46</v>
      </c>
      <c r="E41" s="14" t="n">
        <v>1.308</v>
      </c>
      <c r="F41" s="5" t="n">
        <v>0.0414</v>
      </c>
      <c r="G41" s="5" t="n">
        <v>0.02547425474254728</v>
      </c>
      <c r="H41" s="5" t="n">
        <v>0.0622</v>
      </c>
      <c r="I41" s="15">
        <f>IFERROR(C41/D41,"")</f>
        <v/>
      </c>
      <c r="J41" s="9">
        <f>IFERROR(D41/C41,"")</f>
        <v/>
      </c>
      <c r="K41" s="9">
        <f>IFERROR(E41/C41,"")</f>
        <v/>
      </c>
      <c r="L41" s="9">
        <f>IFERROR(F41-G41,"")</f>
        <v/>
      </c>
      <c r="M41" s="9">
        <f>IFERROR(J41-F41,"")</f>
        <v/>
      </c>
      <c r="N41" s="9">
        <f>IFERROR(J41-L41,"")</f>
        <v/>
      </c>
      <c r="O41" s="9">
        <f>IFERROR(J41-H41,"")</f>
        <v/>
      </c>
      <c r="P41" s="9">
        <f>IFERROR(K41-F41,"")</f>
        <v/>
      </c>
      <c r="Q41" s="7" t="n">
        <v>0.005494505494505495</v>
      </c>
      <c r="R41" s="7" t="n">
        <v>0.1373626373626374</v>
      </c>
      <c r="S41" s="7" t="n">
        <v>0.3351648351648351</v>
      </c>
      <c r="T41" s="7" t="n">
        <v>0.1923076923076923</v>
      </c>
      <c r="U41" s="7" t="n">
        <v>0.02083333333333333</v>
      </c>
      <c r="V41" s="7" t="n">
        <v>0.2291666666666667</v>
      </c>
      <c r="W41" s="7" t="n">
        <v>0.2090909090909091</v>
      </c>
      <c r="X41" s="7" t="n">
        <v>0.1613457970600828</v>
      </c>
      <c r="Y41" s="3">
        <f>IF(X41="","",IF(X41&gt;='Léeme'!$B$6,"barato",IF(X41&lt;'Léeme'!$B$7,"caro","medio")))</f>
        <v/>
      </c>
      <c r="Z41" s="11" t="n">
        <v>0.1096874324017603</v>
      </c>
      <c r="AA41" s="11" t="n">
        <v>0.07982732779316049</v>
      </c>
    </row>
    <row r="42">
      <c r="A42" s="3" t="inlineStr">
        <is>
          <t>2004-T4</t>
        </is>
      </c>
      <c r="B42" s="13" t="n">
        <v>38352</v>
      </c>
      <c r="C42" s="14" t="n">
        <v>25.29</v>
      </c>
      <c r="D42" s="14" t="n">
        <v>1.46</v>
      </c>
      <c r="E42" s="14" t="n">
        <v>1.32</v>
      </c>
      <c r="F42" s="5" t="n">
        <v>0.0424</v>
      </c>
      <c r="G42" s="5" t="n">
        <v>0.03621621621621607</v>
      </c>
      <c r="H42" s="5" t="n">
        <v>0.0616</v>
      </c>
      <c r="I42" s="15">
        <f>IFERROR(C42/D42,"")</f>
        <v/>
      </c>
      <c r="J42" s="9">
        <f>IFERROR(D42/C42,"")</f>
        <v/>
      </c>
      <c r="K42" s="9">
        <f>IFERROR(E42/C42,"")</f>
        <v/>
      </c>
      <c r="L42" s="9">
        <f>IFERROR(F42-G42,"")</f>
        <v/>
      </c>
      <c r="M42" s="9">
        <f>IFERROR(J42-F42,"")</f>
        <v/>
      </c>
      <c r="N42" s="9">
        <f>IFERROR(J42-L42,"")</f>
        <v/>
      </c>
      <c r="O42" s="9">
        <f>IFERROR(J42-H42,"")</f>
        <v/>
      </c>
      <c r="P42" s="9">
        <f>IFERROR(K42-F42,"")</f>
        <v/>
      </c>
      <c r="Q42" s="7" t="n">
        <v>0.005319148936170213</v>
      </c>
      <c r="R42" s="7" t="n">
        <v>0.04787234042553191</v>
      </c>
      <c r="S42" s="7" t="n">
        <v>0.3882978723404255</v>
      </c>
      <c r="T42" s="7" t="n">
        <v>0.03723404255319149</v>
      </c>
      <c r="U42" s="7" t="n">
        <v>0.004065040650406504</v>
      </c>
      <c r="V42" s="7" t="n">
        <v>0.06097560975609756</v>
      </c>
      <c r="W42" s="7" t="n">
        <v>0.008620689655172414</v>
      </c>
      <c r="X42" s="7" t="n">
        <v>0.07891210633099936</v>
      </c>
      <c r="Y42" s="3">
        <f>IF(X42="","",IF(X42&gt;='Léeme'!$B$6,"barato",IF(X42&lt;'Léeme'!$B$7,"caro","medio")))</f>
        <v/>
      </c>
      <c r="Z42" s="11" t="n">
        <v>-0.1048547796712219</v>
      </c>
      <c r="AA42" s="11" t="n">
        <v>0.05783503431026049</v>
      </c>
    </row>
    <row r="43">
      <c r="A43" s="3" t="inlineStr">
        <is>
          <t>2005-T1</t>
        </is>
      </c>
      <c r="B43" s="13" t="n">
        <v>38442</v>
      </c>
      <c r="C43" s="14" t="n">
        <v>22.880001</v>
      </c>
      <c r="D43" s="14" t="n">
        <v>1.5</v>
      </c>
      <c r="E43" s="14" t="n">
        <v>1.332</v>
      </c>
      <c r="F43" s="5" t="n">
        <v>0.045</v>
      </c>
      <c r="G43" s="5" t="n">
        <v>0.03053026245313339</v>
      </c>
      <c r="H43" s="5" t="n">
        <v>0.0617</v>
      </c>
      <c r="I43" s="15">
        <f>IFERROR(C43/D43,"")</f>
        <v/>
      </c>
      <c r="J43" s="9">
        <f>IFERROR(D43/C43,"")</f>
        <v/>
      </c>
      <c r="K43" s="9">
        <f>IFERROR(E43/C43,"")</f>
        <v/>
      </c>
      <c r="L43" s="9">
        <f>IFERROR(F43-G43,"")</f>
        <v/>
      </c>
      <c r="M43" s="9">
        <f>IFERROR(J43-F43,"")</f>
        <v/>
      </c>
      <c r="N43" s="9">
        <f>IFERROR(J43-L43,"")</f>
        <v/>
      </c>
      <c r="O43" s="9">
        <f>IFERROR(J43-H43,"")</f>
        <v/>
      </c>
      <c r="P43" s="9">
        <f>IFERROR(K43-F43,"")</f>
        <v/>
      </c>
      <c r="Q43" s="7" t="n">
        <v>0.07731958762886598</v>
      </c>
      <c r="R43" s="7" t="n">
        <v>0.1082474226804124</v>
      </c>
      <c r="S43" s="7" t="n">
        <v>0.3762886597938144</v>
      </c>
      <c r="T43" s="7" t="n">
        <v>0.3350515463917526</v>
      </c>
      <c r="U43" s="7" t="n">
        <v>0.07539682539682539</v>
      </c>
      <c r="V43" s="7" t="n">
        <v>0.09126984126984126</v>
      </c>
      <c r="W43" s="7" t="n">
        <v>0.4016393442622951</v>
      </c>
      <c r="X43" s="7" t="n">
        <v>0.2093161753462581</v>
      </c>
      <c r="Y43" s="3">
        <f>IF(X43="","",IF(X43&gt;='Léeme'!$B$6,"barato",IF(X43&lt;'Léeme'!$B$7,"caro","medio")))</f>
        <v/>
      </c>
      <c r="Z43" s="11" t="n">
        <v>0.1085996552811181</v>
      </c>
      <c r="AA43" s="11" t="n">
        <v>0.1165291930619941</v>
      </c>
    </row>
    <row r="44">
      <c r="A44" s="3" t="inlineStr">
        <is>
          <t>2005-T2</t>
        </is>
      </c>
      <c r="B44" s="13" t="n">
        <v>38533</v>
      </c>
      <c r="C44" s="14" t="n">
        <v>25.039999</v>
      </c>
      <c r="D44" s="14" t="n">
        <v>1.5</v>
      </c>
      <c r="E44" s="14" t="n">
        <v>1.332</v>
      </c>
      <c r="F44" s="5" t="n">
        <v>0.0394</v>
      </c>
      <c r="G44" s="5" t="n">
        <v>0.02869287991498415</v>
      </c>
      <c r="H44" s="5" t="n">
        <v>0.05860000000000001</v>
      </c>
      <c r="I44" s="15">
        <f>IFERROR(C44/D44,"")</f>
        <v/>
      </c>
      <c r="J44" s="9">
        <f>IFERROR(D44/C44,"")</f>
        <v/>
      </c>
      <c r="K44" s="9">
        <f>IFERROR(E44/C44,"")</f>
        <v/>
      </c>
      <c r="L44" s="9">
        <f>IFERROR(F44-G44,"")</f>
        <v/>
      </c>
      <c r="M44" s="9">
        <f>IFERROR(J44-F44,"")</f>
        <v/>
      </c>
      <c r="N44" s="9">
        <f>IFERROR(J44-L44,"")</f>
        <v/>
      </c>
      <c r="O44" s="9">
        <f>IFERROR(J44-H44,"")</f>
        <v/>
      </c>
      <c r="P44" s="9">
        <f>IFERROR(K44-F44,"")</f>
        <v/>
      </c>
      <c r="Q44" s="7" t="n">
        <v>0.025</v>
      </c>
      <c r="R44" s="7" t="n">
        <v>0.115</v>
      </c>
      <c r="S44" s="7" t="n">
        <v>0.345</v>
      </c>
      <c r="T44" s="7" t="n">
        <v>0.175</v>
      </c>
      <c r="U44" s="7" t="n">
        <v>0.01937984496124031</v>
      </c>
      <c r="V44" s="7" t="n">
        <v>0.1356589147286822</v>
      </c>
      <c r="W44" s="7" t="n">
        <v>0.1328125</v>
      </c>
      <c r="X44" s="7" t="n">
        <v>0.1354073228128461</v>
      </c>
      <c r="Y44" s="3">
        <f>IF(X44="","",IF(X44&gt;='Léeme'!$B$6,"barato",IF(X44&lt;'Léeme'!$B$7,"caro","medio")))</f>
        <v/>
      </c>
      <c r="Z44" s="11" t="n">
        <v>-0.08199073208472329</v>
      </c>
      <c r="AA44" s="11" t="n">
        <v>0.0939531698639775</v>
      </c>
    </row>
    <row r="45">
      <c r="A45" s="3" t="inlineStr">
        <is>
          <t>2005-T3</t>
        </is>
      </c>
      <c r="B45" s="13" t="n">
        <v>38625</v>
      </c>
      <c r="C45" s="14" t="n">
        <v>23.910001</v>
      </c>
      <c r="D45" s="14" t="n">
        <v>1.5</v>
      </c>
      <c r="E45" s="14" t="n">
        <v>1.392</v>
      </c>
      <c r="F45" s="5" t="n">
        <v>0.0434</v>
      </c>
      <c r="G45" s="5" t="n">
        <v>0.03646934460887952</v>
      </c>
      <c r="H45" s="5" t="n">
        <v>0.0612</v>
      </c>
      <c r="I45" s="15">
        <f>IFERROR(C45/D45,"")</f>
        <v/>
      </c>
      <c r="J45" s="9">
        <f>IFERROR(D45/C45,"")</f>
        <v/>
      </c>
      <c r="K45" s="9">
        <f>IFERROR(E45/C45,"")</f>
        <v/>
      </c>
      <c r="L45" s="9">
        <f>IFERROR(F45-G45,"")</f>
        <v/>
      </c>
      <c r="M45" s="9">
        <f>IFERROR(J45-F45,"")</f>
        <v/>
      </c>
      <c r="N45" s="9">
        <f>IFERROR(J45-L45,"")</f>
        <v/>
      </c>
      <c r="O45" s="9">
        <f>IFERROR(J45-H45,"")</f>
        <v/>
      </c>
      <c r="P45" s="9">
        <f>IFERROR(K45-F45,"")</f>
        <v/>
      </c>
      <c r="Q45" s="7" t="n">
        <v>0.0825242718446602</v>
      </c>
      <c r="R45" s="7" t="n">
        <v>0.0825242718446602</v>
      </c>
      <c r="S45" s="7" t="n">
        <v>0.529126213592233</v>
      </c>
      <c r="T45" s="7" t="n">
        <v>0.1990291262135922</v>
      </c>
      <c r="U45" s="7" t="n">
        <v>0.1174242424242424</v>
      </c>
      <c r="V45" s="7" t="n">
        <v>0.2083333333333333</v>
      </c>
      <c r="W45" s="7" t="n">
        <v>0.3805970149253731</v>
      </c>
      <c r="X45" s="7" t="n">
        <v>0.2285083534540135</v>
      </c>
      <c r="Y45" s="3">
        <f>IF(X45="","",IF(X45&gt;='Léeme'!$B$6,"barato",IF(X45&lt;'Léeme'!$B$7,"caro","medio")))</f>
        <v/>
      </c>
      <c r="Z45" s="11" t="n">
        <v>0.08566603051002852</v>
      </c>
      <c r="AA45" s="11" t="n">
        <v>0.1275780177239458</v>
      </c>
    </row>
    <row r="46">
      <c r="A46" s="3" t="inlineStr">
        <is>
          <t>2005-T4</t>
        </is>
      </c>
      <c r="B46" s="13" t="n">
        <v>38716</v>
      </c>
      <c r="C46" s="14" t="n">
        <v>21.619999</v>
      </c>
      <c r="D46" s="14" t="n">
        <v>1.5</v>
      </c>
      <c r="E46" s="14" t="n">
        <v>1.392</v>
      </c>
      <c r="F46" s="5" t="n">
        <v>0.04389999999999999</v>
      </c>
      <c r="G46" s="5" t="n">
        <v>0.03338549817423053</v>
      </c>
      <c r="H46" s="5" t="n">
        <v>0.0619</v>
      </c>
      <c r="I46" s="15">
        <f>IFERROR(C46/D46,"")</f>
        <v/>
      </c>
      <c r="J46" s="9">
        <f>IFERROR(D46/C46,"")</f>
        <v/>
      </c>
      <c r="K46" s="9">
        <f>IFERROR(E46/C46,"")</f>
        <v/>
      </c>
      <c r="L46" s="9">
        <f>IFERROR(F46-G46,"")</f>
        <v/>
      </c>
      <c r="M46" s="9">
        <f>IFERROR(J46-F46,"")</f>
        <v/>
      </c>
      <c r="N46" s="9">
        <f>IFERROR(J46-L46,"")</f>
        <v/>
      </c>
      <c r="O46" s="9">
        <f>IFERROR(J46-H46,"")</f>
        <v/>
      </c>
      <c r="P46" s="9">
        <f>IFERROR(K46-F46,"")</f>
        <v/>
      </c>
      <c r="Q46" s="7" t="n">
        <v>0.2028301886792453</v>
      </c>
      <c r="R46" s="7" t="n">
        <v>0.3443396226415094</v>
      </c>
      <c r="S46" s="7" t="n">
        <v>0.5707547169811321</v>
      </c>
      <c r="T46" s="7" t="n">
        <v>0.5330188679245284</v>
      </c>
      <c r="U46" s="7" t="n">
        <v>0.2481481481481481</v>
      </c>
      <c r="V46" s="7" t="n">
        <v>0.4259259259259259</v>
      </c>
      <c r="W46" s="7" t="n">
        <v>0.7928571428571428</v>
      </c>
      <c r="X46" s="7" t="n">
        <v>0.4454106590225188</v>
      </c>
      <c r="Y46" s="3">
        <f>IF(X46="","",IF(X46&gt;='Léeme'!$B$6,"barato",IF(X46&lt;'Léeme'!$B$7,"caro","medio")))</f>
        <v/>
      </c>
      <c r="Z46" s="11" t="n">
        <v>0.3439934096268851</v>
      </c>
      <c r="AA46" s="11" t="n">
        <v>0.1545927633012969</v>
      </c>
    </row>
    <row r="47">
      <c r="A47" s="3" t="inlineStr">
        <is>
          <t>2006-T1</t>
        </is>
      </c>
      <c r="B47" s="13" t="n">
        <v>38807</v>
      </c>
      <c r="C47" s="14" t="n">
        <v>24.210001</v>
      </c>
      <c r="D47" s="14" t="n">
        <v>1.62</v>
      </c>
      <c r="E47" s="14" t="n">
        <v>1.404</v>
      </c>
      <c r="F47" s="5" t="n">
        <v>0.0486</v>
      </c>
      <c r="G47" s="5" t="n">
        <v>0.0363825363825363</v>
      </c>
      <c r="H47" s="5" t="n">
        <v>0.06559999999999999</v>
      </c>
      <c r="I47" s="15">
        <f>IFERROR(C47/D47,"")</f>
        <v/>
      </c>
      <c r="J47" s="9">
        <f>IFERROR(D47/C47,"")</f>
        <v/>
      </c>
      <c r="K47" s="9">
        <f>IFERROR(E47/C47,"")</f>
        <v/>
      </c>
      <c r="L47" s="9">
        <f>IFERROR(F47-G47,"")</f>
        <v/>
      </c>
      <c r="M47" s="9">
        <f>IFERROR(J47-F47,"")</f>
        <v/>
      </c>
      <c r="N47" s="9">
        <f>IFERROR(J47-L47,"")</f>
        <v/>
      </c>
      <c r="O47" s="9">
        <f>IFERROR(J47-H47,"")</f>
        <v/>
      </c>
      <c r="P47" s="9">
        <f>IFERROR(K47-F47,"")</f>
        <v/>
      </c>
      <c r="Q47" s="7" t="n">
        <v>0.1697247706422018</v>
      </c>
      <c r="R47" s="7" t="n">
        <v>0.07798165137614679</v>
      </c>
      <c r="S47" s="7" t="n">
        <v>0.4908256880733945</v>
      </c>
      <c r="T47" s="7" t="n">
        <v>0.1880733944954129</v>
      </c>
      <c r="U47" s="7" t="n">
        <v>0.09057971014492754</v>
      </c>
      <c r="V47" s="7" t="n">
        <v>0.04710144927536232</v>
      </c>
      <c r="W47" s="7" t="n">
        <v>0.7054794520547946</v>
      </c>
      <c r="X47" s="7" t="n">
        <v>0.2528237308660343</v>
      </c>
      <c r="Y47" s="3">
        <f>IF(X47="","",IF(X47&gt;='Léeme'!$B$6,"barato",IF(X47&lt;'Léeme'!$B$7,"caro","medio")))</f>
        <v/>
      </c>
      <c r="Z47" s="11" t="n">
        <v>0.22053883311744</v>
      </c>
      <c r="AA47" s="11" t="n">
        <v>0.1318259522473779</v>
      </c>
    </row>
    <row r="48">
      <c r="A48" s="3" t="inlineStr">
        <is>
          <t>2006-T2</t>
        </is>
      </c>
      <c r="B48" s="13" t="n">
        <v>38898</v>
      </c>
      <c r="C48" s="14" t="n">
        <v>21.9</v>
      </c>
      <c r="D48" s="14" t="n">
        <v>1.62</v>
      </c>
      <c r="E48" s="14" t="n">
        <v>1.416</v>
      </c>
      <c r="F48" s="5" t="n">
        <v>0.0515</v>
      </c>
      <c r="G48" s="5" t="n">
        <v>0.03977272727272729</v>
      </c>
      <c r="H48" s="5" t="n">
        <v>0.06909999999999999</v>
      </c>
      <c r="I48" s="15">
        <f>IFERROR(C48/D48,"")</f>
        <v/>
      </c>
      <c r="J48" s="9">
        <f>IFERROR(D48/C48,"")</f>
        <v/>
      </c>
      <c r="K48" s="9">
        <f>IFERROR(E48/C48,"")</f>
        <v/>
      </c>
      <c r="L48" s="9">
        <f>IFERROR(F48-G48,"")</f>
        <v/>
      </c>
      <c r="M48" s="9">
        <f>IFERROR(J48-F48,"")</f>
        <v/>
      </c>
      <c r="N48" s="9">
        <f>IFERROR(J48-L48,"")</f>
        <v/>
      </c>
      <c r="O48" s="9">
        <f>IFERROR(J48-H48,"")</f>
        <v/>
      </c>
      <c r="P48" s="9">
        <f>IFERROR(K48-F48,"")</f>
        <v/>
      </c>
      <c r="Q48" s="7" t="n">
        <v>0.3348214285714285</v>
      </c>
      <c r="R48" s="7" t="n">
        <v>0.2366071428571428</v>
      </c>
      <c r="S48" s="7" t="n">
        <v>0.65625</v>
      </c>
      <c r="T48" s="7" t="n">
        <v>0.40625</v>
      </c>
      <c r="U48" s="7" t="n">
        <v>0.2801418439716312</v>
      </c>
      <c r="V48" s="7" t="n">
        <v>0.1170212765957447</v>
      </c>
      <c r="W48" s="7" t="n">
        <v>0.8486842105263158</v>
      </c>
      <c r="X48" s="7" t="n">
        <v>0.4113965575031804</v>
      </c>
      <c r="Y48" s="3">
        <f>IF(X48="","",IF(X48&gt;='Léeme'!$B$6,"barato",IF(X48&lt;'Léeme'!$B$7,"caro","medio")))</f>
        <v/>
      </c>
      <c r="Z48" s="11" t="n">
        <v>0.2036089040798856</v>
      </c>
      <c r="AA48" s="11" t="n">
        <v>0.1443342478440495</v>
      </c>
    </row>
    <row r="49">
      <c r="A49" s="3" t="inlineStr">
        <is>
          <t>2006-T3</t>
        </is>
      </c>
      <c r="B49" s="13" t="n">
        <v>38989</v>
      </c>
      <c r="C49" s="14" t="n">
        <v>24.71</v>
      </c>
      <c r="D49" s="14" t="n">
        <v>1.62</v>
      </c>
      <c r="E49" s="14" t="n">
        <v>1.512</v>
      </c>
      <c r="F49" s="5" t="n">
        <v>0.0464</v>
      </c>
      <c r="G49" s="5" t="n">
        <v>0.03926568077511483</v>
      </c>
      <c r="H49" s="5" t="n">
        <v>0.0636</v>
      </c>
      <c r="I49" s="15">
        <f>IFERROR(C49/D49,"")</f>
        <v/>
      </c>
      <c r="J49" s="9">
        <f>IFERROR(D49/C49,"")</f>
        <v/>
      </c>
      <c r="K49" s="9">
        <f>IFERROR(E49/C49,"")</f>
        <v/>
      </c>
      <c r="L49" s="9">
        <f>IFERROR(F49-G49,"")</f>
        <v/>
      </c>
      <c r="M49" s="9">
        <f>IFERROR(J49-F49,"")</f>
        <v/>
      </c>
      <c r="N49" s="9">
        <f>IFERROR(J49-L49,"")</f>
        <v/>
      </c>
      <c r="O49" s="9">
        <f>IFERROR(J49-H49,"")</f>
        <v/>
      </c>
      <c r="P49" s="9">
        <f>IFERROR(K49-F49,"")</f>
        <v/>
      </c>
      <c r="Q49" s="7" t="n">
        <v>0.1347826086956522</v>
      </c>
      <c r="R49" s="7" t="n">
        <v>0.1</v>
      </c>
      <c r="S49" s="7" t="n">
        <v>0.5347826086956522</v>
      </c>
      <c r="T49" s="7" t="n">
        <v>0.2130434782608696</v>
      </c>
      <c r="U49" s="7" t="n">
        <v>0.2118055555555556</v>
      </c>
      <c r="V49" s="7" t="n">
        <v>0.2326388888888889</v>
      </c>
      <c r="W49" s="7" t="n">
        <v>0.7151898734177216</v>
      </c>
      <c r="X49" s="7" t="n">
        <v>0.3060347162163342</v>
      </c>
      <c r="Y49" s="3">
        <f>IF(X49="","",IF(X49&gt;='Léeme'!$B$6,"barato",IF(X49&lt;'Léeme'!$B$7,"caro","medio")))</f>
        <v/>
      </c>
      <c r="Z49" s="11" t="n">
        <v>0.1835307328576234</v>
      </c>
      <c r="AA49" s="11" t="n">
        <v>0.1172388466117886</v>
      </c>
    </row>
    <row r="50">
      <c r="A50" s="3" t="inlineStr">
        <is>
          <t>2006-T4</t>
        </is>
      </c>
      <c r="B50" s="13" t="n">
        <v>39080</v>
      </c>
      <c r="C50" s="14" t="n">
        <v>27.7</v>
      </c>
      <c r="D50" s="14" t="n">
        <v>1.62</v>
      </c>
      <c r="E50" s="14" t="n">
        <v>1.512</v>
      </c>
      <c r="F50" s="5" t="n">
        <v>0.0471</v>
      </c>
      <c r="G50" s="5" t="n">
        <v>0.01968702675416467</v>
      </c>
      <c r="H50" s="5" t="n">
        <v>0.0635</v>
      </c>
      <c r="I50" s="15">
        <f>IFERROR(C50/D50,"")</f>
        <v/>
      </c>
      <c r="J50" s="9">
        <f>IFERROR(D50/C50,"")</f>
        <v/>
      </c>
      <c r="K50" s="9">
        <f>IFERROR(E50/C50,"")</f>
        <v/>
      </c>
      <c r="L50" s="9">
        <f>IFERROR(F50-G50,"")</f>
        <v/>
      </c>
      <c r="M50" s="9">
        <f>IFERROR(J50-F50,"")</f>
        <v/>
      </c>
      <c r="N50" s="9">
        <f>IFERROR(J50-L50,"")</f>
        <v/>
      </c>
      <c r="O50" s="9">
        <f>IFERROR(J50-H50,"")</f>
        <v/>
      </c>
      <c r="P50" s="9">
        <f>IFERROR(K50-F50,"")</f>
        <v/>
      </c>
      <c r="Q50" s="7" t="n">
        <v>0.01271186440677966</v>
      </c>
      <c r="R50" s="7" t="n">
        <v>0.00423728813559322</v>
      </c>
      <c r="S50" s="7" t="n">
        <v>0.01271186440677966</v>
      </c>
      <c r="T50" s="7" t="n">
        <v>0.0211864406779661</v>
      </c>
      <c r="U50" s="7" t="n">
        <v>0.05102040816326531</v>
      </c>
      <c r="V50" s="7" t="n">
        <v>0.02380952380952381</v>
      </c>
      <c r="W50" s="7" t="n">
        <v>0.3719512195121951</v>
      </c>
      <c r="X50" s="7" t="n">
        <v>0.07108980130172898</v>
      </c>
      <c r="Y50" s="3">
        <f>IF(X50="","",IF(X50&gt;='Léeme'!$B$6,"barato",IF(X50&lt;'Léeme'!$B$7,"caro","medio")))</f>
        <v/>
      </c>
      <c r="Z50" s="11" t="n">
        <v>0.0131899707349834</v>
      </c>
      <c r="AA50" s="11" t="n">
        <v>0.1024585013679744</v>
      </c>
    </row>
    <row r="51">
      <c r="A51" s="3" t="inlineStr">
        <is>
          <t>2007-T1</t>
        </is>
      </c>
      <c r="B51" s="13" t="n">
        <v>39171</v>
      </c>
      <c r="C51" s="14" t="n">
        <v>28.199999</v>
      </c>
      <c r="D51" s="14" t="n">
        <v>1.73</v>
      </c>
      <c r="E51" s="14" t="n">
        <v>1.524</v>
      </c>
      <c r="F51" s="5" t="n">
        <v>0.04650000000000001</v>
      </c>
      <c r="G51" s="5" t="n">
        <v>0.02420260782347028</v>
      </c>
      <c r="H51" s="5" t="n">
        <v>0.0638</v>
      </c>
      <c r="I51" s="15">
        <f>IFERROR(C51/D51,"")</f>
        <v/>
      </c>
      <c r="J51" s="9">
        <f>IFERROR(D51/C51,"")</f>
        <v/>
      </c>
      <c r="K51" s="9">
        <f>IFERROR(E51/C51,"")</f>
        <v/>
      </c>
      <c r="L51" s="9">
        <f>IFERROR(F51-G51,"")</f>
        <v/>
      </c>
      <c r="M51" s="9">
        <f>IFERROR(J51-F51,"")</f>
        <v/>
      </c>
      <c r="N51" s="9">
        <f>IFERROR(J51-L51,"")</f>
        <v/>
      </c>
      <c r="O51" s="9">
        <f>IFERROR(J51-H51,"")</f>
        <v/>
      </c>
      <c r="P51" s="9">
        <f>IFERROR(K51-F51,"")</f>
        <v/>
      </c>
      <c r="Q51" s="7" t="n">
        <v>0.07851239669421488</v>
      </c>
      <c r="R51" s="7" t="n">
        <v>0.05371900826446281</v>
      </c>
      <c r="S51" s="7" t="n">
        <v>0.08677685950413223</v>
      </c>
      <c r="T51" s="7" t="n">
        <v>0.07024793388429752</v>
      </c>
      <c r="U51" s="7" t="n">
        <v>0.04333333333333333</v>
      </c>
      <c r="V51" s="7" t="n">
        <v>0.03666666666666667</v>
      </c>
      <c r="W51" s="7" t="n">
        <v>0.5941176470588235</v>
      </c>
      <c r="X51" s="7" t="n">
        <v>0.1376248350579901</v>
      </c>
      <c r="Y51" s="3">
        <f>IF(X51="","",IF(X51&gt;='Léeme'!$B$6,"barato",IF(X51&lt;'Léeme'!$B$7,"caro","medio")))</f>
        <v/>
      </c>
      <c r="Z51" s="11" t="n">
        <v>-0.04772384987367839</v>
      </c>
      <c r="AA51" s="11" t="n">
        <v>0.119094324770292</v>
      </c>
    </row>
    <row r="52">
      <c r="A52" s="3" t="inlineStr">
        <is>
          <t>2007-T2</t>
        </is>
      </c>
      <c r="B52" s="13" t="n">
        <v>39262</v>
      </c>
      <c r="C52" s="14" t="n">
        <v>25.19</v>
      </c>
      <c r="D52" s="14" t="n">
        <v>1.73</v>
      </c>
      <c r="E52" s="14" t="n">
        <v>1.536</v>
      </c>
      <c r="F52" s="5" t="n">
        <v>0.0503</v>
      </c>
      <c r="G52" s="5" t="n">
        <v>0.02709885742672613</v>
      </c>
      <c r="H52" s="5" t="n">
        <v>0.0672</v>
      </c>
      <c r="I52" s="15">
        <f>IFERROR(C52/D52,"")</f>
        <v/>
      </c>
      <c r="J52" s="9">
        <f>IFERROR(D52/C52,"")</f>
        <v/>
      </c>
      <c r="K52" s="9">
        <f>IFERROR(E52/C52,"")</f>
        <v/>
      </c>
      <c r="L52" s="9">
        <f>IFERROR(F52-G52,"")</f>
        <v/>
      </c>
      <c r="M52" s="9">
        <f>IFERROR(J52-F52,"")</f>
        <v/>
      </c>
      <c r="N52" s="9">
        <f>IFERROR(J52-L52,"")</f>
        <v/>
      </c>
      <c r="O52" s="9">
        <f>IFERROR(J52-H52,"")</f>
        <v/>
      </c>
      <c r="P52" s="9">
        <f>IFERROR(K52-F52,"")</f>
        <v/>
      </c>
      <c r="Q52" s="7" t="n">
        <v>0.2620967741935484</v>
      </c>
      <c r="R52" s="7" t="n">
        <v>0.1411290322580645</v>
      </c>
      <c r="S52" s="7" t="n">
        <v>0.2540322580645161</v>
      </c>
      <c r="T52" s="7" t="n">
        <v>0.2459677419354839</v>
      </c>
      <c r="U52" s="7" t="n">
        <v>0.2450980392156863</v>
      </c>
      <c r="V52" s="7" t="n">
        <v>0.1209150326797386</v>
      </c>
      <c r="W52" s="7" t="n">
        <v>0.8465909090909091</v>
      </c>
      <c r="X52" s="7" t="n">
        <v>0.3022613982054209</v>
      </c>
      <c r="Y52" s="3">
        <f>IF(X52="","",IF(X52&gt;='Léeme'!$B$6,"barato",IF(X52&lt;'Léeme'!$B$7,"caro","medio")))</f>
        <v/>
      </c>
      <c r="Z52" s="11" t="n">
        <v>-0.04320815983125803</v>
      </c>
      <c r="AA52" s="11" t="n">
        <v>0.1615225683629269</v>
      </c>
    </row>
    <row r="53">
      <c r="A53" s="3" t="inlineStr">
        <is>
          <t>2007-T3</t>
        </is>
      </c>
      <c r="B53" s="13" t="n">
        <v>39353</v>
      </c>
      <c r="C53" s="14" t="n">
        <v>27.949999</v>
      </c>
      <c r="D53" s="14" t="n">
        <v>1.73</v>
      </c>
      <c r="E53" s="14" t="n">
        <v>1.632</v>
      </c>
      <c r="F53" s="5" t="n">
        <v>0.0459</v>
      </c>
      <c r="G53" s="5" t="n">
        <v>0.01897448478900876</v>
      </c>
      <c r="H53" s="5" t="n">
        <v>0.0659</v>
      </c>
      <c r="I53" s="15">
        <f>IFERROR(C53/D53,"")</f>
        <v/>
      </c>
      <c r="J53" s="9">
        <f>IFERROR(D53/C53,"")</f>
        <v/>
      </c>
      <c r="K53" s="9">
        <f>IFERROR(E53/C53,"")</f>
        <v/>
      </c>
      <c r="L53" s="9">
        <f>IFERROR(F53-G53,"")</f>
        <v/>
      </c>
      <c r="M53" s="9">
        <f>IFERROR(J53-F53,"")</f>
        <v/>
      </c>
      <c r="N53" s="9">
        <f>IFERROR(J53-L53,"")</f>
        <v/>
      </c>
      <c r="O53" s="9">
        <f>IFERROR(J53-H53,"")</f>
        <v/>
      </c>
      <c r="P53" s="9">
        <f>IFERROR(K53-F53,"")</f>
        <v/>
      </c>
      <c r="Q53" s="7" t="n">
        <v>0.09055118110236221</v>
      </c>
      <c r="R53" s="7" t="n">
        <v>0.1062992125984252</v>
      </c>
      <c r="S53" s="7" t="n">
        <v>0.04330708661417323</v>
      </c>
      <c r="T53" s="7" t="n">
        <v>0.04330708661417323</v>
      </c>
      <c r="U53" s="7" t="n">
        <v>0.1698717948717949</v>
      </c>
      <c r="V53" s="7" t="n">
        <v>0.1506410256410256</v>
      </c>
      <c r="W53" s="7" t="n">
        <v>0.6208791208791209</v>
      </c>
      <c r="X53" s="7" t="n">
        <v>0.174979501188725</v>
      </c>
      <c r="Y53" s="3">
        <f>IF(X53="","",IF(X53&gt;='Léeme'!$B$6,"barato",IF(X53&lt;'Léeme'!$B$7,"caro","medio")))</f>
        <v/>
      </c>
      <c r="Z53" s="11" t="n">
        <v>0.01042410300015351</v>
      </c>
      <c r="AA53" s="11" t="n">
        <v>0.1319980498623439</v>
      </c>
    </row>
    <row r="54">
      <c r="A54" s="3" t="inlineStr">
        <is>
          <t>2007-T4</t>
        </is>
      </c>
      <c r="B54" s="13" t="n">
        <v>39447</v>
      </c>
      <c r="C54" s="14" t="n">
        <v>27.02</v>
      </c>
      <c r="D54" s="14" t="n">
        <v>1.73</v>
      </c>
      <c r="E54" s="14" t="n">
        <v>1.644</v>
      </c>
      <c r="F54" s="5" t="n">
        <v>0.0404</v>
      </c>
      <c r="G54" s="5" t="n">
        <v>0.04373267326732666</v>
      </c>
      <c r="H54" s="5" t="n">
        <v>0.06619999999999999</v>
      </c>
      <c r="I54" s="15">
        <f>IFERROR(C54/D54,"")</f>
        <v/>
      </c>
      <c r="J54" s="9">
        <f>IFERROR(D54/C54,"")</f>
        <v/>
      </c>
      <c r="K54" s="9">
        <f>IFERROR(E54/C54,"")</f>
        <v/>
      </c>
      <c r="L54" s="9">
        <f>IFERROR(F54-G54,"")</f>
        <v/>
      </c>
      <c r="M54" s="9">
        <f>IFERROR(J54-F54,"")</f>
        <v/>
      </c>
      <c r="N54" s="9">
        <f>IFERROR(J54-L54,"")</f>
        <v/>
      </c>
      <c r="O54" s="9">
        <f>IFERROR(J54-H54,"")</f>
        <v/>
      </c>
      <c r="P54" s="9">
        <f>IFERROR(K54-F54,"")</f>
        <v/>
      </c>
      <c r="Q54" s="7" t="n">
        <v>0.1730769230769231</v>
      </c>
      <c r="R54" s="7" t="n">
        <v>0.3730769230769231</v>
      </c>
      <c r="S54" s="7" t="n">
        <v>0.7961538461538461</v>
      </c>
      <c r="T54" s="7" t="n">
        <v>0.1038461538461539</v>
      </c>
      <c r="U54" s="7" t="n">
        <v>0.2610062893081761</v>
      </c>
      <c r="V54" s="7" t="n">
        <v>0.5062893081761006</v>
      </c>
      <c r="W54" s="7" t="n">
        <v>0.7819148936170213</v>
      </c>
      <c r="X54" s="7" t="n">
        <v>0.4279091910364493</v>
      </c>
      <c r="Y54" s="3">
        <f>IF(X54="","",IF(X54&gt;='Léeme'!$B$6,"barato",IF(X54&lt;'Léeme'!$B$7,"caro","medio")))</f>
        <v/>
      </c>
      <c r="Z54" s="11" t="n">
        <v>-0.09423832312518254</v>
      </c>
      <c r="AA54" s="11" t="n">
        <v>0.13531367056134</v>
      </c>
    </row>
    <row r="55">
      <c r="A55" s="3" t="inlineStr">
        <is>
          <t>2008-T1</t>
        </is>
      </c>
      <c r="B55" s="13" t="n">
        <v>39538</v>
      </c>
      <c r="C55" s="14" t="n">
        <v>25.619999</v>
      </c>
      <c r="D55" s="14" t="n">
        <v>1.89</v>
      </c>
      <c r="E55" s="14" t="n">
        <v>1.644</v>
      </c>
      <c r="F55" s="5" t="n">
        <v>0.0345</v>
      </c>
      <c r="G55" s="5" t="n">
        <v>0.04142959270611968</v>
      </c>
      <c r="H55" s="5" t="n">
        <v>0.0694</v>
      </c>
      <c r="I55" s="15">
        <f>IFERROR(C55/D55,"")</f>
        <v/>
      </c>
      <c r="J55" s="9">
        <f>IFERROR(D55/C55,"")</f>
        <v/>
      </c>
      <c r="K55" s="9">
        <f>IFERROR(E55/C55,"")</f>
        <v/>
      </c>
      <c r="L55" s="9">
        <f>IFERROR(F55-G55,"")</f>
        <v/>
      </c>
      <c r="M55" s="9">
        <f>IFERROR(J55-F55,"")</f>
        <v/>
      </c>
      <c r="N55" s="9">
        <f>IFERROR(J55-L55,"")</f>
        <v/>
      </c>
      <c r="O55" s="9">
        <f>IFERROR(J55-H55,"")</f>
        <v/>
      </c>
      <c r="P55" s="9">
        <f>IFERROR(K55-F55,"")</f>
        <v/>
      </c>
      <c r="Q55" s="7" t="n">
        <v>0.424812030075188</v>
      </c>
      <c r="R55" s="7" t="n">
        <v>0.7030075187969925</v>
      </c>
      <c r="S55" s="7" t="n">
        <v>0.9285714285714286</v>
      </c>
      <c r="T55" s="7" t="n">
        <v>0.462406015037594</v>
      </c>
      <c r="U55" s="7" t="n">
        <v>0.3364197530864197</v>
      </c>
      <c r="V55" s="7" t="n">
        <v>0.7376543209876543</v>
      </c>
      <c r="W55" s="7" t="n">
        <v>0.9123711340206185</v>
      </c>
      <c r="X55" s="7" t="n">
        <v>0.6436060286536993</v>
      </c>
      <c r="Y55" s="3">
        <f>IF(X55="","",IF(X55&gt;='Léeme'!$B$6,"barato",IF(X55&lt;'Léeme'!$B$7,"caro","medio")))</f>
        <v/>
      </c>
      <c r="Z55" s="11" t="n">
        <v>-0.2194149925844953</v>
      </c>
      <c r="AA55" s="11" t="n">
        <v>0.174478879052729</v>
      </c>
    </row>
    <row r="56">
      <c r="A56" s="3" t="inlineStr">
        <is>
          <t>2008-T2</t>
        </is>
      </c>
      <c r="B56" s="13" t="n">
        <v>39629</v>
      </c>
      <c r="C56" s="14" t="n">
        <v>22.760001</v>
      </c>
      <c r="D56" s="14" t="n">
        <v>1.89</v>
      </c>
      <c r="E56" s="14" t="n">
        <v>1.656</v>
      </c>
      <c r="F56" s="5" t="n">
        <v>0.0399</v>
      </c>
      <c r="G56" s="5" t="n">
        <v>0.04088413823123993</v>
      </c>
      <c r="H56" s="5" t="n">
        <v>0.0703</v>
      </c>
      <c r="I56" s="15">
        <f>IFERROR(C56/D56,"")</f>
        <v/>
      </c>
      <c r="J56" s="9">
        <f>IFERROR(D56/C56,"")</f>
        <v/>
      </c>
      <c r="K56" s="9">
        <f>IFERROR(E56/C56,"")</f>
        <v/>
      </c>
      <c r="L56" s="9">
        <f>IFERROR(F56-G56,"")</f>
        <v/>
      </c>
      <c r="M56" s="9">
        <f>IFERROR(J56-F56,"")</f>
        <v/>
      </c>
      <c r="N56" s="9">
        <f>IFERROR(J56-L56,"")</f>
        <v/>
      </c>
      <c r="O56" s="9">
        <f>IFERROR(J56-H56,"")</f>
        <v/>
      </c>
      <c r="P56" s="9">
        <f>IFERROR(K56-F56,"")</f>
        <v/>
      </c>
      <c r="Q56" s="7" t="n">
        <v>0.6507352941176471</v>
      </c>
      <c r="R56" s="7" t="n">
        <v>0.8272058823529411</v>
      </c>
      <c r="S56" s="7" t="n">
        <v>0.9595588235294118</v>
      </c>
      <c r="T56" s="7" t="n">
        <v>0.7463235294117647</v>
      </c>
      <c r="U56" s="7" t="n">
        <v>0.5</v>
      </c>
      <c r="V56" s="7" t="n">
        <v>0.8212121212121212</v>
      </c>
      <c r="W56" s="7" t="n">
        <v>0.975</v>
      </c>
      <c r="X56" s="7" t="n">
        <v>0.7828622358034122</v>
      </c>
      <c r="Y56" s="3">
        <f>IF(X56="","",IF(X56&gt;='Léeme'!$B$6,"barato",IF(X56&lt;'Léeme'!$B$7,"caro","medio")))</f>
        <v/>
      </c>
      <c r="Z56" s="11" t="n">
        <v>0.02567002368948912</v>
      </c>
      <c r="AA56" s="11" t="n">
        <v>0.1829164459720281</v>
      </c>
    </row>
    <row r="57">
      <c r="A57" s="3" t="inlineStr">
        <is>
          <t>2008-T3</t>
        </is>
      </c>
      <c r="B57" s="13" t="n">
        <v>39721</v>
      </c>
      <c r="C57" s="14" t="n">
        <v>25.6</v>
      </c>
      <c r="D57" s="14" t="n">
        <v>1.89</v>
      </c>
      <c r="E57" s="14" t="n">
        <v>1.692</v>
      </c>
      <c r="F57" s="5" t="n">
        <v>0.0385</v>
      </c>
      <c r="G57" s="5" t="n">
        <v>0.05308017162091239</v>
      </c>
      <c r="H57" s="5" t="n">
        <v>0.0762</v>
      </c>
      <c r="I57" s="15">
        <f>IFERROR(C57/D57,"")</f>
        <v/>
      </c>
      <c r="J57" s="9">
        <f>IFERROR(D57/C57,"")</f>
        <v/>
      </c>
      <c r="K57" s="9">
        <f>IFERROR(E57/C57,"")</f>
        <v/>
      </c>
      <c r="L57" s="9">
        <f>IFERROR(F57-G57,"")</f>
        <v/>
      </c>
      <c r="M57" s="9">
        <f>IFERROR(J57-F57,"")</f>
        <v/>
      </c>
      <c r="N57" s="9">
        <f>IFERROR(J57-L57,"")</f>
        <v/>
      </c>
      <c r="O57" s="9">
        <f>IFERROR(J57-H57,"")</f>
        <v/>
      </c>
      <c r="P57" s="9">
        <f>IFERROR(K57-F57,"")</f>
        <v/>
      </c>
      <c r="Q57" s="7" t="n">
        <v>0.4280575539568345</v>
      </c>
      <c r="R57" s="7" t="n">
        <v>0.6223021582733813</v>
      </c>
      <c r="S57" s="7" t="n">
        <v>0.9748201438848921</v>
      </c>
      <c r="T57" s="7" t="n">
        <v>0.09712230215827339</v>
      </c>
      <c r="U57" s="7" t="n">
        <v>0.3779761904761905</v>
      </c>
      <c r="V57" s="7" t="n">
        <v>0.6815476190476191</v>
      </c>
      <c r="W57" s="7" t="n">
        <v>0.8883495145631068</v>
      </c>
      <c r="X57" s="7" t="n">
        <v>0.5814536403371855</v>
      </c>
      <c r="Y57" s="3">
        <f>IF(X57="","",IF(X57&gt;='Léeme'!$B$6,"barato",IF(X57&lt;'Léeme'!$B$7,"caro","medio")))</f>
        <v/>
      </c>
      <c r="Z57" s="11" t="n">
        <v>0.06751355240700008</v>
      </c>
      <c r="AA57" s="11" t="n">
        <v>0.1426126238019398</v>
      </c>
    </row>
    <row r="58">
      <c r="A58" s="3" t="inlineStr">
        <is>
          <t>2008-T4</t>
        </is>
      </c>
      <c r="B58" s="13" t="n">
        <v>39813</v>
      </c>
      <c r="C58" s="14" t="n">
        <v>23.15</v>
      </c>
      <c r="D58" s="14" t="n">
        <v>1.89</v>
      </c>
      <c r="E58" s="14" t="n">
        <v>1.704</v>
      </c>
      <c r="F58" s="5" t="n">
        <v>0.0225</v>
      </c>
      <c r="G58" s="5" t="n">
        <v>0.01099917470616685</v>
      </c>
      <c r="H58" s="5" t="n">
        <v>0.07969999999999999</v>
      </c>
      <c r="I58" s="15">
        <f>IFERROR(C58/D58,"")</f>
        <v/>
      </c>
      <c r="J58" s="9">
        <f>IFERROR(D58/C58,"")</f>
        <v/>
      </c>
      <c r="K58" s="9">
        <f>IFERROR(E58/C58,"")</f>
        <v/>
      </c>
      <c r="L58" s="9">
        <f>IFERROR(F58-G58,"")</f>
        <v/>
      </c>
      <c r="M58" s="9">
        <f>IFERROR(J58-F58,"")</f>
        <v/>
      </c>
      <c r="N58" s="9">
        <f>IFERROR(J58-L58,"")</f>
        <v/>
      </c>
      <c r="O58" s="9">
        <f>IFERROR(J58-H58,"")</f>
        <v/>
      </c>
      <c r="P58" s="9">
        <f>IFERROR(K58-F58,"")</f>
        <v/>
      </c>
      <c r="Q58" s="7" t="n">
        <v>0.6232394366197183</v>
      </c>
      <c r="R58" s="7" t="n">
        <v>0.9753521126760564</v>
      </c>
      <c r="S58" s="7" t="n">
        <v>0.7640845070422535</v>
      </c>
      <c r="T58" s="7" t="n">
        <v>0.2781690140845071</v>
      </c>
      <c r="U58" s="7" t="n">
        <v>0.5233918128654971</v>
      </c>
      <c r="V58" s="7" t="n">
        <v>0.9853801169590644</v>
      </c>
      <c r="W58" s="7" t="n">
        <v>0.9386792452830188</v>
      </c>
      <c r="X58" s="7" t="n">
        <v>0.7268994636471593</v>
      </c>
      <c r="Y58" s="3">
        <f>IF(X58="","",IF(X58&gt;='Léeme'!$B$6,"barato",IF(X58&lt;'Léeme'!$B$7,"caro","medio")))</f>
        <v/>
      </c>
      <c r="Z58" s="11" t="n">
        <v>0.1904351024884861</v>
      </c>
      <c r="AA58" s="11" t="n">
        <v>0.1502648888977229</v>
      </c>
    </row>
    <row r="59">
      <c r="A59" s="3" t="inlineStr">
        <is>
          <t>2009-T1</t>
        </is>
      </c>
      <c r="B59" s="13" t="n">
        <v>39903</v>
      </c>
      <c r="C59" s="14" t="n">
        <v>18.820001</v>
      </c>
      <c r="D59" s="14" t="n">
        <v>1.83</v>
      </c>
      <c r="E59" s="14" t="n">
        <v>1.704</v>
      </c>
      <c r="F59" s="5" t="n">
        <v>0.0271</v>
      </c>
      <c r="G59" s="5" t="n">
        <v>8.463140671510772e-05</v>
      </c>
      <c r="H59" s="5" t="n">
        <v>0.0848</v>
      </c>
      <c r="I59" s="15">
        <f>IFERROR(C59/D59,"")</f>
        <v/>
      </c>
      <c r="J59" s="9">
        <f>IFERROR(D59/C59,"")</f>
        <v/>
      </c>
      <c r="K59" s="9">
        <f>IFERROR(E59/C59,"")</f>
        <v/>
      </c>
      <c r="L59" s="9">
        <f>IFERROR(F59-G59,"")</f>
        <v/>
      </c>
      <c r="M59" s="9">
        <f>IFERROR(J59-F59,"")</f>
        <v/>
      </c>
      <c r="N59" s="9">
        <f>IFERROR(J59-L59,"")</f>
        <v/>
      </c>
      <c r="O59" s="9">
        <f>IFERROR(J59-H59,"")</f>
        <v/>
      </c>
      <c r="P59" s="9">
        <f>IFERROR(K59-F59,"")</f>
        <v/>
      </c>
      <c r="Q59" s="7" t="n">
        <v>0.8172413793103448</v>
      </c>
      <c r="R59" s="7" t="n">
        <v>0.9896551724137931</v>
      </c>
      <c r="S59" s="7" t="n">
        <v>0.7620689655172413</v>
      </c>
      <c r="T59" s="7" t="n">
        <v>0.7344827586206897</v>
      </c>
      <c r="U59" s="7" t="n">
        <v>0.8304597701149425</v>
      </c>
      <c r="V59" s="7" t="n">
        <v>0.9913793103448276</v>
      </c>
      <c r="W59" s="7" t="n">
        <v>0.9770642201834863</v>
      </c>
      <c r="X59" s="7" t="n">
        <v>0.8717645109293322</v>
      </c>
      <c r="Y59" s="3">
        <f>IF(X59="","",IF(X59&gt;='Léeme'!$B$6,"barato",IF(X59&lt;'Léeme'!$B$7,"caro","medio")))</f>
        <v/>
      </c>
      <c r="Z59" s="11" t="n">
        <v>0.7225125364393747</v>
      </c>
      <c r="AA59" s="11" t="n">
        <v>0.2187231023845235</v>
      </c>
    </row>
    <row r="60">
      <c r="A60" s="3" t="inlineStr">
        <is>
          <t>2009-T2</t>
        </is>
      </c>
      <c r="B60" s="13" t="n">
        <v>39994</v>
      </c>
      <c r="C60" s="14" t="n">
        <v>21.920001</v>
      </c>
      <c r="D60" s="14" t="n">
        <v>1.83</v>
      </c>
      <c r="E60" s="14" t="n">
        <v>1.704</v>
      </c>
      <c r="F60" s="5" t="n">
        <v>0.0353</v>
      </c>
      <c r="G60" s="5" t="n">
        <v>-0.01015761495855172</v>
      </c>
      <c r="H60" s="5" t="n">
        <v>0.07200000000000001</v>
      </c>
      <c r="I60" s="15">
        <f>IFERROR(C60/D60,"")</f>
        <v/>
      </c>
      <c r="J60" s="9">
        <f>IFERROR(D60/C60,"")</f>
        <v/>
      </c>
      <c r="K60" s="9">
        <f>IFERROR(E60/C60,"")</f>
        <v/>
      </c>
      <c r="L60" s="9">
        <f>IFERROR(F60-G60,"")</f>
        <v/>
      </c>
      <c r="M60" s="9">
        <f>IFERROR(J60-F60,"")</f>
        <v/>
      </c>
      <c r="N60" s="9">
        <f>IFERROR(J60-L60,"")</f>
        <v/>
      </c>
      <c r="O60" s="9">
        <f>IFERROR(J60-H60,"")</f>
        <v/>
      </c>
      <c r="P60" s="9">
        <f>IFERROR(K60-F60,"")</f>
        <v/>
      </c>
      <c r="Q60" s="7" t="n">
        <v>0.6452702702702703</v>
      </c>
      <c r="R60" s="7" t="n">
        <v>0.8885135135135135</v>
      </c>
      <c r="S60" s="7" t="n">
        <v>0.06418918918918919</v>
      </c>
      <c r="T60" s="7" t="n">
        <v>0.7263513513513513</v>
      </c>
      <c r="U60" s="7" t="n">
        <v>0.5847457627118644</v>
      </c>
      <c r="V60" s="7" t="n">
        <v>0.9463276836158192</v>
      </c>
      <c r="W60" s="7" t="n">
        <v>0.9330357142857143</v>
      </c>
      <c r="X60" s="7" t="n">
        <v>0.6840619264196747</v>
      </c>
      <c r="Y60" s="3">
        <f>IF(X60="","",IF(X60&gt;='Léeme'!$B$6,"barato",IF(X60&lt;'Léeme'!$B$7,"caro","medio")))</f>
        <v/>
      </c>
      <c r="Z60" s="11" t="n">
        <v>0.4544167421528582</v>
      </c>
      <c r="AA60" s="11" t="n">
        <v>0.2007030351875578</v>
      </c>
    </row>
    <row r="61">
      <c r="A61" s="3" t="inlineStr">
        <is>
          <t>2009-T3</t>
        </is>
      </c>
      <c r="B61" s="13" t="n">
        <v>40086</v>
      </c>
      <c r="C61" s="14" t="n">
        <v>25.649999</v>
      </c>
      <c r="D61" s="14" t="n">
        <v>1.83</v>
      </c>
      <c r="E61" s="14" t="n">
        <v>1.716</v>
      </c>
      <c r="F61" s="5" t="n">
        <v>0.0331</v>
      </c>
      <c r="G61" s="5" t="n">
        <v>-0.01483835566326763</v>
      </c>
      <c r="H61" s="5" t="n">
        <v>0.0612</v>
      </c>
      <c r="I61" s="15">
        <f>IFERROR(C61/D61,"")</f>
        <v/>
      </c>
      <c r="J61" s="9">
        <f>IFERROR(D61/C61,"")</f>
        <v/>
      </c>
      <c r="K61" s="9">
        <f>IFERROR(E61/C61,"")</f>
        <v/>
      </c>
      <c r="L61" s="9">
        <f>IFERROR(F61-G61,"")</f>
        <v/>
      </c>
      <c r="M61" s="9">
        <f>IFERROR(J61-F61,"")</f>
        <v/>
      </c>
      <c r="N61" s="9">
        <f>IFERROR(J61-L61,"")</f>
        <v/>
      </c>
      <c r="O61" s="9">
        <f>IFERROR(J61-H61,"")</f>
        <v/>
      </c>
      <c r="P61" s="9">
        <f>IFERROR(K61-F61,"")</f>
        <v/>
      </c>
      <c r="Q61" s="7" t="n">
        <v>0.3211920529801324</v>
      </c>
      <c r="R61" s="7" t="n">
        <v>0.6258278145695364</v>
      </c>
      <c r="S61" s="7" t="n">
        <v>0.009933774834437087</v>
      </c>
      <c r="T61" s="7" t="n">
        <v>0.6986754966887417</v>
      </c>
      <c r="U61" s="7" t="n">
        <v>0.3805555555555555</v>
      </c>
      <c r="V61" s="7" t="n">
        <v>0.8083333333333333</v>
      </c>
      <c r="W61" s="7" t="n">
        <v>0.7347826086956522</v>
      </c>
      <c r="X61" s="7" t="n">
        <v>0.511328662379627</v>
      </c>
      <c r="Y61" s="3">
        <f>IF(X61="","",IF(X61&gt;='Léeme'!$B$6,"barato",IF(X61&lt;'Léeme'!$B$7,"caro","medio")))</f>
        <v/>
      </c>
      <c r="Z61" s="11" t="n">
        <v>0.3777236062290861</v>
      </c>
      <c r="AA61" s="11" t="n">
        <v>0.1431112447344309</v>
      </c>
    </row>
    <row r="62">
      <c r="A62" s="3" t="inlineStr">
        <is>
          <t>2009-T4</t>
        </is>
      </c>
      <c r="B62" s="13" t="n">
        <v>40178</v>
      </c>
      <c r="C62" s="14" t="n">
        <v>25.909999</v>
      </c>
      <c r="D62" s="14" t="n">
        <v>1.83</v>
      </c>
      <c r="E62" s="14" t="n">
        <v>1.716</v>
      </c>
      <c r="F62" s="5" t="n">
        <v>0.0385</v>
      </c>
      <c r="G62" s="5" t="n">
        <v>0.01914587174470928</v>
      </c>
      <c r="H62" s="5" t="n">
        <v>0.0636</v>
      </c>
      <c r="I62" s="15">
        <f>IFERROR(C62/D62,"")</f>
        <v/>
      </c>
      <c r="J62" s="9">
        <f>IFERROR(D62/C62,"")</f>
        <v/>
      </c>
      <c r="K62" s="9">
        <f>IFERROR(E62/C62,"")</f>
        <v/>
      </c>
      <c r="L62" s="9">
        <f>IFERROR(F62-G62,"")</f>
        <v/>
      </c>
      <c r="M62" s="9">
        <f>IFERROR(J62-F62,"")</f>
        <v/>
      </c>
      <c r="N62" s="9">
        <f>IFERROR(J62-L62,"")</f>
        <v/>
      </c>
      <c r="O62" s="9">
        <f>IFERROR(J62-H62,"")</f>
        <v/>
      </c>
      <c r="P62" s="9">
        <f>IFERROR(K62-F62,"")</f>
        <v/>
      </c>
      <c r="Q62" s="7" t="n">
        <v>0.301948051948052</v>
      </c>
      <c r="R62" s="7" t="n">
        <v>0.4967532467532468</v>
      </c>
      <c r="S62" s="7" t="n">
        <v>0.3863636363636364</v>
      </c>
      <c r="T62" s="7" t="n">
        <v>0.5876623376623377</v>
      </c>
      <c r="U62" s="7" t="n">
        <v>0.3524590163934426</v>
      </c>
      <c r="V62" s="7" t="n">
        <v>0.6311475409836066</v>
      </c>
      <c r="W62" s="7" t="n">
        <v>0.6822033898305084</v>
      </c>
      <c r="X62" s="7" t="n">
        <v>0.4912196028478329</v>
      </c>
      <c r="Y62" s="3">
        <f>IF(X62="","",IF(X62&gt;='Léeme'!$B$6,"barato",IF(X62&lt;'Léeme'!$B$7,"caro","medio")))</f>
        <v/>
      </c>
      <c r="Z62" s="11" t="n">
        <v>0.3781273995344667</v>
      </c>
      <c r="AA62" s="11" t="n">
        <v>0.1760659732532186</v>
      </c>
    </row>
    <row r="63">
      <c r="A63" s="3" t="inlineStr">
        <is>
          <t>2010-T1</t>
        </is>
      </c>
      <c r="B63" s="13" t="n">
        <v>40268</v>
      </c>
      <c r="C63" s="14" t="n">
        <v>30.690001</v>
      </c>
      <c r="D63" s="14" t="n">
        <v>1.84</v>
      </c>
      <c r="E63" s="14" t="n">
        <v>1.716</v>
      </c>
      <c r="F63" s="5" t="n">
        <v>0.0384</v>
      </c>
      <c r="G63" s="5" t="n">
        <v>0.02151336357866529</v>
      </c>
      <c r="H63" s="5" t="n">
        <v>0.0636</v>
      </c>
      <c r="I63" s="15">
        <f>IFERROR(C63/D63,"")</f>
        <v/>
      </c>
      <c r="J63" s="9">
        <f>IFERROR(D63/C63,"")</f>
        <v/>
      </c>
      <c r="K63" s="9">
        <f>IFERROR(E63/C63,"")</f>
        <v/>
      </c>
      <c r="L63" s="9">
        <f>IFERROR(F63-G63,"")</f>
        <v/>
      </c>
      <c r="M63" s="9">
        <f>IFERROR(J63-F63,"")</f>
        <v/>
      </c>
      <c r="N63" s="9">
        <f>IFERROR(J63-L63,"")</f>
        <v/>
      </c>
      <c r="O63" s="9">
        <f>IFERROR(J63-H63,"")</f>
        <v/>
      </c>
      <c r="P63" s="9">
        <f>IFERROR(K63-F63,"")</f>
        <v/>
      </c>
      <c r="Q63" s="7" t="n">
        <v>0.04777070063694268</v>
      </c>
      <c r="R63" s="7" t="n">
        <v>0.2579617834394904</v>
      </c>
      <c r="S63" s="7" t="n">
        <v>0.2070063694267516</v>
      </c>
      <c r="T63" s="7" t="n">
        <v>0.06050955414012739</v>
      </c>
      <c r="U63" s="7" t="n">
        <v>0.09408602150537634</v>
      </c>
      <c r="V63" s="7" t="n">
        <v>0.3682795698924731</v>
      </c>
      <c r="W63" s="7" t="n">
        <v>0.3181818181818182</v>
      </c>
      <c r="X63" s="7" t="n">
        <v>0.1933994024604257</v>
      </c>
      <c r="Y63" s="3">
        <f>IF(X63="","",IF(X63&gt;='Léeme'!$B$6,"barato",IF(X63&lt;'Léeme'!$B$7,"caro","medio")))</f>
        <v/>
      </c>
      <c r="Z63" s="11" t="n">
        <v>0.186649785269406</v>
      </c>
      <c r="AA63" s="11" t="n">
        <v>0.1541447896032682</v>
      </c>
    </row>
    <row r="64">
      <c r="A64" s="3" t="inlineStr">
        <is>
          <t>2010-T2</t>
        </is>
      </c>
      <c r="B64" s="13" t="n">
        <v>40359</v>
      </c>
      <c r="C64" s="14" t="n">
        <v>30.330001</v>
      </c>
      <c r="D64" s="14" t="n">
        <v>1.84</v>
      </c>
      <c r="E64" s="14" t="n">
        <v>1.728</v>
      </c>
      <c r="F64" s="5" t="n">
        <v>0.0297</v>
      </c>
      <c r="G64" s="5" t="n">
        <v>0.02003548929218568</v>
      </c>
      <c r="H64" s="5" t="n">
        <v>0.0609</v>
      </c>
      <c r="I64" s="15">
        <f>IFERROR(C64/D64,"")</f>
        <v/>
      </c>
      <c r="J64" s="9">
        <f>IFERROR(D64/C64,"")</f>
        <v/>
      </c>
      <c r="K64" s="9">
        <f>IFERROR(E64/C64,"")</f>
        <v/>
      </c>
      <c r="L64" s="9">
        <f>IFERROR(F64-G64,"")</f>
        <v/>
      </c>
      <c r="M64" s="9">
        <f>IFERROR(J64-F64,"")</f>
        <v/>
      </c>
      <c r="N64" s="9">
        <f>IFERROR(J64-L64,"")</f>
        <v/>
      </c>
      <c r="O64" s="9">
        <f>IFERROR(J64-H64,"")</f>
        <v/>
      </c>
      <c r="P64" s="9">
        <f>IFERROR(K64-F64,"")</f>
        <v/>
      </c>
      <c r="Q64" s="7" t="n">
        <v>0.07187499999999999</v>
      </c>
      <c r="R64" s="7" t="n">
        <v>0.503125</v>
      </c>
      <c r="S64" s="7" t="n">
        <v>0.384375</v>
      </c>
      <c r="T64" s="7" t="n">
        <v>0.184375</v>
      </c>
      <c r="U64" s="7" t="n">
        <v>0.119047619047619</v>
      </c>
      <c r="V64" s="7" t="n">
        <v>0.6111111111111112</v>
      </c>
      <c r="W64" s="7" t="n">
        <v>0.375</v>
      </c>
      <c r="X64" s="7" t="n">
        <v>0.3212726757369614</v>
      </c>
      <c r="Y64" s="3">
        <f>IF(X64="","",IF(X64&gt;='Léeme'!$B$6,"barato",IF(X64&lt;'Léeme'!$B$7,"caro","medio")))</f>
        <v/>
      </c>
      <c r="Z64" s="11" t="n">
        <v>0.149788311525801</v>
      </c>
      <c r="AA64" s="11" t="n">
        <v>0.1223967940091748</v>
      </c>
    </row>
    <row r="65">
      <c r="A65" s="3" t="inlineStr">
        <is>
          <t>2010-T3</t>
        </is>
      </c>
      <c r="B65" s="13" t="n">
        <v>40451</v>
      </c>
      <c r="C65" s="14" t="n">
        <v>33.720001</v>
      </c>
      <c r="D65" s="14" t="n">
        <v>1.84</v>
      </c>
      <c r="E65" s="14" t="n">
        <v>1.728</v>
      </c>
      <c r="F65" s="5" t="n">
        <v>0.0253</v>
      </c>
      <c r="G65" s="5" t="n">
        <v>0.01150177539511255</v>
      </c>
      <c r="H65" s="5" t="n">
        <v>0.0558</v>
      </c>
      <c r="I65" s="15">
        <f>IFERROR(C65/D65,"")</f>
        <v/>
      </c>
      <c r="J65" s="9">
        <f>IFERROR(D65/C65,"")</f>
        <v/>
      </c>
      <c r="K65" s="9">
        <f>IFERROR(E65/C65,"")</f>
        <v/>
      </c>
      <c r="L65" s="9">
        <f>IFERROR(F65-G65,"")</f>
        <v/>
      </c>
      <c r="M65" s="9">
        <f>IFERROR(J65-F65,"")</f>
        <v/>
      </c>
      <c r="N65" s="9">
        <f>IFERROR(J65-L65,"")</f>
        <v/>
      </c>
      <c r="O65" s="9">
        <f>IFERROR(J65-H65,"")</f>
        <v/>
      </c>
      <c r="P65" s="9">
        <f>IFERROR(K65-F65,"")</f>
        <v/>
      </c>
      <c r="Q65" s="7" t="n">
        <v>0.003067484662576687</v>
      </c>
      <c r="R65" s="7" t="n">
        <v>0.4693251533742331</v>
      </c>
      <c r="S65" s="7" t="n">
        <v>0.1503067484662577</v>
      </c>
      <c r="T65" s="7" t="n">
        <v>0.1503067484662577</v>
      </c>
      <c r="U65" s="7" t="n">
        <v>0.002604166666666667</v>
      </c>
      <c r="V65" s="7" t="n">
        <v>0.5598958333333334</v>
      </c>
      <c r="W65" s="7" t="n">
        <v>0.08267716535433071</v>
      </c>
      <c r="X65" s="7" t="n">
        <v>0.2025976143319508</v>
      </c>
      <c r="Y65" s="3">
        <f>IF(X65="","",IF(X65&gt;='Léeme'!$B$6,"barato",IF(X65&lt;'Léeme'!$B$7,"caro","medio")))</f>
        <v/>
      </c>
      <c r="Z65" s="11" t="n">
        <v>-0.00457687232665005</v>
      </c>
      <c r="AA65" s="11" t="n">
        <v>0.1131383339207104</v>
      </c>
    </row>
    <row r="66">
      <c r="A66" s="3" t="inlineStr">
        <is>
          <t>2010-T4</t>
        </is>
      </c>
      <c r="B66" s="13" t="n">
        <v>40543</v>
      </c>
      <c r="C66" s="14" t="n">
        <v>34.199999</v>
      </c>
      <c r="D66" s="14" t="n">
        <v>1.84</v>
      </c>
      <c r="E66" s="14" t="n">
        <v>1.728</v>
      </c>
      <c r="F66" s="5" t="n">
        <v>0.033</v>
      </c>
      <c r="G66" s="5" t="n">
        <v>0.01084544776600338</v>
      </c>
      <c r="H66" s="5" t="n">
        <v>0.0607</v>
      </c>
      <c r="I66" s="15">
        <f>IFERROR(C66/D66,"")</f>
        <v/>
      </c>
      <c r="J66" s="9">
        <f>IFERROR(D66/C66,"")</f>
        <v/>
      </c>
      <c r="K66" s="9">
        <f>IFERROR(E66/C66,"")</f>
        <v/>
      </c>
      <c r="L66" s="9">
        <f>IFERROR(F66-G66,"")</f>
        <v/>
      </c>
      <c r="M66" s="9">
        <f>IFERROR(J66-F66,"")</f>
        <v/>
      </c>
      <c r="N66" s="9">
        <f>IFERROR(J66-L66,"")</f>
        <v/>
      </c>
      <c r="O66" s="9">
        <f>IFERROR(J66-H66,"")</f>
        <v/>
      </c>
      <c r="P66" s="9">
        <f>IFERROR(K66-F66,"")</f>
        <v/>
      </c>
      <c r="Q66" s="7" t="n">
        <v>0.009036144578313253</v>
      </c>
      <c r="R66" s="7" t="n">
        <v>0.2078313253012048</v>
      </c>
      <c r="S66" s="7" t="n">
        <v>0.0391566265060241</v>
      </c>
      <c r="T66" s="7" t="n">
        <v>0.02108433734939759</v>
      </c>
      <c r="U66" s="7" t="n">
        <v>0.007692307692307693</v>
      </c>
      <c r="V66" s="7" t="n">
        <v>0.3615384615384615</v>
      </c>
      <c r="W66" s="7" t="n">
        <v>0.06538461538461539</v>
      </c>
      <c r="X66" s="7" t="n">
        <v>0.1016748311929035</v>
      </c>
      <c r="Y66" s="3">
        <f>IF(X66="","",IF(X66&gt;='Léeme'!$B$6,"barato",IF(X66&lt;'Léeme'!$B$7,"caro","medio")))</f>
        <v/>
      </c>
      <c r="Z66" s="11" t="n">
        <v>0.06447402758439935</v>
      </c>
      <c r="AA66" s="11" t="n">
        <v>0.1289630017079189</v>
      </c>
    </row>
    <row r="67">
      <c r="A67" s="3" t="inlineStr">
        <is>
          <t>2011-T1</t>
        </is>
      </c>
      <c r="B67" s="13" t="n">
        <v>40633</v>
      </c>
      <c r="C67" s="14" t="n">
        <v>34.950001</v>
      </c>
      <c r="D67" s="14" t="n">
        <v>1.83</v>
      </c>
      <c r="E67" s="14" t="n">
        <v>1.74</v>
      </c>
      <c r="F67" s="5" t="n">
        <v>0.0347</v>
      </c>
      <c r="G67" s="5" t="n">
        <v>0.02124898173333145</v>
      </c>
      <c r="H67" s="5" t="n">
        <v>0.06059999999999999</v>
      </c>
      <c r="I67" s="15">
        <f>IFERROR(C67/D67,"")</f>
        <v/>
      </c>
      <c r="J67" s="9">
        <f>IFERROR(D67/C67,"")</f>
        <v/>
      </c>
      <c r="K67" s="9">
        <f>IFERROR(E67/C67,"")</f>
        <v/>
      </c>
      <c r="L67" s="9">
        <f>IFERROR(F67-G67,"")</f>
        <v/>
      </c>
      <c r="M67" s="9">
        <f>IFERROR(J67-F67,"")</f>
        <v/>
      </c>
      <c r="N67" s="9">
        <f>IFERROR(J67-L67,"")</f>
        <v/>
      </c>
      <c r="O67" s="9">
        <f>IFERROR(J67-H67,"")</f>
        <v/>
      </c>
      <c r="P67" s="9">
        <f>IFERROR(K67-F67,"")</f>
        <v/>
      </c>
      <c r="Q67" s="7" t="n">
        <v>0.008875739644970414</v>
      </c>
      <c r="R67" s="7" t="n">
        <v>0.1153846153846154</v>
      </c>
      <c r="S67" s="7" t="n">
        <v>0.1331360946745562</v>
      </c>
      <c r="T67" s="7" t="n">
        <v>0.01479289940828402</v>
      </c>
      <c r="U67" s="7" t="n">
        <v>0.01262626262626263</v>
      </c>
      <c r="V67" s="7" t="n">
        <v>0.2651515151515151</v>
      </c>
      <c r="W67" s="7" t="n">
        <v>0.08646616541353383</v>
      </c>
      <c r="X67" s="7" t="n">
        <v>0.09091904175767682</v>
      </c>
      <c r="Y67" s="3">
        <f>IF(X67="","",IF(X67&gt;='Léeme'!$B$6,"barato",IF(X67&lt;'Léeme'!$B$7,"caro","medio")))</f>
        <v/>
      </c>
      <c r="Z67" s="11" t="n">
        <v>0.1534182767033208</v>
      </c>
      <c r="AA67" s="11" t="n">
        <v>0.1674971121109698</v>
      </c>
    </row>
    <row r="68">
      <c r="A68" s="3" t="inlineStr">
        <is>
          <t>2011-T2</t>
        </is>
      </c>
      <c r="B68" s="13" t="n">
        <v>40724</v>
      </c>
      <c r="C68" s="14" t="n">
        <v>33.489999</v>
      </c>
      <c r="D68" s="14" t="n">
        <v>1.83</v>
      </c>
      <c r="E68" s="14" t="n">
        <v>1.74</v>
      </c>
      <c r="F68" s="5" t="n">
        <v>0.0318</v>
      </c>
      <c r="G68" s="5" t="n">
        <v>0.034589718808965</v>
      </c>
      <c r="H68" s="5" t="n">
        <v>0.05889999999999999</v>
      </c>
      <c r="I68" s="15">
        <f>IFERROR(C68/D68,"")</f>
        <v/>
      </c>
      <c r="J68" s="9">
        <f>IFERROR(D68/C68,"")</f>
        <v/>
      </c>
      <c r="K68" s="9">
        <f>IFERROR(E68/C68,"")</f>
        <v/>
      </c>
      <c r="L68" s="9">
        <f>IFERROR(F68-G68,"")</f>
        <v/>
      </c>
      <c r="M68" s="9">
        <f>IFERROR(J68-F68,"")</f>
        <v/>
      </c>
      <c r="N68" s="9">
        <f>IFERROR(J68-L68,"")</f>
        <v/>
      </c>
      <c r="O68" s="9">
        <f>IFERROR(J68-H68,"")</f>
        <v/>
      </c>
      <c r="P68" s="9">
        <f>IFERROR(K68-F68,"")</f>
        <v/>
      </c>
      <c r="Q68" s="7" t="n">
        <v>0.05523255813953488</v>
      </c>
      <c r="R68" s="7" t="n">
        <v>0.311046511627907</v>
      </c>
      <c r="S68" s="7" t="n">
        <v>0.5843023255813954</v>
      </c>
      <c r="T68" s="7" t="n">
        <v>0.09011627906976744</v>
      </c>
      <c r="U68" s="7" t="n">
        <v>0.0472636815920398</v>
      </c>
      <c r="V68" s="7" t="n">
        <v>0.4353233830845771</v>
      </c>
      <c r="W68" s="7" t="n">
        <v>0.3051470588235294</v>
      </c>
      <c r="X68" s="7" t="n">
        <v>0.2612045425598216</v>
      </c>
      <c r="Y68" s="3">
        <f>IF(X68="","",IF(X68&gt;='Léeme'!$B$6,"barato",IF(X68&lt;'Léeme'!$B$7,"caro","medio")))</f>
        <v/>
      </c>
      <c r="Z68" s="11" t="n">
        <v>0.2967587161449332</v>
      </c>
      <c r="AA68" s="11" t="n">
        <v>0.2016949506455237</v>
      </c>
    </row>
    <row r="69">
      <c r="A69" s="3" t="inlineStr">
        <is>
          <t>2011-T3</t>
        </is>
      </c>
      <c r="B69" s="13" t="n">
        <v>40816</v>
      </c>
      <c r="C69" s="14" t="n">
        <v>32.240001</v>
      </c>
      <c r="D69" s="14" t="n">
        <v>1.83</v>
      </c>
      <c r="E69" s="14" t="n">
        <v>1.74</v>
      </c>
      <c r="F69" s="5" t="n">
        <v>0.0192</v>
      </c>
      <c r="G69" s="5" t="n">
        <v>0.0375499603070808</v>
      </c>
      <c r="H69" s="5" t="n">
        <v>0.0529</v>
      </c>
      <c r="I69" s="15">
        <f>IFERROR(C69/D69,"")</f>
        <v/>
      </c>
      <c r="J69" s="9">
        <f>IFERROR(D69/C69,"")</f>
        <v/>
      </c>
      <c r="K69" s="9">
        <f>IFERROR(E69/C69,"")</f>
        <v/>
      </c>
      <c r="L69" s="9">
        <f>IFERROR(F69-G69,"")</f>
        <v/>
      </c>
      <c r="M69" s="9">
        <f>IFERROR(J69-F69,"")</f>
        <v/>
      </c>
      <c r="N69" s="9">
        <f>IFERROR(J69-L69,"")</f>
        <v/>
      </c>
      <c r="O69" s="9">
        <f>IFERROR(J69-H69,"")</f>
        <v/>
      </c>
      <c r="P69" s="9">
        <f>IFERROR(K69-F69,"")</f>
        <v/>
      </c>
      <c r="Q69" s="7" t="n">
        <v>0.08857142857142856</v>
      </c>
      <c r="R69" s="7" t="n">
        <v>0.6485714285714286</v>
      </c>
      <c r="S69" s="7" t="n">
        <v>0.8542857142857143</v>
      </c>
      <c r="T69" s="7" t="n">
        <v>0.5</v>
      </c>
      <c r="U69" s="7" t="n">
        <v>0.1053921568627451</v>
      </c>
      <c r="V69" s="7" t="n">
        <v>0.8406862745098039</v>
      </c>
      <c r="W69" s="7" t="n">
        <v>0.5</v>
      </c>
      <c r="X69" s="7" t="n">
        <v>0.505358143257303</v>
      </c>
      <c r="Y69" s="3">
        <f>IF(X69="","",IF(X69&gt;='Léeme'!$B$6,"barato",IF(X69&lt;'Léeme'!$B$7,"caro","medio")))</f>
        <v/>
      </c>
      <c r="Z69" s="11" t="n">
        <v>0.3163259781043894</v>
      </c>
      <c r="AA69" s="11" t="n">
        <v>0.2014729449665678</v>
      </c>
    </row>
    <row r="70">
      <c r="A70" s="3" t="inlineStr">
        <is>
          <t>2011-T4</t>
        </is>
      </c>
      <c r="B70" s="13" t="n">
        <v>40907</v>
      </c>
      <c r="C70" s="14" t="n">
        <v>34.96</v>
      </c>
      <c r="D70" s="14" t="n">
        <v>1.83</v>
      </c>
      <c r="E70" s="14" t="n">
        <v>1.752</v>
      </c>
      <c r="F70" s="5" t="n">
        <v>0.0189</v>
      </c>
      <c r="G70" s="5" t="n">
        <v>0.03451432214581729</v>
      </c>
      <c r="H70" s="5" t="n">
        <v>0.0519</v>
      </c>
      <c r="I70" s="15">
        <f>IFERROR(C70/D70,"")</f>
        <v/>
      </c>
      <c r="J70" s="9">
        <f>IFERROR(D70/C70,"")</f>
        <v/>
      </c>
      <c r="K70" s="9">
        <f>IFERROR(E70/C70,"")</f>
        <v/>
      </c>
      <c r="L70" s="9">
        <f>IFERROR(F70-G70,"")</f>
        <v/>
      </c>
      <c r="M70" s="9">
        <f>IFERROR(J70-F70,"")</f>
        <v/>
      </c>
      <c r="N70" s="9">
        <f>IFERROR(J70-L70,"")</f>
        <v/>
      </c>
      <c r="O70" s="9">
        <f>IFERROR(J70-H70,"")</f>
        <v/>
      </c>
      <c r="P70" s="9">
        <f>IFERROR(K70-F70,"")</f>
        <v/>
      </c>
      <c r="Q70" s="7" t="n">
        <v>0.01966292134831461</v>
      </c>
      <c r="R70" s="7" t="n">
        <v>0.5646067415730337</v>
      </c>
      <c r="S70" s="7" t="n">
        <v>0.75</v>
      </c>
      <c r="T70" s="7" t="n">
        <v>0.25</v>
      </c>
      <c r="U70" s="7" t="n">
        <v>0.02657004830917874</v>
      </c>
      <c r="V70" s="7" t="n">
        <v>0.7608695652173914</v>
      </c>
      <c r="W70" s="7" t="n">
        <v>0.2781690140845071</v>
      </c>
      <c r="X70" s="7" t="n">
        <v>0.3785540415046322</v>
      </c>
      <c r="Y70" s="3">
        <f>IF(X70="","",IF(X70&gt;='Léeme'!$B$6,"barato",IF(X70&lt;'Léeme'!$B$7,"caro","medio")))</f>
        <v/>
      </c>
      <c r="Z70" s="11" t="n">
        <v>0.1903605890521862</v>
      </c>
      <c r="AA70" s="11" t="n">
        <v>0.146313946006313</v>
      </c>
    </row>
    <row r="71">
      <c r="A71" s="3" t="inlineStr">
        <is>
          <t>2012-T1</t>
        </is>
      </c>
      <c r="B71" s="13" t="n">
        <v>40998</v>
      </c>
      <c r="C71" s="14" t="n">
        <v>38.730002</v>
      </c>
      <c r="D71" s="14" t="n">
        <v>1.98</v>
      </c>
      <c r="E71" s="14" t="n">
        <v>1.752</v>
      </c>
      <c r="F71" s="5" t="n">
        <v>0.0223</v>
      </c>
      <c r="G71" s="5" t="n">
        <v>0.02898178442347388</v>
      </c>
      <c r="H71" s="5" t="n">
        <v>0.0521</v>
      </c>
      <c r="I71" s="15">
        <f>IFERROR(C71/D71,"")</f>
        <v/>
      </c>
      <c r="J71" s="9">
        <f>IFERROR(D71/C71,"")</f>
        <v/>
      </c>
      <c r="K71" s="9">
        <f>IFERROR(E71/C71,"")</f>
        <v/>
      </c>
      <c r="L71" s="9">
        <f>IFERROR(F71-G71,"")</f>
        <v/>
      </c>
      <c r="M71" s="9">
        <f>IFERROR(J71-F71,"")</f>
        <v/>
      </c>
      <c r="N71" s="9">
        <f>IFERROR(J71-L71,"")</f>
        <v/>
      </c>
      <c r="O71" s="9">
        <f>IFERROR(J71-H71,"")</f>
        <v/>
      </c>
      <c r="P71" s="9">
        <f>IFERROR(K71-F71,"")</f>
        <v/>
      </c>
      <c r="Q71" s="7" t="n">
        <v>0.0138121546961326</v>
      </c>
      <c r="R71" s="7" t="n">
        <v>0.4723756906077348</v>
      </c>
      <c r="S71" s="7" t="n">
        <v>0.5662983425414365</v>
      </c>
      <c r="T71" s="7" t="n">
        <v>0.2071823204419889</v>
      </c>
      <c r="U71" s="7" t="n">
        <v>0.002380952380952381</v>
      </c>
      <c r="V71" s="7" t="n">
        <v>0.469047619047619</v>
      </c>
      <c r="W71" s="7" t="n">
        <v>0.2103448275862069</v>
      </c>
      <c r="X71" s="7" t="n">
        <v>0.2773488439002959</v>
      </c>
      <c r="Y71" s="3">
        <f>IF(X71="","",IF(X71&gt;='Léeme'!$B$6,"barato",IF(X71&lt;'Léeme'!$B$7,"caro","medio")))</f>
        <v/>
      </c>
      <c r="Z71" s="11" t="n">
        <v>0.2143225641338653</v>
      </c>
      <c r="AA71" s="11" t="n">
        <v>0.1284489286738975</v>
      </c>
    </row>
    <row r="72">
      <c r="A72" s="3" t="inlineStr">
        <is>
          <t>2012-T2</t>
        </is>
      </c>
      <c r="B72" s="13" t="n">
        <v>41089</v>
      </c>
      <c r="C72" s="14" t="n">
        <v>41.770002</v>
      </c>
      <c r="D72" s="14" t="n">
        <v>1.98</v>
      </c>
      <c r="E72" s="14" t="n">
        <v>1.752</v>
      </c>
      <c r="F72" s="5" t="n">
        <v>0.0167</v>
      </c>
      <c r="G72" s="5" t="n">
        <v>0.01737942937466075</v>
      </c>
      <c r="H72" s="5" t="n">
        <v>0.04969999999999999</v>
      </c>
      <c r="I72" s="15">
        <f>IFERROR(C72/D72,"")</f>
        <v/>
      </c>
      <c r="J72" s="9">
        <f>IFERROR(D72/C72,"")</f>
        <v/>
      </c>
      <c r="K72" s="9">
        <f>IFERROR(E72/C72,"")</f>
        <v/>
      </c>
      <c r="L72" s="9">
        <f>IFERROR(F72-G72,"")</f>
        <v/>
      </c>
      <c r="M72" s="9">
        <f>IFERROR(J72-F72,"")</f>
        <v/>
      </c>
      <c r="N72" s="9">
        <f>IFERROR(J72-L72,"")</f>
        <v/>
      </c>
      <c r="O72" s="9">
        <f>IFERROR(J72-H72,"")</f>
        <v/>
      </c>
      <c r="P72" s="9">
        <f>IFERROR(K72-F72,"")</f>
        <v/>
      </c>
      <c r="Q72" s="7" t="n">
        <v>0.002717391304347826</v>
      </c>
      <c r="R72" s="7" t="n">
        <v>0.5081521739130435</v>
      </c>
      <c r="S72" s="7" t="n">
        <v>0.3559782608695652</v>
      </c>
      <c r="T72" s="7" t="n">
        <v>0.1494565217391304</v>
      </c>
      <c r="U72" s="7" t="n">
        <v>0.002347417840375587</v>
      </c>
      <c r="V72" s="7" t="n">
        <v>0.5422535211267606</v>
      </c>
      <c r="W72" s="7" t="n">
        <v>0.03040540540540541</v>
      </c>
      <c r="X72" s="7" t="n">
        <v>0.2273300988855183</v>
      </c>
      <c r="Y72" s="3">
        <f>IF(X72="","",IF(X72&gt;='Léeme'!$B$6,"barato",IF(X72&lt;'Léeme'!$B$7,"caro","medio")))</f>
        <v/>
      </c>
      <c r="Z72" s="11" t="n">
        <v>0.04135008210882773</v>
      </c>
      <c r="AA72" s="11" t="n">
        <v>0.09935371556493311</v>
      </c>
    </row>
    <row r="73">
      <c r="A73" s="3" t="inlineStr">
        <is>
          <t>2012-T3</t>
        </is>
      </c>
      <c r="B73" s="13" t="n">
        <v>41180</v>
      </c>
      <c r="C73" s="14" t="n">
        <v>40.89</v>
      </c>
      <c r="D73" s="14" t="n">
        <v>1.98</v>
      </c>
      <c r="E73" s="14" t="n">
        <v>1.812</v>
      </c>
      <c r="F73" s="5" t="n">
        <v>0.0165</v>
      </c>
      <c r="G73" s="5" t="n">
        <v>0.01685934915482123</v>
      </c>
      <c r="H73" s="5" t="n">
        <v>0.0471</v>
      </c>
      <c r="I73" s="15">
        <f>IFERROR(C73/D73,"")</f>
        <v/>
      </c>
      <c r="J73" s="9">
        <f>IFERROR(D73/C73,"")</f>
        <v/>
      </c>
      <c r="K73" s="9">
        <f>IFERROR(E73/C73,"")</f>
        <v/>
      </c>
      <c r="L73" s="9">
        <f>IFERROR(F73-G73,"")</f>
        <v/>
      </c>
      <c r="M73" s="9">
        <f>IFERROR(J73-F73,"")</f>
        <v/>
      </c>
      <c r="N73" s="9">
        <f>IFERROR(J73-L73,"")</f>
        <v/>
      </c>
      <c r="O73" s="9">
        <f>IFERROR(J73-H73,"")</f>
        <v/>
      </c>
      <c r="P73" s="9">
        <f>IFERROR(K73-F73,"")</f>
        <v/>
      </c>
      <c r="Q73" s="7" t="n">
        <v>0.01871657754010695</v>
      </c>
      <c r="R73" s="7" t="n">
        <v>0.5374331550802139</v>
      </c>
      <c r="S73" s="7" t="n">
        <v>0.3716577540106952</v>
      </c>
      <c r="T73" s="7" t="n">
        <v>0.339572192513369</v>
      </c>
      <c r="U73" s="7" t="n">
        <v>0.0162037037037037</v>
      </c>
      <c r="V73" s="7" t="n">
        <v>0.6504629629629629</v>
      </c>
      <c r="W73" s="7" t="n">
        <v>0.2218543046357616</v>
      </c>
      <c r="X73" s="7" t="n">
        <v>0.3079858072066876</v>
      </c>
      <c r="Y73" s="3">
        <f>IF(X73="","",IF(X73&gt;='Léeme'!$B$6,"barato",IF(X73&lt;'Léeme'!$B$7,"caro","medio")))</f>
        <v/>
      </c>
      <c r="Z73" s="11" t="n">
        <v>0.02358768237745501</v>
      </c>
      <c r="AA73" s="11" t="n">
        <v>0.11144262789782</v>
      </c>
    </row>
    <row r="74">
      <c r="A74" s="3" t="inlineStr">
        <is>
          <t>2012-T4</t>
        </is>
      </c>
      <c r="B74" s="13" t="n">
        <v>41274</v>
      </c>
      <c r="C74" s="14" t="n">
        <v>40.209998</v>
      </c>
      <c r="D74" s="14" t="n">
        <v>1.98</v>
      </c>
      <c r="E74" s="14" t="n">
        <v>1.824</v>
      </c>
      <c r="F74" s="5" t="n">
        <v>0.0178</v>
      </c>
      <c r="G74" s="5" t="n">
        <v>0.01796019703392626</v>
      </c>
      <c r="H74" s="5" t="n">
        <v>0.0458</v>
      </c>
      <c r="I74" s="15">
        <f>IFERROR(C74/D74,"")</f>
        <v/>
      </c>
      <c r="J74" s="9">
        <f>IFERROR(D74/C74,"")</f>
        <v/>
      </c>
      <c r="K74" s="9">
        <f>IFERROR(E74/C74,"")</f>
        <v/>
      </c>
      <c r="L74" s="9">
        <f>IFERROR(F74-G74,"")</f>
        <v/>
      </c>
      <c r="M74" s="9">
        <f>IFERROR(J74-F74,"")</f>
        <v/>
      </c>
      <c r="N74" s="9">
        <f>IFERROR(J74-L74,"")</f>
        <v/>
      </c>
      <c r="O74" s="9">
        <f>IFERROR(J74-H74,"")</f>
        <v/>
      </c>
      <c r="P74" s="9">
        <f>IFERROR(K74-F74,"")</f>
        <v/>
      </c>
      <c r="Q74" s="7" t="n">
        <v>0.02894736842105263</v>
      </c>
      <c r="R74" s="7" t="n">
        <v>0.5236842105263158</v>
      </c>
      <c r="S74" s="7" t="n">
        <v>0.3815789473684211</v>
      </c>
      <c r="T74" s="7" t="n">
        <v>0.4973684210526316</v>
      </c>
      <c r="U74" s="7" t="n">
        <v>0.03424657534246575</v>
      </c>
      <c r="V74" s="7" t="n">
        <v>0.6232876712328768</v>
      </c>
      <c r="W74" s="7" t="n">
        <v>0.3863636363636364</v>
      </c>
      <c r="X74" s="7" t="n">
        <v>0.3536395471867714</v>
      </c>
      <c r="Y74" s="3">
        <f>IF(X74="","",IF(X74&gt;='Léeme'!$B$6,"barato",IF(X74&lt;'Léeme'!$B$7,"caro","medio")))</f>
        <v/>
      </c>
      <c r="Z74" s="11" t="n">
        <v>-0.0330056821789132</v>
      </c>
      <c r="AA74" s="11" t="n">
        <v>0.1127409872684686</v>
      </c>
    </row>
    <row r="75">
      <c r="A75" s="3" t="inlineStr">
        <is>
          <t>2013-T1</t>
        </is>
      </c>
      <c r="B75" s="13" t="n">
        <v>41361</v>
      </c>
      <c r="C75" s="14" t="n">
        <v>45.35</v>
      </c>
      <c r="D75" s="14" t="n">
        <v>1.96</v>
      </c>
      <c r="E75" s="14" t="n">
        <v>2.172</v>
      </c>
      <c r="F75" s="5" t="n">
        <v>0.0187</v>
      </c>
      <c r="G75" s="5" t="n">
        <v>0.02018140490257481</v>
      </c>
      <c r="H75" s="5" t="n">
        <v>0.048</v>
      </c>
      <c r="I75" s="15">
        <f>IFERROR(C75/D75,"")</f>
        <v/>
      </c>
      <c r="J75" s="9">
        <f>IFERROR(D75/C75,"")</f>
        <v/>
      </c>
      <c r="K75" s="9">
        <f>IFERROR(E75/C75,"")</f>
        <v/>
      </c>
      <c r="L75" s="9">
        <f>IFERROR(F75-G75,"")</f>
        <v/>
      </c>
      <c r="M75" s="9">
        <f>IFERROR(J75-F75,"")</f>
        <v/>
      </c>
      <c r="N75" s="9">
        <f>IFERROR(J75-L75,"")</f>
        <v/>
      </c>
      <c r="O75" s="9">
        <f>IFERROR(J75-H75,"")</f>
        <v/>
      </c>
      <c r="P75" s="9">
        <f>IFERROR(K75-F75,"")</f>
        <v/>
      </c>
      <c r="Q75" s="7" t="n">
        <v>0.007772020725388601</v>
      </c>
      <c r="R75" s="7" t="n">
        <v>0.3238341968911917</v>
      </c>
      <c r="S75" s="7" t="n">
        <v>0.2772020725388601</v>
      </c>
      <c r="T75" s="7" t="n">
        <v>0.08031088082901554</v>
      </c>
      <c r="U75" s="7" t="n">
        <v>0.05630630630630631</v>
      </c>
      <c r="V75" s="7" t="n">
        <v>0.704954954954955</v>
      </c>
      <c r="W75" s="7" t="n">
        <v>0.06687898089171974</v>
      </c>
      <c r="X75" s="7" t="n">
        <v>0.2167513447339195</v>
      </c>
      <c r="Y75" s="3">
        <f>IF(X75="","",IF(X75&gt;='Léeme'!$B$6,"barato",IF(X75&lt;'Léeme'!$B$7,"caro","medio")))</f>
        <v/>
      </c>
      <c r="Z75" s="11" t="n">
        <v>-0.06341186551636635</v>
      </c>
      <c r="AA75" s="11" t="n">
        <v>0.06485224809468515</v>
      </c>
    </row>
    <row r="76">
      <c r="A76" s="3" t="inlineStr">
        <is>
          <t>2013-T2</t>
        </is>
      </c>
      <c r="B76" s="13" t="n">
        <v>41453</v>
      </c>
      <c r="C76" s="14" t="n">
        <v>41.92</v>
      </c>
      <c r="D76" s="14" t="n">
        <v>1.96</v>
      </c>
      <c r="E76" s="14" t="n">
        <v>2.184</v>
      </c>
      <c r="F76" s="5" t="n">
        <v>0.0252</v>
      </c>
      <c r="G76" s="5" t="n">
        <v>0.01390388827919709</v>
      </c>
      <c r="H76" s="5" t="n">
        <v>0.0541</v>
      </c>
      <c r="I76" s="15">
        <f>IFERROR(C76/D76,"")</f>
        <v/>
      </c>
      <c r="J76" s="9">
        <f>IFERROR(D76/C76,"")</f>
        <v/>
      </c>
      <c r="K76" s="9">
        <f>IFERROR(E76/C76,"")</f>
        <v/>
      </c>
      <c r="L76" s="9">
        <f>IFERROR(F76-G76,"")</f>
        <v/>
      </c>
      <c r="M76" s="9">
        <f>IFERROR(J76-F76,"")</f>
        <v/>
      </c>
      <c r="N76" s="9">
        <f>IFERROR(J76-L76,"")</f>
        <v/>
      </c>
      <c r="O76" s="9">
        <f>IFERROR(J76-H76,"")</f>
        <v/>
      </c>
      <c r="P76" s="9">
        <f>IFERROR(K76-F76,"")</f>
        <v/>
      </c>
      <c r="Q76" s="7" t="n">
        <v>0.02806122448979592</v>
      </c>
      <c r="R76" s="7" t="n">
        <v>0.2525510204081632</v>
      </c>
      <c r="S76" s="7" t="n">
        <v>0.07908163265306123</v>
      </c>
      <c r="T76" s="7" t="n">
        <v>0.03826530612244898</v>
      </c>
      <c r="U76" s="7" t="n">
        <v>0.14</v>
      </c>
      <c r="V76" s="7" t="n">
        <v>0.58</v>
      </c>
      <c r="W76" s="7" t="n">
        <v>0.446875</v>
      </c>
      <c r="X76" s="7" t="n">
        <v>0.2235477405247813</v>
      </c>
      <c r="Y76" s="3">
        <f>IF(X76="","",IF(X76&gt;='Léeme'!$B$6,"barato",IF(X76&lt;'Léeme'!$B$7,"caro","medio")))</f>
        <v/>
      </c>
      <c r="Z76" s="11" t="n">
        <v>0.1001592389576371</v>
      </c>
      <c r="AA76" s="11" t="n">
        <v>0.09231507059523314</v>
      </c>
    </row>
    <row r="77">
      <c r="A77" s="3" t="inlineStr">
        <is>
          <t>2013-T3</t>
        </is>
      </c>
      <c r="B77" s="13" t="n">
        <v>41547</v>
      </c>
      <c r="C77" s="14" t="n">
        <v>39.749999</v>
      </c>
      <c r="D77" s="14" t="n">
        <v>1.96</v>
      </c>
      <c r="E77" s="14" t="n">
        <v>2.184</v>
      </c>
      <c r="F77" s="5" t="n">
        <v>0.0264</v>
      </c>
      <c r="G77" s="5" t="n">
        <v>0.01538809488600279</v>
      </c>
      <c r="H77" s="5" t="n">
        <v>0.0537</v>
      </c>
      <c r="I77" s="15">
        <f>IFERROR(C77/D77,"")</f>
        <v/>
      </c>
      <c r="J77" s="9">
        <f>IFERROR(D77/C77,"")</f>
        <v/>
      </c>
      <c r="K77" s="9">
        <f>IFERROR(E77/C77,"")</f>
        <v/>
      </c>
      <c r="L77" s="9">
        <f>IFERROR(F77-G77,"")</f>
        <v/>
      </c>
      <c r="M77" s="9">
        <f>IFERROR(J77-F77,"")</f>
        <v/>
      </c>
      <c r="N77" s="9">
        <f>IFERROR(J77-L77,"")</f>
        <v/>
      </c>
      <c r="O77" s="9">
        <f>IFERROR(J77-H77,"")</f>
        <v/>
      </c>
      <c r="P77" s="9">
        <f>IFERROR(K77-F77,"")</f>
        <v/>
      </c>
      <c r="Q77" s="7" t="n">
        <v>0.0678391959798995</v>
      </c>
      <c r="R77" s="7" t="n">
        <v>0.2989949748743719</v>
      </c>
      <c r="S77" s="7" t="n">
        <v>0.1231155778894472</v>
      </c>
      <c r="T77" s="7" t="n">
        <v>0.1080402010050251</v>
      </c>
      <c r="U77" s="7" t="n">
        <v>0.2171052631578947</v>
      </c>
      <c r="V77" s="7" t="n">
        <v>0.6732456140350878</v>
      </c>
      <c r="W77" s="7" t="n">
        <v>0.6104294478527608</v>
      </c>
      <c r="X77" s="7" t="n">
        <v>0.299824324970641</v>
      </c>
      <c r="Y77" s="3">
        <f>IF(X77="","",IF(X77&gt;='Léeme'!$B$6,"barato",IF(X77&lt;'Léeme'!$B$7,"caro","medio")))</f>
        <v/>
      </c>
      <c r="Z77" s="11" t="n">
        <v>0.06984482968526651</v>
      </c>
      <c r="AA77" s="11" t="n">
        <v>0.1147639067266002</v>
      </c>
    </row>
    <row r="78">
      <c r="A78" s="3" t="inlineStr">
        <is>
          <t>2013-T4</t>
        </is>
      </c>
      <c r="B78" s="13" t="n">
        <v>41639</v>
      </c>
      <c r="C78" s="14" t="n">
        <v>37.330001</v>
      </c>
      <c r="D78" s="14" t="n">
        <v>1.96</v>
      </c>
      <c r="E78" s="14" t="n">
        <v>2.184</v>
      </c>
      <c r="F78" s="5" t="n">
        <v>0.0304</v>
      </c>
      <c r="G78" s="5" t="n">
        <v>0.01232870196195446</v>
      </c>
      <c r="H78" s="5" t="n">
        <v>0.0534</v>
      </c>
      <c r="I78" s="15">
        <f>IFERROR(C78/D78,"")</f>
        <v/>
      </c>
      <c r="J78" s="9">
        <f>IFERROR(D78/C78,"")</f>
        <v/>
      </c>
      <c r="K78" s="9">
        <f>IFERROR(E78/C78,"")</f>
        <v/>
      </c>
      <c r="L78" s="9">
        <f>IFERROR(F78-G78,"")</f>
        <v/>
      </c>
      <c r="M78" s="9">
        <f>IFERROR(J78-F78,"")</f>
        <v/>
      </c>
      <c r="N78" s="9">
        <f>IFERROR(J78-L78,"")</f>
        <v/>
      </c>
      <c r="O78" s="9">
        <f>IFERROR(J78-H78,"")</f>
        <v/>
      </c>
      <c r="P78" s="9">
        <f>IFERROR(K78-F78,"")</f>
        <v/>
      </c>
      <c r="Q78" s="7" t="n">
        <v>0.1361386138613861</v>
      </c>
      <c r="R78" s="7" t="n">
        <v>0.2797029702970297</v>
      </c>
      <c r="S78" s="7" t="n">
        <v>0.07673267326732673</v>
      </c>
      <c r="T78" s="7" t="n">
        <v>0.2698019801980198</v>
      </c>
      <c r="U78" s="7" t="n">
        <v>0.3225108225108225</v>
      </c>
      <c r="V78" s="7" t="n">
        <v>0.6515151515151515</v>
      </c>
      <c r="W78" s="7" t="n">
        <v>0.7379518072289156</v>
      </c>
      <c r="X78" s="7" t="n">
        <v>0.3534791455540932</v>
      </c>
      <c r="Y78" s="3">
        <f>IF(X78="","",IF(X78&gt;='Léeme'!$B$6,"barato",IF(X78&lt;'Léeme'!$B$7,"caro","medio")))</f>
        <v/>
      </c>
      <c r="Z78" s="11" t="n">
        <v>0.3300710216741762</v>
      </c>
      <c r="AA78" s="11" t="n">
        <v>0.1516741254228953</v>
      </c>
    </row>
    <row r="79">
      <c r="A79" s="3" t="inlineStr">
        <is>
          <t>2014-T1</t>
        </is>
      </c>
      <c r="B79" s="13" t="n">
        <v>41729</v>
      </c>
      <c r="C79" s="14" t="n">
        <v>40.859998</v>
      </c>
      <c r="D79" s="14" t="n">
        <v>2.34</v>
      </c>
      <c r="E79" s="14" t="n">
        <v>2.184</v>
      </c>
      <c r="F79" s="5" t="n">
        <v>0.0273</v>
      </c>
      <c r="G79" s="5" t="n">
        <v>0.01120474634772495</v>
      </c>
      <c r="H79" s="5" t="n">
        <v>0.0498</v>
      </c>
      <c r="I79" s="15">
        <f>IFERROR(C79/D79,"")</f>
        <v/>
      </c>
      <c r="J79" s="9">
        <f>IFERROR(D79/C79,"")</f>
        <v/>
      </c>
      <c r="K79" s="9">
        <f>IFERROR(E79/C79,"")</f>
        <v/>
      </c>
      <c r="L79" s="9">
        <f>IFERROR(F79-G79,"")</f>
        <v/>
      </c>
      <c r="M79" s="9">
        <f>IFERROR(J79-F79,"")</f>
        <v/>
      </c>
      <c r="N79" s="9">
        <f>IFERROR(J79-L79,"")</f>
        <v/>
      </c>
      <c r="O79" s="9">
        <f>IFERROR(J79-H79,"")</f>
        <v/>
      </c>
      <c r="P79" s="9">
        <f>IFERROR(K79-F79,"")</f>
        <v/>
      </c>
      <c r="Q79" s="7" t="n">
        <v>0.2219512195121951</v>
      </c>
      <c r="R79" s="7" t="n">
        <v>0.5097560975609756</v>
      </c>
      <c r="S79" s="7" t="n">
        <v>0.2073170731707317</v>
      </c>
      <c r="T79" s="7" t="n">
        <v>0.6951219512195121</v>
      </c>
      <c r="U79" s="7" t="n">
        <v>0.1816239316239316</v>
      </c>
      <c r="V79" s="7" t="n">
        <v>0.532051282051282</v>
      </c>
      <c r="W79" s="7" t="n">
        <v>0.8254437869822485</v>
      </c>
      <c r="X79" s="7" t="n">
        <v>0.4533236203029824</v>
      </c>
      <c r="Y79" s="3">
        <f>IF(X79="","",IF(X79&gt;='Léeme'!$B$6,"barato",IF(X79&lt;'Léeme'!$B$7,"caro","medio")))</f>
        <v/>
      </c>
      <c r="Z79" s="11" t="n">
        <v>0.3120145425676943</v>
      </c>
      <c r="AA79" s="11" t="n">
        <v>0.1658731114773069</v>
      </c>
    </row>
    <row r="80">
      <c r="A80" s="3" t="inlineStr">
        <is>
          <t>2014-T2</t>
        </is>
      </c>
      <c r="B80" s="13" t="n">
        <v>41820</v>
      </c>
      <c r="C80" s="14" t="n">
        <v>44.420001</v>
      </c>
      <c r="D80" s="14" t="n">
        <v>2.34</v>
      </c>
      <c r="E80" s="14" t="n">
        <v>2.196</v>
      </c>
      <c r="F80" s="5" t="n">
        <v>0.0253</v>
      </c>
      <c r="G80" s="5" t="n">
        <v>0.02166947687079812</v>
      </c>
      <c r="H80" s="5" t="n">
        <v>0.0474</v>
      </c>
      <c r="I80" s="15">
        <f>IFERROR(C80/D80,"")</f>
        <v/>
      </c>
      <c r="J80" s="9">
        <f>IFERROR(D80/C80,"")</f>
        <v/>
      </c>
      <c r="K80" s="9">
        <f>IFERROR(E80/C80,"")</f>
        <v/>
      </c>
      <c r="L80" s="9">
        <f>IFERROR(F80-G80,"")</f>
        <v/>
      </c>
      <c r="M80" s="9">
        <f>IFERROR(J80-F80,"")</f>
        <v/>
      </c>
      <c r="N80" s="9">
        <f>IFERROR(J80-L80,"")</f>
        <v/>
      </c>
      <c r="O80" s="9">
        <f>IFERROR(J80-H80,"")</f>
        <v/>
      </c>
      <c r="P80" s="9">
        <f>IFERROR(K80-F80,"")</f>
        <v/>
      </c>
      <c r="Q80" s="7" t="n">
        <v>0.1490384615384615</v>
      </c>
      <c r="R80" s="7" t="n">
        <v>0.4543269230769231</v>
      </c>
      <c r="S80" s="7" t="n">
        <v>0.4206730769230769</v>
      </c>
      <c r="T80" s="7" t="n">
        <v>0.6225961538461539</v>
      </c>
      <c r="U80" s="7" t="n">
        <v>0.08649789029535865</v>
      </c>
      <c r="V80" s="7" t="n">
        <v>0.4578059071729958</v>
      </c>
      <c r="W80" s="7" t="n">
        <v>0.7470930232558139</v>
      </c>
      <c r="X80" s="7" t="n">
        <v>0.419718776586969</v>
      </c>
      <c r="Y80" s="3">
        <f>IF(X80="","",IF(X80&gt;='Léeme'!$B$6,"barato",IF(X80&lt;'Léeme'!$B$7,"caro","medio")))</f>
        <v/>
      </c>
      <c r="Z80" s="11" t="n">
        <v>0.03810889052937738</v>
      </c>
      <c r="AA80" s="11" t="n">
        <v>0.1313734804742026</v>
      </c>
    </row>
    <row r="81">
      <c r="A81" s="3" t="inlineStr">
        <is>
          <t>2014-T3</t>
        </is>
      </c>
      <c r="B81" s="13" t="n">
        <v>41912</v>
      </c>
      <c r="C81" s="14" t="n">
        <v>40.789998</v>
      </c>
      <c r="D81" s="14" t="n">
        <v>2.34</v>
      </c>
      <c r="E81" s="14" t="n">
        <v>2.196</v>
      </c>
      <c r="F81" s="5" t="n">
        <v>0.0252</v>
      </c>
      <c r="G81" s="5" t="n">
        <v>0.01715098348296906</v>
      </c>
      <c r="H81" s="5" t="n">
        <v>0.04769999999999999</v>
      </c>
      <c r="I81" s="15">
        <f>IFERROR(C81/D81,"")</f>
        <v/>
      </c>
      <c r="J81" s="9">
        <f>IFERROR(D81/C81,"")</f>
        <v/>
      </c>
      <c r="K81" s="9">
        <f>IFERROR(E81/C81,"")</f>
        <v/>
      </c>
      <c r="L81" s="9">
        <f>IFERROR(F81-G81,"")</f>
        <v/>
      </c>
      <c r="M81" s="9">
        <f>IFERROR(J81-F81,"")</f>
        <v/>
      </c>
      <c r="N81" s="9">
        <f>IFERROR(J81-L81,"")</f>
        <v/>
      </c>
      <c r="O81" s="9">
        <f>IFERROR(J81-H81,"")</f>
        <v/>
      </c>
      <c r="P81" s="9">
        <f>IFERROR(K81-F81,"")</f>
        <v/>
      </c>
      <c r="Q81" s="7" t="n">
        <v>0.2488151658767772</v>
      </c>
      <c r="R81" s="7" t="n">
        <v>0.590047393364929</v>
      </c>
      <c r="S81" s="7" t="n">
        <v>0.433649289099526</v>
      </c>
      <c r="T81" s="7" t="n">
        <v>0.7559241706161137</v>
      </c>
      <c r="U81" s="7" t="n">
        <v>0.2145833333333333</v>
      </c>
      <c r="V81" s="7" t="n">
        <v>0.69375</v>
      </c>
      <c r="W81" s="7" t="n">
        <v>0.8371428571428572</v>
      </c>
      <c r="X81" s="7" t="n">
        <v>0.5391303156333623</v>
      </c>
      <c r="Y81" s="3">
        <f>IF(X81="","",IF(X81&gt;='Léeme'!$B$6,"barato",IF(X81&lt;'Léeme'!$B$7,"caro","medio")))</f>
        <v/>
      </c>
      <c r="Z81" s="11" t="n">
        <v>0.2063277290797529</v>
      </c>
      <c r="AA81" s="11" t="n">
        <v>0.1748326225488583</v>
      </c>
    </row>
    <row r="82">
      <c r="A82" s="3" t="inlineStr">
        <is>
          <t>2014-T4</t>
        </is>
      </c>
      <c r="B82" s="13" t="n">
        <v>42004</v>
      </c>
      <c r="C82" s="14" t="n">
        <v>47.710001</v>
      </c>
      <c r="D82" s="14" t="n">
        <v>2.34</v>
      </c>
      <c r="E82" s="14" t="n">
        <v>2.196</v>
      </c>
      <c r="F82" s="5" t="n">
        <v>0.0217</v>
      </c>
      <c r="G82" s="5" t="n">
        <v>0.01231524989320798</v>
      </c>
      <c r="H82" s="5" t="n">
        <v>0.0469</v>
      </c>
      <c r="I82" s="15">
        <f>IFERROR(C82/D82,"")</f>
        <v/>
      </c>
      <c r="J82" s="9">
        <f>IFERROR(D82/C82,"")</f>
        <v/>
      </c>
      <c r="K82" s="9">
        <f>IFERROR(E82/C82,"")</f>
        <v/>
      </c>
      <c r="L82" s="9">
        <f>IFERROR(F82-G82,"")</f>
        <v/>
      </c>
      <c r="M82" s="9">
        <f>IFERROR(J82-F82,"")</f>
        <v/>
      </c>
      <c r="N82" s="9">
        <f>IFERROR(J82-L82,"")</f>
        <v/>
      </c>
      <c r="O82" s="9">
        <f>IFERROR(J82-H82,"")</f>
        <v/>
      </c>
      <c r="P82" s="9">
        <f>IFERROR(K82-F82,"")</f>
        <v/>
      </c>
      <c r="Q82" s="7" t="n">
        <v>0.06775700934579439</v>
      </c>
      <c r="R82" s="7" t="n">
        <v>0.441588785046729</v>
      </c>
      <c r="S82" s="7" t="n">
        <v>0.1705607476635514</v>
      </c>
      <c r="T82" s="7" t="n">
        <v>0.3995327102803738</v>
      </c>
      <c r="U82" s="7" t="n">
        <v>0.04320987654320987</v>
      </c>
      <c r="V82" s="7" t="n">
        <v>0.4588477366255144</v>
      </c>
      <c r="W82" s="7" t="n">
        <v>0.6432584269662921</v>
      </c>
      <c r="X82" s="7" t="n">
        <v>0.3178221846387807</v>
      </c>
      <c r="Y82" s="3">
        <f>IF(X82="","",IF(X82&gt;='Léeme'!$B$6,"barato",IF(X82&lt;'Léeme'!$B$7,"caro","medio")))</f>
        <v/>
      </c>
      <c r="Z82" s="11" t="n">
        <v>0.1233872500957502</v>
      </c>
      <c r="AA82" s="11" t="n">
        <v>0.1288768565946476</v>
      </c>
    </row>
    <row r="83">
      <c r="A83" s="3" t="inlineStr">
        <is>
          <t>2015-T1</t>
        </is>
      </c>
      <c r="B83" s="13" t="n">
        <v>42094</v>
      </c>
      <c r="C83" s="14" t="n">
        <v>51.6</v>
      </c>
      <c r="D83" s="14" t="n">
        <v>2.58</v>
      </c>
      <c r="E83" s="14" t="n">
        <v>2.28</v>
      </c>
      <c r="F83" s="5" t="n">
        <v>0.0194</v>
      </c>
      <c r="G83" s="5" t="n">
        <v>-0.0008703146293520536</v>
      </c>
      <c r="H83" s="5" t="n">
        <v>0.0451</v>
      </c>
      <c r="I83" s="15">
        <f>IFERROR(C83/D83,"")</f>
        <v/>
      </c>
      <c r="J83" s="9">
        <f>IFERROR(D83/C83,"")</f>
        <v/>
      </c>
      <c r="K83" s="9">
        <f>IFERROR(E83/C83,"")</f>
        <v/>
      </c>
      <c r="L83" s="9">
        <f>IFERROR(F83-G83,"")</f>
        <v/>
      </c>
      <c r="M83" s="9">
        <f>IFERROR(J83-F83,"")</f>
        <v/>
      </c>
      <c r="N83" s="9">
        <f>IFERROR(J83-L83,"")</f>
        <v/>
      </c>
      <c r="O83" s="9">
        <f>IFERROR(J83-H83,"")</f>
        <v/>
      </c>
      <c r="P83" s="9">
        <f>IFERROR(K83-F83,"")</f>
        <v/>
      </c>
      <c r="Q83" s="7" t="n">
        <v>0.08986175115207373</v>
      </c>
      <c r="R83" s="7" t="n">
        <v>0.5368663594470046</v>
      </c>
      <c r="S83" s="7" t="n">
        <v>0.02073732718894009</v>
      </c>
      <c r="T83" s="7" t="n">
        <v>0.5921658986175116</v>
      </c>
      <c r="U83" s="7" t="n">
        <v>0.02235772357723577</v>
      </c>
      <c r="V83" s="7" t="n">
        <v>0.4776422764227642</v>
      </c>
      <c r="W83" s="7" t="n">
        <v>0.6823204419889503</v>
      </c>
      <c r="X83" s="7" t="n">
        <v>0.3459931111992114</v>
      </c>
      <c r="Y83" s="3">
        <f>IF(X83="","",IF(X83&gt;='Léeme'!$B$6,"barato",IF(X83&lt;'Léeme'!$B$7,"caro","medio")))</f>
        <v/>
      </c>
      <c r="Z83" s="11" t="n">
        <v>0.2568983712584465</v>
      </c>
      <c r="AA83" s="11" t="n">
        <v>0.02795777556645862</v>
      </c>
    </row>
    <row r="84">
      <c r="A84" s="3" t="inlineStr">
        <is>
          <t>2015-T2</t>
        </is>
      </c>
      <c r="B84" s="13" t="n">
        <v>42185</v>
      </c>
      <c r="C84" s="14" t="n">
        <v>44.389999</v>
      </c>
      <c r="D84" s="14" t="n">
        <v>2.58</v>
      </c>
      <c r="E84" s="14" t="n">
        <v>2.28</v>
      </c>
      <c r="F84" s="5" t="n">
        <v>0.0235</v>
      </c>
      <c r="G84" s="5" t="n">
        <v>0.0003503321824429584</v>
      </c>
      <c r="H84" s="5" t="n">
        <v>0.0517</v>
      </c>
      <c r="I84" s="15">
        <f>IFERROR(C84/D84,"")</f>
        <v/>
      </c>
      <c r="J84" s="9">
        <f>IFERROR(D84/C84,"")</f>
        <v/>
      </c>
      <c r="K84" s="9">
        <f>IFERROR(E84/C84,"")</f>
        <v/>
      </c>
      <c r="L84" s="9">
        <f>IFERROR(F84-G84,"")</f>
        <v/>
      </c>
      <c r="M84" s="9">
        <f>IFERROR(J84-F84,"")</f>
        <v/>
      </c>
      <c r="N84" s="9">
        <f>IFERROR(J84-L84,"")</f>
        <v/>
      </c>
      <c r="O84" s="9">
        <f>IFERROR(J84-H84,"")</f>
        <v/>
      </c>
      <c r="P84" s="9">
        <f>IFERROR(K84-F84,"")</f>
        <v/>
      </c>
      <c r="Q84" s="7" t="n">
        <v>0.2840909090909091</v>
      </c>
      <c r="R84" s="7" t="n">
        <v>0.6659090909090909</v>
      </c>
      <c r="S84" s="7" t="n">
        <v>0.1022727272727273</v>
      </c>
      <c r="T84" s="7" t="n">
        <v>0.6477272727272727</v>
      </c>
      <c r="U84" s="7" t="n">
        <v>0.1746987951807229</v>
      </c>
      <c r="V84" s="7" t="n">
        <v>0.6526104417670683</v>
      </c>
      <c r="W84" s="7" t="n">
        <v>0.8777173913043478</v>
      </c>
      <c r="X84" s="7" t="n">
        <v>0.4864323754645912</v>
      </c>
      <c r="Y84" s="3">
        <f>IF(X84="","",IF(X84&gt;='Léeme'!$B$6,"barato",IF(X84&lt;'Léeme'!$B$7,"caro","medio")))</f>
        <v/>
      </c>
      <c r="Z84" s="11" t="n">
        <v>0.6175472791909942</v>
      </c>
      <c r="AA84" s="11" t="n">
        <v>0.09749240441884366</v>
      </c>
    </row>
    <row r="85">
      <c r="A85" s="3" t="inlineStr">
        <is>
          <t>2015-T3</t>
        </is>
      </c>
      <c r="B85" s="13" t="n">
        <v>42277</v>
      </c>
      <c r="C85" s="14" t="n">
        <v>47.390001</v>
      </c>
      <c r="D85" s="14" t="n">
        <v>2.58</v>
      </c>
      <c r="E85" s="14" t="n">
        <v>2.292</v>
      </c>
      <c r="F85" s="5" t="n">
        <v>0.0206</v>
      </c>
      <c r="G85" s="5" t="n">
        <v>0.002413037985344868</v>
      </c>
      <c r="H85" s="5" t="n">
        <v>0.05309999999999999</v>
      </c>
      <c r="I85" s="15">
        <f>IFERROR(C85/D85,"")</f>
        <v/>
      </c>
      <c r="J85" s="9">
        <f>IFERROR(D85/C85,"")</f>
        <v/>
      </c>
      <c r="K85" s="9">
        <f>IFERROR(E85/C85,"")</f>
        <v/>
      </c>
      <c r="L85" s="9">
        <f>IFERROR(F85-G85,"")</f>
        <v/>
      </c>
      <c r="M85" s="9">
        <f>IFERROR(J85-F85,"")</f>
        <v/>
      </c>
      <c r="N85" s="9">
        <f>IFERROR(J85-L85,"")</f>
        <v/>
      </c>
      <c r="O85" s="9">
        <f>IFERROR(J85-H85,"")</f>
        <v/>
      </c>
      <c r="P85" s="9">
        <f>IFERROR(K85-F85,"")</f>
        <v/>
      </c>
      <c r="Q85" s="7" t="n">
        <v>0.2219730941704036</v>
      </c>
      <c r="R85" s="7" t="n">
        <v>0.6345291479820628</v>
      </c>
      <c r="S85" s="7" t="n">
        <v>0.1233183856502242</v>
      </c>
      <c r="T85" s="7" t="n">
        <v>0.352017937219731</v>
      </c>
      <c r="U85" s="7" t="n">
        <v>0.09722222222222222</v>
      </c>
      <c r="V85" s="7" t="n">
        <v>0.6448412698412699</v>
      </c>
      <c r="W85" s="7" t="n">
        <v>0.7887700534759359</v>
      </c>
      <c r="X85" s="7" t="n">
        <v>0.4089531586516927</v>
      </c>
      <c r="Y85" s="3">
        <f>IF(X85="","",IF(X85&gt;='Léeme'!$B$6,"barato",IF(X85&lt;'Léeme'!$B$7,"caro","medio")))</f>
        <v/>
      </c>
      <c r="Z85" s="11" t="n">
        <v>0.4582500833706844</v>
      </c>
      <c r="AA85" s="11" t="n">
        <v>0.08763044185052404</v>
      </c>
    </row>
    <row r="86">
      <c r="A86" s="3" t="inlineStr">
        <is>
          <t>2015-T4</t>
        </is>
      </c>
      <c r="B86" s="13" t="n">
        <v>42369</v>
      </c>
      <c r="C86" s="14" t="n">
        <v>51.630002</v>
      </c>
      <c r="D86" s="14" t="n">
        <v>2.58</v>
      </c>
      <c r="E86" s="14" t="n">
        <v>2.292</v>
      </c>
      <c r="F86" s="5" t="n">
        <v>0.0227</v>
      </c>
      <c r="G86" s="5" t="n">
        <v>0.004363182169185187</v>
      </c>
      <c r="H86" s="5" t="n">
        <v>0.0554</v>
      </c>
      <c r="I86" s="15">
        <f>IFERROR(C86/D86,"")</f>
        <v/>
      </c>
      <c r="J86" s="9">
        <f>IFERROR(D86/C86,"")</f>
        <v/>
      </c>
      <c r="K86" s="9">
        <f>IFERROR(E86/C86,"")</f>
        <v/>
      </c>
      <c r="L86" s="9">
        <f>IFERROR(F86-G86,"")</f>
        <v/>
      </c>
      <c r="M86" s="9">
        <f>IFERROR(J86-F86,"")</f>
        <v/>
      </c>
      <c r="N86" s="9">
        <f>IFERROR(J86-L86,"")</f>
        <v/>
      </c>
      <c r="O86" s="9">
        <f>IFERROR(J86-H86,"")</f>
        <v/>
      </c>
      <c r="P86" s="9">
        <f>IFERROR(K86-F86,"")</f>
        <v/>
      </c>
      <c r="Q86" s="7" t="n">
        <v>0.08628318584070796</v>
      </c>
      <c r="R86" s="7" t="n">
        <v>0.418141592920354</v>
      </c>
      <c r="S86" s="7" t="n">
        <v>0.04646017699115045</v>
      </c>
      <c r="T86" s="7" t="n">
        <v>0.05973451327433629</v>
      </c>
      <c r="U86" s="7" t="n">
        <v>0.02941176470588235</v>
      </c>
      <c r="V86" s="7" t="n">
        <v>0.3666666666666666</v>
      </c>
      <c r="W86" s="7" t="n">
        <v>0.6710526315789473</v>
      </c>
      <c r="X86" s="7" t="n">
        <v>0.239678647425435</v>
      </c>
      <c r="Y86" s="3">
        <f>IF(X86="","",IF(X86&gt;='Léeme'!$B$6,"barato",IF(X86&lt;'Léeme'!$B$7,"caro","medio")))</f>
        <v/>
      </c>
      <c r="Z86" s="11" t="n">
        <v>0.1488263870904969</v>
      </c>
      <c r="AA86" s="11" t="n">
        <v>0.07416713952677623</v>
      </c>
    </row>
    <row r="87">
      <c r="A87" s="3" t="inlineStr">
        <is>
          <t>2016-T1</t>
        </is>
      </c>
      <c r="B87" s="13" t="n">
        <v>42460</v>
      </c>
      <c r="C87" s="14" t="n">
        <v>62.509999</v>
      </c>
      <c r="D87" s="14" t="n">
        <v>2.77</v>
      </c>
      <c r="E87" s="14" t="n">
        <v>2.388</v>
      </c>
      <c r="F87" s="5" t="n">
        <v>0.0178</v>
      </c>
      <c r="G87" s="5" t="n">
        <v>0.008472775790126619</v>
      </c>
      <c r="H87" s="5" t="n">
        <v>0.04940000000000001</v>
      </c>
      <c r="I87" s="15">
        <f>IFERROR(C87/D87,"")</f>
        <v/>
      </c>
      <c r="J87" s="9">
        <f>IFERROR(D87/C87,"")</f>
        <v/>
      </c>
      <c r="K87" s="9">
        <f>IFERROR(E87/C87,"")</f>
        <v/>
      </c>
      <c r="L87" s="9">
        <f>IFERROR(F87-G87,"")</f>
        <v/>
      </c>
      <c r="M87" s="9">
        <f>IFERROR(J87-F87,"")</f>
        <v/>
      </c>
      <c r="N87" s="9">
        <f>IFERROR(J87-L87,"")</f>
        <v/>
      </c>
      <c r="O87" s="9">
        <f>IFERROR(J87-H87,"")</f>
        <v/>
      </c>
      <c r="P87" s="9">
        <f>IFERROR(K87-F87,"")</f>
        <v/>
      </c>
      <c r="Q87" s="7" t="n">
        <v>0.0240174672489083</v>
      </c>
      <c r="R87" s="7" t="n">
        <v>0.3908296943231441</v>
      </c>
      <c r="S87" s="7" t="n">
        <v>0.1244541484716157</v>
      </c>
      <c r="T87" s="7" t="n">
        <v>0.09388646288209607</v>
      </c>
      <c r="U87" s="7" t="n">
        <v>0.001937984496124031</v>
      </c>
      <c r="V87" s="7" t="n">
        <v>0.3468992248062016</v>
      </c>
      <c r="W87" s="7" t="n">
        <v>0.4015544041450777</v>
      </c>
      <c r="X87" s="7" t="n">
        <v>0.1976541980533096</v>
      </c>
      <c r="Y87" s="3">
        <f>IF(X87="","",IF(X87&gt;='Léeme'!$B$6,"barato",IF(X87&lt;'Léeme'!$B$7,"caro","medio")))</f>
        <v/>
      </c>
      <c r="Z87" s="11" t="n">
        <v>-0.01708326168342156</v>
      </c>
      <c r="AA87" s="11" t="n">
        <v>0.0384729358354261</v>
      </c>
    </row>
    <row r="88">
      <c r="A88" s="3" t="inlineStr">
        <is>
          <t>2016-T2</t>
        </is>
      </c>
      <c r="B88" s="13" t="n">
        <v>42551</v>
      </c>
      <c r="C88" s="14" t="n">
        <v>69.36000300000001</v>
      </c>
      <c r="D88" s="14" t="n">
        <v>2.77</v>
      </c>
      <c r="E88" s="14" t="n">
        <v>2.4</v>
      </c>
      <c r="F88" s="5" t="n">
        <v>0.0149</v>
      </c>
      <c r="G88" s="5" t="n">
        <v>0.01078476462124622</v>
      </c>
      <c r="H88" s="5" t="n">
        <v>0.044</v>
      </c>
      <c r="I88" s="15">
        <f>IFERROR(C88/D88,"")</f>
        <v/>
      </c>
      <c r="J88" s="9">
        <f>IFERROR(D88/C88,"")</f>
        <v/>
      </c>
      <c r="K88" s="9">
        <f>IFERROR(E88/C88,"")</f>
        <v/>
      </c>
      <c r="L88" s="9">
        <f>IFERROR(F88-G88,"")</f>
        <v/>
      </c>
      <c r="M88" s="9">
        <f>IFERROR(J88-F88,"")</f>
        <v/>
      </c>
      <c r="N88" s="9">
        <f>IFERROR(J88-L88,"")</f>
        <v/>
      </c>
      <c r="O88" s="9">
        <f>IFERROR(J88-H88,"")</f>
        <v/>
      </c>
      <c r="P88" s="9">
        <f>IFERROR(K88-F88,"")</f>
        <v/>
      </c>
      <c r="Q88" s="7" t="n">
        <v>0.00646551724137931</v>
      </c>
      <c r="R88" s="7" t="n">
        <v>0.334051724137931</v>
      </c>
      <c r="S88" s="7" t="n">
        <v>0.1400862068965517</v>
      </c>
      <c r="T88" s="7" t="n">
        <v>0.1314655172413793</v>
      </c>
      <c r="U88" s="7" t="n">
        <v>0.001915708812260536</v>
      </c>
      <c r="V88" s="7" t="n">
        <v>0.3352490421455939</v>
      </c>
      <c r="W88" s="7" t="n">
        <v>0.1505102040816327</v>
      </c>
      <c r="X88" s="7" t="n">
        <v>0.1571062743652469</v>
      </c>
      <c r="Y88" s="3">
        <f>IF(X88="","",IF(X88&gt;='Léeme'!$B$6,"barato",IF(X88&lt;'Léeme'!$B$7,"caro","medio")))</f>
        <v/>
      </c>
      <c r="Z88" s="11" t="n">
        <v>-0.1778401484861938</v>
      </c>
      <c r="AA88" s="11" t="n">
        <v>0.0274006410335097</v>
      </c>
    </row>
    <row r="89">
      <c r="A89" s="3" t="inlineStr">
        <is>
          <t>2016-T3</t>
        </is>
      </c>
      <c r="B89" s="13" t="n">
        <v>42643</v>
      </c>
      <c r="C89" s="14" t="n">
        <v>66.930001</v>
      </c>
      <c r="D89" s="14" t="n">
        <v>2.77</v>
      </c>
      <c r="E89" s="14" t="n">
        <v>2.424</v>
      </c>
      <c r="F89" s="5" t="n">
        <v>0.016</v>
      </c>
      <c r="G89" s="5" t="n">
        <v>0.01055315859565686</v>
      </c>
      <c r="H89" s="5" t="n">
        <v>0.0423</v>
      </c>
      <c r="I89" s="15">
        <f>IFERROR(C89/D89,"")</f>
        <v/>
      </c>
      <c r="J89" s="9">
        <f>IFERROR(D89/C89,"")</f>
        <v/>
      </c>
      <c r="K89" s="9">
        <f>IFERROR(E89/C89,"")</f>
        <v/>
      </c>
      <c r="L89" s="9">
        <f>IFERROR(F89-G89,"")</f>
        <v/>
      </c>
      <c r="M89" s="9">
        <f>IFERROR(J89-F89,"")</f>
        <v/>
      </c>
      <c r="N89" s="9">
        <f>IFERROR(J89-L89,"")</f>
        <v/>
      </c>
      <c r="O89" s="9">
        <f>IFERROR(J89-H89,"")</f>
        <v/>
      </c>
      <c r="P89" s="9">
        <f>IFERROR(K89-F89,"")</f>
        <v/>
      </c>
      <c r="Q89" s="7" t="n">
        <v>0.0148936170212766</v>
      </c>
      <c r="R89" s="7" t="n">
        <v>0.351063829787234</v>
      </c>
      <c r="S89" s="7" t="n">
        <v>0.151063829787234</v>
      </c>
      <c r="T89" s="7" t="n">
        <v>0.2702127659574468</v>
      </c>
      <c r="U89" s="7" t="n">
        <v>0.00946969696969697</v>
      </c>
      <c r="V89" s="7" t="n">
        <v>0.3428030303030303</v>
      </c>
      <c r="W89" s="7" t="n">
        <v>0.278894472361809</v>
      </c>
      <c r="X89" s="7" t="n">
        <v>0.2026287488839611</v>
      </c>
      <c r="Y89" s="3">
        <f>IF(X89="","",IF(X89&gt;='Léeme'!$B$6,"barato",IF(X89&lt;'Léeme'!$B$7,"caro","medio")))</f>
        <v/>
      </c>
      <c r="Z89" s="11" t="n">
        <v>-0.1153799654482195</v>
      </c>
      <c r="AA89" s="11" t="n">
        <v>0.02908169610331779</v>
      </c>
    </row>
    <row r="90">
      <c r="A90" s="3" t="inlineStr">
        <is>
          <t>2016-T4</t>
        </is>
      </c>
      <c r="B90" s="13" t="n">
        <v>42734</v>
      </c>
      <c r="C90" s="14" t="n">
        <v>57.479999</v>
      </c>
      <c r="D90" s="14" t="n">
        <v>2.77</v>
      </c>
      <c r="E90" s="14" t="n">
        <v>2.436</v>
      </c>
      <c r="F90" s="5" t="n">
        <v>0.0245</v>
      </c>
      <c r="G90" s="5" t="n">
        <v>0.01684333471978894</v>
      </c>
      <c r="H90" s="5" t="n">
        <v>0.0476</v>
      </c>
      <c r="I90" s="15">
        <f>IFERROR(C90/D90,"")</f>
        <v/>
      </c>
      <c r="J90" s="9">
        <f>IFERROR(D90/C90,"")</f>
        <v/>
      </c>
      <c r="K90" s="9">
        <f>IFERROR(E90/C90,"")</f>
        <v/>
      </c>
      <c r="L90" s="9">
        <f>IFERROR(F90-G90,"")</f>
        <v/>
      </c>
      <c r="M90" s="9">
        <f>IFERROR(J90-F90,"")</f>
        <v/>
      </c>
      <c r="N90" s="9">
        <f>IFERROR(J90-L90,"")</f>
        <v/>
      </c>
      <c r="O90" s="9">
        <f>IFERROR(J90-H90,"")</f>
        <v/>
      </c>
      <c r="P90" s="9">
        <f>IFERROR(K90-F90,"")</f>
        <v/>
      </c>
      <c r="Q90" s="7" t="n">
        <v>0.09873949579831932</v>
      </c>
      <c r="R90" s="7" t="n">
        <v>0.2836134453781513</v>
      </c>
      <c r="S90" s="7" t="n">
        <v>0.25</v>
      </c>
      <c r="T90" s="7" t="n">
        <v>0.3256302521008403</v>
      </c>
      <c r="U90" s="7" t="n">
        <v>0.04307116104868914</v>
      </c>
      <c r="V90" s="7" t="n">
        <v>0.3052434456928839</v>
      </c>
      <c r="W90" s="7" t="n">
        <v>0.6658415841584159</v>
      </c>
      <c r="X90" s="7" t="n">
        <v>0.2817341977396142</v>
      </c>
      <c r="Y90" s="3">
        <f>IF(X90="","",IF(X90&gt;='Léeme'!$B$6,"barato",IF(X90&lt;'Léeme'!$B$7,"caro","medio")))</f>
        <v/>
      </c>
      <c r="Z90" s="11" t="n">
        <v>0.02775069799669483</v>
      </c>
      <c r="AA90" s="11" t="n">
        <v>0.08922165111985536</v>
      </c>
    </row>
    <row r="91">
      <c r="A91" s="3" t="inlineStr">
        <is>
          <t>2017-T1</t>
        </is>
      </c>
      <c r="B91" s="13" t="n">
        <v>42825</v>
      </c>
      <c r="C91" s="14" t="n">
        <v>59.53</v>
      </c>
      <c r="D91" s="14" t="n">
        <v>2.88</v>
      </c>
      <c r="E91" s="14" t="n">
        <v>2.532</v>
      </c>
      <c r="F91" s="5" t="n">
        <v>0.024</v>
      </c>
      <c r="G91" s="5" t="n">
        <v>0.02810361681329421</v>
      </c>
      <c r="H91" s="5" t="n">
        <v>0.04650000000000001</v>
      </c>
      <c r="I91" s="15">
        <f>IFERROR(C91/D91,"")</f>
        <v/>
      </c>
      <c r="J91" s="9">
        <f>IFERROR(D91/C91,"")</f>
        <v/>
      </c>
      <c r="K91" s="9">
        <f>IFERROR(E91/C91,"")</f>
        <v/>
      </c>
      <c r="L91" s="9">
        <f>IFERROR(F91-G91,"")</f>
        <v/>
      </c>
      <c r="M91" s="9">
        <f>IFERROR(J91-F91,"")</f>
        <v/>
      </c>
      <c r="N91" s="9">
        <f>IFERROR(J91-L91,"")</f>
        <v/>
      </c>
      <c r="O91" s="9">
        <f>IFERROR(J91-H91,"")</f>
        <v/>
      </c>
      <c r="P91" s="9">
        <f>IFERROR(K91-F91,"")</f>
        <v/>
      </c>
      <c r="Q91" s="7" t="n">
        <v>0.1099585062240664</v>
      </c>
      <c r="R91" s="7" t="n">
        <v>0.3174273858921162</v>
      </c>
      <c r="S91" s="7" t="n">
        <v>0.5622406639004149</v>
      </c>
      <c r="T91" s="7" t="n">
        <v>0.4170124481327801</v>
      </c>
      <c r="U91" s="7" t="n">
        <v>0.05740740740740741</v>
      </c>
      <c r="V91" s="7" t="n">
        <v>0.3240740740740741</v>
      </c>
      <c r="W91" s="7" t="n">
        <v>0.7048780487804878</v>
      </c>
      <c r="X91" s="7" t="n">
        <v>0.3561426477730496</v>
      </c>
      <c r="Y91" s="3">
        <f>IF(X91="","",IF(X91&gt;='Léeme'!$B$6,"barato",IF(X91&lt;'Léeme'!$B$7,"caro","medio")))</f>
        <v/>
      </c>
      <c r="Z91" s="11" t="n">
        <v>-0.09802369948392919</v>
      </c>
      <c r="AA91" s="11" t="n">
        <v>0.07430328834743483</v>
      </c>
    </row>
    <row r="92">
      <c r="A92" s="3" t="inlineStr">
        <is>
          <t>2017-T2</t>
        </is>
      </c>
      <c r="B92" s="13" t="n">
        <v>42916</v>
      </c>
      <c r="C92" s="14" t="n">
        <v>55.179998</v>
      </c>
      <c r="D92" s="14" t="n">
        <v>2.88</v>
      </c>
      <c r="E92" s="14" t="n">
        <v>2.544</v>
      </c>
      <c r="F92" s="5" t="n">
        <v>0.0231</v>
      </c>
      <c r="G92" s="5" t="n">
        <v>0.01856343166761976</v>
      </c>
      <c r="H92" s="5" t="n">
        <v>0.0438</v>
      </c>
      <c r="I92" s="15">
        <f>IFERROR(C92/D92,"")</f>
        <v/>
      </c>
      <c r="J92" s="9">
        <f>IFERROR(D92/C92,"")</f>
        <v/>
      </c>
      <c r="K92" s="9">
        <f>IFERROR(E92/C92,"")</f>
        <v/>
      </c>
      <c r="L92" s="9">
        <f>IFERROR(F92-G92,"")</f>
        <v/>
      </c>
      <c r="M92" s="9">
        <f>IFERROR(J92-F92,"")</f>
        <v/>
      </c>
      <c r="N92" s="9">
        <f>IFERROR(J92-L92,"")</f>
        <v/>
      </c>
      <c r="O92" s="9">
        <f>IFERROR(J92-H92,"")</f>
        <v/>
      </c>
      <c r="P92" s="9">
        <f>IFERROR(K92-F92,"")</f>
        <v/>
      </c>
      <c r="Q92" s="7" t="n">
        <v>0.2110655737704918</v>
      </c>
      <c r="R92" s="7" t="n">
        <v>0.5102459016393442</v>
      </c>
      <c r="S92" s="7" t="n">
        <v>0.444672131147541</v>
      </c>
      <c r="T92" s="7" t="n">
        <v>0.764344262295082</v>
      </c>
      <c r="U92" s="7" t="n">
        <v>0.119047619047619</v>
      </c>
      <c r="V92" s="7" t="n">
        <v>0.4267399267399267</v>
      </c>
      <c r="W92" s="7" t="n">
        <v>0.8052884615384616</v>
      </c>
      <c r="X92" s="7" t="n">
        <v>0.4687719823112095</v>
      </c>
      <c r="Y92" s="3">
        <f>IF(X92="","",IF(X92&gt;='Léeme'!$B$6,"barato",IF(X92&lt;'Léeme'!$B$7,"caro","medio")))</f>
        <v/>
      </c>
      <c r="Z92" s="11" t="n">
        <v>0.01295115557311721</v>
      </c>
      <c r="AA92" s="11" t="n">
        <v>0.08737309990745135</v>
      </c>
    </row>
    <row r="93">
      <c r="A93" s="3" t="inlineStr">
        <is>
          <t>2017-T3</t>
        </is>
      </c>
      <c r="B93" s="13" t="n">
        <v>43007</v>
      </c>
      <c r="C93" s="14" t="n">
        <v>57.190001</v>
      </c>
      <c r="D93" s="14" t="n">
        <v>2.88</v>
      </c>
      <c r="E93" s="14" t="n">
        <v>2.544</v>
      </c>
      <c r="F93" s="5" t="n">
        <v>0.0233</v>
      </c>
      <c r="G93" s="5" t="n">
        <v>0.0192812155729698</v>
      </c>
      <c r="H93" s="5" t="n">
        <v>0.0436</v>
      </c>
      <c r="I93" s="15">
        <f>IFERROR(C93/D93,"")</f>
        <v/>
      </c>
      <c r="J93" s="9">
        <f>IFERROR(D93/C93,"")</f>
        <v/>
      </c>
      <c r="K93" s="9">
        <f>IFERROR(E93/C93,"")</f>
        <v/>
      </c>
      <c r="L93" s="9">
        <f>IFERROR(F93-G93,"")</f>
        <v/>
      </c>
      <c r="M93" s="9">
        <f>IFERROR(J93-F93,"")</f>
        <v/>
      </c>
      <c r="N93" s="9">
        <f>IFERROR(J93-L93,"")</f>
        <v/>
      </c>
      <c r="O93" s="9">
        <f>IFERROR(J93-H93,"")</f>
        <v/>
      </c>
      <c r="P93" s="9">
        <f>IFERROR(K93-F93,"")</f>
        <v/>
      </c>
      <c r="Q93" s="7" t="n">
        <v>0.1639676113360324</v>
      </c>
      <c r="R93" s="7" t="n">
        <v>0.4230769230769231</v>
      </c>
      <c r="S93" s="7" t="n">
        <v>0.4352226720647773</v>
      </c>
      <c r="T93" s="7" t="n">
        <v>0.6902834008097166</v>
      </c>
      <c r="U93" s="7" t="n">
        <v>0.09239130434782608</v>
      </c>
      <c r="V93" s="7" t="n">
        <v>0.3786231884057971</v>
      </c>
      <c r="W93" s="7" t="n">
        <v>0.7464454976303317</v>
      </c>
      <c r="X93" s="7" t="n">
        <v>0.4185729425244863</v>
      </c>
      <c r="Y93" s="3">
        <f>IF(X93="","",IF(X93&gt;='Léeme'!$B$6,"barato",IF(X93&lt;'Léeme'!$B$7,"caro","medio")))</f>
        <v/>
      </c>
      <c r="Z93" s="11" t="n">
        <v>0.03404540889105667</v>
      </c>
      <c r="AA93" s="11" t="n">
        <v>0.04414343091733319</v>
      </c>
    </row>
    <row r="94">
      <c r="A94" s="3" t="inlineStr">
        <is>
          <t>2017-T4</t>
        </is>
      </c>
      <c r="B94" s="13" t="n">
        <v>43098</v>
      </c>
      <c r="C94" s="14" t="n">
        <v>57.02</v>
      </c>
      <c r="D94" s="14" t="n">
        <v>2.88</v>
      </c>
      <c r="E94" s="14" t="n">
        <v>2.556</v>
      </c>
      <c r="F94" s="5" t="n">
        <v>0.024</v>
      </c>
      <c r="G94" s="5" t="n">
        <v>0.02172493864295566</v>
      </c>
      <c r="H94" s="5" t="n">
        <v>0.04190000000000001</v>
      </c>
      <c r="I94" s="15">
        <f>IFERROR(C94/D94,"")</f>
        <v/>
      </c>
      <c r="J94" s="9">
        <f>IFERROR(D94/C94,"")</f>
        <v/>
      </c>
      <c r="K94" s="9">
        <f>IFERROR(E94/C94,"")</f>
        <v/>
      </c>
      <c r="L94" s="9">
        <f>IFERROR(F94-G94,"")</f>
        <v/>
      </c>
      <c r="M94" s="9">
        <f>IFERROR(J94-F94,"")</f>
        <v/>
      </c>
      <c r="N94" s="9">
        <f>IFERROR(J94-L94,"")</f>
        <v/>
      </c>
      <c r="O94" s="9">
        <f>IFERROR(J94-H94,"")</f>
        <v/>
      </c>
      <c r="P94" s="9">
        <f>IFERROR(K94-F94,"")</f>
        <v/>
      </c>
      <c r="Q94" s="7" t="n">
        <v>0.178</v>
      </c>
      <c r="R94" s="7" t="n">
        <v>0.398</v>
      </c>
      <c r="S94" s="7" t="n">
        <v>0.466</v>
      </c>
      <c r="T94" s="7" t="n">
        <v>0.77</v>
      </c>
      <c r="U94" s="7" t="n">
        <v>0.1057347670250896</v>
      </c>
      <c r="V94" s="7" t="n">
        <v>0.3709677419354839</v>
      </c>
      <c r="W94" s="7" t="n">
        <v>0.7266355140186916</v>
      </c>
      <c r="X94" s="7" t="n">
        <v>0.4307625747113236</v>
      </c>
      <c r="Y94" s="3">
        <f>IF(X94="","",IF(X94&gt;='Léeme'!$B$6,"barato",IF(X94&lt;'Léeme'!$B$7,"caro","medio")))</f>
        <v/>
      </c>
      <c r="Z94" s="11" t="n">
        <v>0.1508418715904627</v>
      </c>
      <c r="AA94" s="11" t="n">
        <v>0.06593381031781309</v>
      </c>
    </row>
    <row r="95">
      <c r="A95" s="3" t="inlineStr">
        <is>
          <t>2018-T1</t>
        </is>
      </c>
      <c r="B95" s="13" t="n">
        <v>43188</v>
      </c>
      <c r="C95" s="14" t="n">
        <v>51.73</v>
      </c>
      <c r="D95" s="14" t="n">
        <v>2.82</v>
      </c>
      <c r="E95" s="14" t="n">
        <v>2.64</v>
      </c>
      <c r="F95" s="5" t="n">
        <v>0.0274</v>
      </c>
      <c r="G95" s="5" t="n">
        <v>0.02263468931091861</v>
      </c>
      <c r="H95" s="5" t="n">
        <v>0.0463</v>
      </c>
      <c r="I95" s="15">
        <f>IFERROR(C95/D95,"")</f>
        <v/>
      </c>
      <c r="J95" s="9">
        <f>IFERROR(D95/C95,"")</f>
        <v/>
      </c>
      <c r="K95" s="9">
        <f>IFERROR(E95/C95,"")</f>
        <v/>
      </c>
      <c r="L95" s="9">
        <f>IFERROR(F95-G95,"")</f>
        <v/>
      </c>
      <c r="M95" s="9">
        <f>IFERROR(J95-F95,"")</f>
        <v/>
      </c>
      <c r="N95" s="9">
        <f>IFERROR(J95-L95,"")</f>
        <v/>
      </c>
      <c r="O95" s="9">
        <f>IFERROR(J95-H95,"")</f>
        <v/>
      </c>
      <c r="P95" s="9">
        <f>IFERROR(K95-F95,"")</f>
        <v/>
      </c>
      <c r="Q95" s="7" t="n">
        <v>0.3102766798418972</v>
      </c>
      <c r="R95" s="7" t="n">
        <v>0.4288537549407115</v>
      </c>
      <c r="S95" s="7" t="n">
        <v>0.5237154150197628</v>
      </c>
      <c r="T95" s="7" t="n">
        <v>0.7450592885375494</v>
      </c>
      <c r="U95" s="7" t="n">
        <v>0.2606382978723404</v>
      </c>
      <c r="V95" s="7" t="n">
        <v>0.4627659574468085</v>
      </c>
      <c r="W95" s="7" t="n">
        <v>0.836405529953917</v>
      </c>
      <c r="X95" s="7" t="n">
        <v>0.509673560516141</v>
      </c>
      <c r="Y95" s="3">
        <f>IF(X95="","",IF(X95&gt;='Léeme'!$B$6,"barato",IF(X95&lt;'Léeme'!$B$7,"caro","medio")))</f>
        <v/>
      </c>
      <c r="Z95" s="11" t="n">
        <v>0.4733494377795899</v>
      </c>
      <c r="AA95" s="11" t="n">
        <v>0.07983902195801096</v>
      </c>
    </row>
    <row r="96">
      <c r="A96" s="3" t="inlineStr">
        <is>
          <t>2018-T2</t>
        </is>
      </c>
      <c r="B96" s="13" t="n">
        <v>43280</v>
      </c>
      <c r="C96" s="14" t="n">
        <v>53.79</v>
      </c>
      <c r="D96" s="14" t="n">
        <v>2.82</v>
      </c>
      <c r="E96" s="14" t="n">
        <v>2.64</v>
      </c>
      <c r="F96" s="5" t="n">
        <v>0.0285</v>
      </c>
      <c r="G96" s="5" t="n">
        <v>0.02781921607842497</v>
      </c>
      <c r="H96" s="5" t="n">
        <v>0.0484</v>
      </c>
      <c r="I96" s="15">
        <f>IFERROR(C96/D96,"")</f>
        <v/>
      </c>
      <c r="J96" s="9">
        <f>IFERROR(D96/C96,"")</f>
        <v/>
      </c>
      <c r="K96" s="9">
        <f>IFERROR(E96/C96,"")</f>
        <v/>
      </c>
      <c r="L96" s="9">
        <f>IFERROR(F96-G96,"")</f>
        <v/>
      </c>
      <c r="M96" s="9">
        <f>IFERROR(J96-F96,"")</f>
        <v/>
      </c>
      <c r="N96" s="9">
        <f>IFERROR(J96-L96,"")</f>
        <v/>
      </c>
      <c r="O96" s="9">
        <f>IFERROR(J96-H96,"")</f>
        <v/>
      </c>
      <c r="P96" s="9">
        <f>IFERROR(K96-F96,"")</f>
        <v/>
      </c>
      <c r="Q96" s="7" t="n">
        <v>0.236328125</v>
      </c>
      <c r="R96" s="7" t="n">
        <v>0.279296875</v>
      </c>
      <c r="S96" s="7" t="n">
        <v>0.564453125</v>
      </c>
      <c r="T96" s="7" t="n">
        <v>0.556640625</v>
      </c>
      <c r="U96" s="7" t="n">
        <v>0.1912280701754386</v>
      </c>
      <c r="V96" s="7" t="n">
        <v>0.356140350877193</v>
      </c>
      <c r="W96" s="7" t="n">
        <v>0.7613636363636364</v>
      </c>
      <c r="X96" s="7" t="n">
        <v>0.4207786867737525</v>
      </c>
      <c r="Y96" s="3">
        <f>IF(X96="","",IF(X96&gt;='Léeme'!$B$6,"barato",IF(X96&lt;'Léeme'!$B$7,"caro","medio")))</f>
        <v/>
      </c>
      <c r="Z96" s="11" t="n">
        <v>0.3255170238677756</v>
      </c>
      <c r="AA96" s="11" t="n">
        <v>0.06504334657174904</v>
      </c>
    </row>
    <row r="97">
      <c r="A97" s="3" t="inlineStr">
        <is>
          <t>2018-T3</t>
        </is>
      </c>
      <c r="B97" s="13" t="n">
        <v>43371</v>
      </c>
      <c r="C97" s="14" t="n">
        <v>56.89</v>
      </c>
      <c r="D97" s="14" t="n">
        <v>2.82</v>
      </c>
      <c r="E97" s="14" t="n">
        <v>2.652</v>
      </c>
      <c r="F97" s="5" t="n">
        <v>0.0305</v>
      </c>
      <c r="G97" s="5" t="n">
        <v>0.02642923856874257</v>
      </c>
      <c r="H97" s="5" t="n">
        <v>0.0489</v>
      </c>
      <c r="I97" s="15">
        <f>IFERROR(C97/D97,"")</f>
        <v/>
      </c>
      <c r="J97" s="9">
        <f>IFERROR(D97/C97,"")</f>
        <v/>
      </c>
      <c r="K97" s="9">
        <f>IFERROR(E97/C97,"")</f>
        <v/>
      </c>
      <c r="L97" s="9">
        <f>IFERROR(F97-G97,"")</f>
        <v/>
      </c>
      <c r="M97" s="9">
        <f>IFERROR(J97-F97,"")</f>
        <v/>
      </c>
      <c r="N97" s="9">
        <f>IFERROR(J97-L97,"")</f>
        <v/>
      </c>
      <c r="O97" s="9">
        <f>IFERROR(J97-H97,"")</f>
        <v/>
      </c>
      <c r="P97" s="9">
        <f>IFERROR(K97-F97,"")</f>
        <v/>
      </c>
      <c r="Q97" s="7" t="n">
        <v>0.1332046332046332</v>
      </c>
      <c r="R97" s="7" t="n">
        <v>0.1023166023166023</v>
      </c>
      <c r="S97" s="7" t="n">
        <v>0.388030888030888</v>
      </c>
      <c r="T97" s="7" t="n">
        <v>0.3108108108108108</v>
      </c>
      <c r="U97" s="7" t="n">
        <v>0.1475694444444444</v>
      </c>
      <c r="V97" s="7" t="n">
        <v>0.2204861111111111</v>
      </c>
      <c r="W97" s="7" t="n">
        <v>0.6434977578475336</v>
      </c>
      <c r="X97" s="7" t="n">
        <v>0.2779880353951462</v>
      </c>
      <c r="Y97" s="3">
        <f>IF(X97="","",IF(X97&gt;='Léeme'!$B$6,"barato",IF(X97&lt;'Léeme'!$B$7,"caro","medio")))</f>
        <v/>
      </c>
      <c r="Z97" s="11" t="n">
        <v>0.3957261583689355</v>
      </c>
      <c r="AA97" s="11" t="n">
        <v>0.01340939518036088</v>
      </c>
    </row>
    <row r="98">
      <c r="A98" s="3" t="inlineStr">
        <is>
          <t>2018-T4</t>
        </is>
      </c>
      <c r="B98" s="13" t="n">
        <v>43465</v>
      </c>
      <c r="C98" s="14" t="n">
        <v>63.039999</v>
      </c>
      <c r="D98" s="14" t="n">
        <v>2.82</v>
      </c>
      <c r="E98" s="14" t="n">
        <v>2.652</v>
      </c>
      <c r="F98" s="5" t="n">
        <v>0.0269</v>
      </c>
      <c r="G98" s="5" t="n">
        <v>0.02147328577667773</v>
      </c>
      <c r="H98" s="5" t="n">
        <v>0.0516</v>
      </c>
      <c r="I98" s="15">
        <f>IFERROR(C98/D98,"")</f>
        <v/>
      </c>
      <c r="J98" s="9">
        <f>IFERROR(D98/C98,"")</f>
        <v/>
      </c>
      <c r="K98" s="9">
        <f>IFERROR(E98/C98,"")</f>
        <v/>
      </c>
      <c r="L98" s="9">
        <f>IFERROR(F98-G98,"")</f>
        <v/>
      </c>
      <c r="M98" s="9">
        <f>IFERROR(J98-F98,"")</f>
        <v/>
      </c>
      <c r="N98" s="9">
        <f>IFERROR(J98-L98,"")</f>
        <v/>
      </c>
      <c r="O98" s="9">
        <f>IFERROR(J98-H98,"")</f>
        <v/>
      </c>
      <c r="P98" s="9">
        <f>IFERROR(K98-F98,"")</f>
        <v/>
      </c>
      <c r="Q98" s="7" t="n">
        <v>0.04389312977099236</v>
      </c>
      <c r="R98" s="7" t="n">
        <v>0.08587786259541985</v>
      </c>
      <c r="S98" s="7" t="n">
        <v>0.2156488549618321</v>
      </c>
      <c r="T98" s="7" t="n">
        <v>0.04770992366412214</v>
      </c>
      <c r="U98" s="7" t="n">
        <v>0.04639175257731959</v>
      </c>
      <c r="V98" s="7" t="n">
        <v>0.1975945017182131</v>
      </c>
      <c r="W98" s="7" t="n">
        <v>0.4402654867256637</v>
      </c>
      <c r="X98" s="7" t="n">
        <v>0.1539116445733661</v>
      </c>
      <c r="Y98" s="3">
        <f>IF(X98="","",IF(X98&gt;='Léeme'!$B$6,"barato",IF(X98&lt;'Léeme'!$B$7,"caro","medio")))</f>
        <v/>
      </c>
      <c r="Z98" s="11" t="n">
        <v>0.2035375117180565</v>
      </c>
      <c r="AA98" s="11" t="n">
        <v>0.02372379532429481</v>
      </c>
    </row>
    <row r="99">
      <c r="A99" s="3" t="inlineStr">
        <is>
          <t>2019-T1</t>
        </is>
      </c>
      <c r="B99" s="13" t="n">
        <v>43553</v>
      </c>
      <c r="C99" s="14" t="n">
        <v>73.55999799999999</v>
      </c>
      <c r="D99" s="14" t="n">
        <v>3.12</v>
      </c>
      <c r="E99" s="14" t="n">
        <v>2.712</v>
      </c>
      <c r="F99" s="5" t="n">
        <v>0.0241</v>
      </c>
      <c r="G99" s="5" t="n">
        <v>0.01518861535132188</v>
      </c>
      <c r="H99" s="5" t="n">
        <v>0.0466</v>
      </c>
      <c r="I99" s="15">
        <f>IFERROR(C99/D99,"")</f>
        <v/>
      </c>
      <c r="J99" s="9">
        <f>IFERROR(D99/C99,"")</f>
        <v/>
      </c>
      <c r="K99" s="9">
        <f>IFERROR(E99/C99,"")</f>
        <v/>
      </c>
      <c r="L99" s="9">
        <f>IFERROR(F99-G99,"")</f>
        <v/>
      </c>
      <c r="M99" s="9">
        <f>IFERROR(J99-F99,"")</f>
        <v/>
      </c>
      <c r="N99" s="9">
        <f>IFERROR(J99-L99,"")</f>
        <v/>
      </c>
      <c r="O99" s="9">
        <f>IFERROR(J99-H99,"")</f>
        <v/>
      </c>
      <c r="P99" s="9">
        <f>IFERROR(K99-F99,"")</f>
        <v/>
      </c>
      <c r="Q99" s="7" t="n">
        <v>0.02452830188679245</v>
      </c>
      <c r="R99" s="7" t="n">
        <v>0.1</v>
      </c>
      <c r="S99" s="7" t="n">
        <v>0.08867924528301886</v>
      </c>
      <c r="T99" s="7" t="n">
        <v>0.1264150943396226</v>
      </c>
      <c r="U99" s="7" t="n">
        <v>0.0119047619047619</v>
      </c>
      <c r="V99" s="7" t="n">
        <v>0.1003401360544218</v>
      </c>
      <c r="W99" s="7" t="n">
        <v>0.3034934497816594</v>
      </c>
      <c r="X99" s="7" t="n">
        <v>0.1079087127500396</v>
      </c>
      <c r="Y99" s="3">
        <f>IF(X99="","",IF(X99&gt;='Léeme'!$B$6,"barato",IF(X99&lt;'Léeme'!$B$7,"caro","medio")))</f>
        <v/>
      </c>
      <c r="Z99" s="11" t="n">
        <v>-0.2051265097685556</v>
      </c>
      <c r="AA99" s="11" t="n">
        <v>-0.0183980648481552</v>
      </c>
    </row>
    <row r="100">
      <c r="A100" s="3" t="inlineStr">
        <is>
          <t>2019-T2</t>
        </is>
      </c>
      <c r="B100" s="13" t="n">
        <v>43644</v>
      </c>
      <c r="C100" s="14" t="n">
        <v>68.97000300000001</v>
      </c>
      <c r="D100" s="14" t="n">
        <v>3.12</v>
      </c>
      <c r="E100" s="14" t="n">
        <v>2.724</v>
      </c>
      <c r="F100" s="5" t="n">
        <v>0.02</v>
      </c>
      <c r="G100" s="5" t="n">
        <v>0.01795910555360614</v>
      </c>
      <c r="H100" s="5" t="n">
        <v>0.0432</v>
      </c>
      <c r="I100" s="15">
        <f>IFERROR(C100/D100,"")</f>
        <v/>
      </c>
      <c r="J100" s="9">
        <f>IFERROR(D100/C100,"")</f>
        <v/>
      </c>
      <c r="K100" s="9">
        <f>IFERROR(E100/C100,"")</f>
        <v/>
      </c>
      <c r="L100" s="9">
        <f>IFERROR(F100-G100,"")</f>
        <v/>
      </c>
      <c r="M100" s="9">
        <f>IFERROR(J100-F100,"")</f>
        <v/>
      </c>
      <c r="N100" s="9">
        <f>IFERROR(J100-L100,"")</f>
        <v/>
      </c>
      <c r="O100" s="9">
        <f>IFERROR(J100-H100,"")</f>
        <v/>
      </c>
      <c r="P100" s="9">
        <f>IFERROR(K100-F100,"")</f>
        <v/>
      </c>
      <c r="Q100" s="7" t="n">
        <v>0.06902985074626866</v>
      </c>
      <c r="R100" s="7" t="n">
        <v>0.3638059701492538</v>
      </c>
      <c r="S100" s="7" t="n">
        <v>0.3376865671641791</v>
      </c>
      <c r="T100" s="7" t="n">
        <v>0.4272388059701492</v>
      </c>
      <c r="U100" s="7" t="n">
        <v>0.03535353535353535</v>
      </c>
      <c r="V100" s="7" t="n">
        <v>0.3484848484848485</v>
      </c>
      <c r="W100" s="7" t="n">
        <v>0.4935344827586207</v>
      </c>
      <c r="X100" s="7" t="n">
        <v>0.2964477229466936</v>
      </c>
      <c r="Y100" s="3">
        <f>IF(X100="","",IF(X100&gt;='Léeme'!$B$6,"barato",IF(X100&lt;'Léeme'!$B$7,"caro","medio")))</f>
        <v/>
      </c>
      <c r="Z100" s="11" t="n">
        <v>-0.1273772041492487</v>
      </c>
      <c r="AA100" s="11" t="n">
        <v>-0.01042036814928904</v>
      </c>
    </row>
    <row r="101">
      <c r="A101" s="3" t="inlineStr">
        <is>
          <t>2019-T3</t>
        </is>
      </c>
      <c r="B101" s="13" t="n">
        <v>43738</v>
      </c>
      <c r="C101" s="14" t="n">
        <v>76.679997</v>
      </c>
      <c r="D101" s="14" t="n">
        <v>3.12</v>
      </c>
      <c r="E101" s="14" t="n">
        <v>2.724</v>
      </c>
      <c r="F101" s="5" t="n">
        <v>0.0168</v>
      </c>
      <c r="G101" s="5" t="n">
        <v>0.01737641210666641</v>
      </c>
      <c r="H101" s="5" t="n">
        <v>0.0388</v>
      </c>
      <c r="I101" s="15">
        <f>IFERROR(C101/D101,"")</f>
        <v/>
      </c>
      <c r="J101" s="9">
        <f>IFERROR(D101/C101,"")</f>
        <v/>
      </c>
      <c r="K101" s="9">
        <f>IFERROR(E101/C101,"")</f>
        <v/>
      </c>
      <c r="L101" s="9">
        <f>IFERROR(F101-G101,"")</f>
        <v/>
      </c>
      <c r="M101" s="9">
        <f>IFERROR(J101-F101,"")</f>
        <v/>
      </c>
      <c r="N101" s="9">
        <f>IFERROR(J101-L101,"")</f>
        <v/>
      </c>
      <c r="O101" s="9">
        <f>IFERROR(J101-H101,"")</f>
        <v/>
      </c>
      <c r="P101" s="9">
        <f>IFERROR(K101-F101,"")</f>
        <v/>
      </c>
      <c r="Q101" s="7" t="n">
        <v>0.01291512915129151</v>
      </c>
      <c r="R101" s="7" t="n">
        <v>0.3044280442804428</v>
      </c>
      <c r="S101" s="7" t="n">
        <v>0.2712177121771218</v>
      </c>
      <c r="T101" s="7" t="n">
        <v>0.4114391143911439</v>
      </c>
      <c r="U101" s="7" t="n">
        <v>0.008333333333333333</v>
      </c>
      <c r="V101" s="7" t="n">
        <v>0.3316666666666667</v>
      </c>
      <c r="W101" s="7" t="n">
        <v>0.2276595744680851</v>
      </c>
      <c r="X101" s="7" t="n">
        <v>0.223951367781155</v>
      </c>
      <c r="Y101" s="3">
        <f>IF(X101="","",IF(X101&gt;='Léeme'!$B$6,"barato",IF(X101&lt;'Léeme'!$B$7,"caro","medio")))</f>
        <v/>
      </c>
      <c r="Z101" s="11" t="n">
        <v>-0.1796633842763878</v>
      </c>
      <c r="AA101" s="11" t="n">
        <v>0.005636808479478894</v>
      </c>
    </row>
    <row r="102">
      <c r="A102" s="3" t="inlineStr">
        <is>
          <t>2019-T4</t>
        </is>
      </c>
      <c r="B102" s="13" t="n">
        <v>43830</v>
      </c>
      <c r="C102" s="14" t="n">
        <v>73.630002</v>
      </c>
      <c r="D102" s="14" t="n">
        <v>3.12</v>
      </c>
      <c r="E102" s="14" t="n">
        <v>2.736</v>
      </c>
      <c r="F102" s="5" t="n">
        <v>0.0192</v>
      </c>
      <c r="G102" s="5" t="n">
        <v>0.02092290394862917</v>
      </c>
      <c r="H102" s="5" t="n">
        <v>0.0387</v>
      </c>
      <c r="I102" s="15">
        <f>IFERROR(C102/D102,"")</f>
        <v/>
      </c>
      <c r="J102" s="9">
        <f>IFERROR(D102/C102,"")</f>
        <v/>
      </c>
      <c r="K102" s="9">
        <f>IFERROR(E102/C102,"")</f>
        <v/>
      </c>
      <c r="L102" s="9">
        <f>IFERROR(F102-G102,"")</f>
        <v/>
      </c>
      <c r="M102" s="9">
        <f>IFERROR(J102-F102,"")</f>
        <v/>
      </c>
      <c r="N102" s="9">
        <f>IFERROR(J102-L102,"")</f>
        <v/>
      </c>
      <c r="O102" s="9">
        <f>IFERROR(J102-H102,"")</f>
        <v/>
      </c>
      <c r="P102" s="9">
        <f>IFERROR(K102-F102,"")</f>
        <v/>
      </c>
      <c r="Q102" s="7" t="n">
        <v>0.03832116788321168</v>
      </c>
      <c r="R102" s="7" t="n">
        <v>0.2864963503649635</v>
      </c>
      <c r="S102" s="7" t="n">
        <v>0.3704379562043796</v>
      </c>
      <c r="T102" s="7" t="n">
        <v>0.5529197080291971</v>
      </c>
      <c r="U102" s="7" t="n">
        <v>0.03135313531353135</v>
      </c>
      <c r="V102" s="7" t="n">
        <v>0.3184818481848185</v>
      </c>
      <c r="W102" s="7" t="n">
        <v>0.4054621848739496</v>
      </c>
      <c r="X102" s="7" t="n">
        <v>0.286210335836293</v>
      </c>
      <c r="Y102" s="3">
        <f>IF(X102="","",IF(X102&gt;='Léeme'!$B$6,"barato",IF(X102&lt;'Léeme'!$B$7,"caro","medio")))</f>
        <v/>
      </c>
      <c r="Z102" s="11" t="n">
        <v>-0.1236936570474119</v>
      </c>
      <c r="AA102" s="11" t="n">
        <v>-0.01970353604285813</v>
      </c>
    </row>
    <row r="103">
      <c r="A103" s="3" t="inlineStr">
        <is>
          <t>2020-T1</t>
        </is>
      </c>
      <c r="B103" s="13" t="n">
        <v>43921</v>
      </c>
      <c r="C103" s="14" t="n">
        <v>49.86</v>
      </c>
      <c r="D103" s="14" t="n">
        <v>3.12</v>
      </c>
      <c r="E103" s="14" t="n">
        <v>2.796</v>
      </c>
      <c r="F103" s="5" t="n">
        <v>0.006999999999999999</v>
      </c>
      <c r="G103" s="5" t="n">
        <v>0.0234131667975952</v>
      </c>
      <c r="H103" s="5" t="n">
        <v>0.0459</v>
      </c>
      <c r="I103" s="15">
        <f>IFERROR(C103/D103,"")</f>
        <v/>
      </c>
      <c r="J103" s="9">
        <f>IFERROR(D103/C103,"")</f>
        <v/>
      </c>
      <c r="K103" s="9">
        <f>IFERROR(E103/C103,"")</f>
        <v/>
      </c>
      <c r="L103" s="9">
        <f>IFERROR(F103-G103,"")</f>
        <v/>
      </c>
      <c r="M103" s="9">
        <f>IFERROR(J103-F103,"")</f>
        <v/>
      </c>
      <c r="N103" s="9">
        <f>IFERROR(J103-L103,"")</f>
        <v/>
      </c>
      <c r="O103" s="9">
        <f>IFERROR(J103-H103,"")</f>
        <v/>
      </c>
      <c r="P103" s="9">
        <f>IFERROR(K103-F103,"")</f>
        <v/>
      </c>
      <c r="Q103" s="7" t="n">
        <v>0.4927797833935018</v>
      </c>
      <c r="R103" s="7" t="n">
        <v>0.9729241877256317</v>
      </c>
      <c r="S103" s="7" t="n">
        <v>0.9404332129963899</v>
      </c>
      <c r="T103" s="7" t="n">
        <v>0.8935018050541517</v>
      </c>
      <c r="U103" s="7" t="n">
        <v>0.4395424836601307</v>
      </c>
      <c r="V103" s="7" t="n">
        <v>0.9787581699346405</v>
      </c>
      <c r="W103" s="7" t="n">
        <v>0.9771784232365145</v>
      </c>
      <c r="X103" s="7" t="n">
        <v>0.8135882951429945</v>
      </c>
      <c r="Y103" s="3">
        <f>IF(X103="","",IF(X103&gt;='Léeme'!$B$6,"barato",IF(X103&lt;'Léeme'!$B$7,"caro","medio")))</f>
        <v/>
      </c>
      <c r="Z103" s="11" t="n">
        <v>0.3225122305716124</v>
      </c>
      <c r="AA103" s="11" t="n">
        <v>0.07807091772258712</v>
      </c>
    </row>
    <row r="104">
      <c r="A104" s="3" t="inlineStr">
        <is>
          <t>2020-T2</t>
        </is>
      </c>
      <c r="B104" s="13" t="n">
        <v>44012</v>
      </c>
      <c r="C104" s="14" t="n">
        <v>59.500002</v>
      </c>
      <c r="D104" s="14" t="n">
        <v>3.12</v>
      </c>
      <c r="E104" s="14" t="n">
        <v>2.808</v>
      </c>
      <c r="F104" s="5" t="n">
        <v>0.0066</v>
      </c>
      <c r="G104" s="5" t="n">
        <v>0.001982013035848551</v>
      </c>
      <c r="H104" s="5" t="n">
        <v>0.0358</v>
      </c>
      <c r="I104" s="15">
        <f>IFERROR(C104/D104,"")</f>
        <v/>
      </c>
      <c r="J104" s="9">
        <f>IFERROR(D104/C104,"")</f>
        <v/>
      </c>
      <c r="K104" s="9">
        <f>IFERROR(E104/C104,"")</f>
        <v/>
      </c>
      <c r="L104" s="9">
        <f>IFERROR(F104-G104,"")</f>
        <v/>
      </c>
      <c r="M104" s="9">
        <f>IFERROR(J104-F104,"")</f>
        <v/>
      </c>
      <c r="N104" s="9">
        <f>IFERROR(J104-L104,"")</f>
        <v/>
      </c>
      <c r="O104" s="9">
        <f>IFERROR(J104-H104,"")</f>
        <v/>
      </c>
      <c r="P104" s="9">
        <f>IFERROR(K104-F104,"")</f>
        <v/>
      </c>
      <c r="Q104" s="7" t="n">
        <v>0.2946428571428572</v>
      </c>
      <c r="R104" s="7" t="n">
        <v>0.9017857142857143</v>
      </c>
      <c r="S104" s="7" t="n">
        <v>0.4625</v>
      </c>
      <c r="T104" s="7" t="n">
        <v>0.8803571428571428</v>
      </c>
      <c r="U104" s="7" t="n">
        <v>0.1957928802588997</v>
      </c>
      <c r="V104" s="7" t="n">
        <v>0.9530744336569579</v>
      </c>
      <c r="W104" s="7" t="n">
        <v>0.8463114754098361</v>
      </c>
      <c r="X104" s="7" t="n">
        <v>0.6477806433730583</v>
      </c>
      <c r="Y104" s="3">
        <f>IF(X104="","",IF(X104&gt;='Léeme'!$B$6,"barato",IF(X104&lt;'Léeme'!$B$7,"caro","medio")))</f>
        <v/>
      </c>
      <c r="Z104" s="11" t="n">
        <v>0.1629164908329899</v>
      </c>
      <c r="AA104" s="11" t="n">
        <v>0.03948098589974647</v>
      </c>
    </row>
    <row r="105">
      <c r="A105" s="3" t="inlineStr">
        <is>
          <t>2020-T3</t>
        </is>
      </c>
      <c r="B105" s="13" t="n">
        <v>44104</v>
      </c>
      <c r="C105" s="14" t="n">
        <v>60.750001</v>
      </c>
      <c r="D105" s="14" t="n">
        <v>3.12</v>
      </c>
      <c r="E105" s="14" t="n">
        <v>2.808</v>
      </c>
      <c r="F105" s="5" t="n">
        <v>0.0069</v>
      </c>
      <c r="G105" s="5" t="n">
        <v>0.01281069849552385</v>
      </c>
      <c r="H105" s="5" t="n">
        <v>0.034</v>
      </c>
      <c r="I105" s="15">
        <f>IFERROR(C105/D105,"")</f>
        <v/>
      </c>
      <c r="J105" s="9">
        <f>IFERROR(D105/C105,"")</f>
        <v/>
      </c>
      <c r="K105" s="9">
        <f>IFERROR(E105/C105,"")</f>
        <v/>
      </c>
      <c r="L105" s="9">
        <f>IFERROR(F105-G105,"")</f>
        <v/>
      </c>
      <c r="M105" s="9">
        <f>IFERROR(J105-F105,"")</f>
        <v/>
      </c>
      <c r="N105" s="9">
        <f>IFERROR(J105-L105,"")</f>
        <v/>
      </c>
      <c r="O105" s="9">
        <f>IFERROR(J105-H105,"")</f>
        <v/>
      </c>
      <c r="P105" s="9">
        <f>IFERROR(K105-F105,"")</f>
        <v/>
      </c>
      <c r="Q105" s="7" t="n">
        <v>0.2455830388692579</v>
      </c>
      <c r="R105" s="7" t="n">
        <v>0.8816254416961131</v>
      </c>
      <c r="S105" s="7" t="n">
        <v>0.6943462897526502</v>
      </c>
      <c r="T105" s="7" t="n">
        <v>0.8886925795053003</v>
      </c>
      <c r="U105" s="7" t="n">
        <v>0.1907051282051282</v>
      </c>
      <c r="V105" s="7" t="n">
        <v>0.9342948717948718</v>
      </c>
      <c r="W105" s="7" t="n">
        <v>0.8036437246963563</v>
      </c>
      <c r="X105" s="7" t="n">
        <v>0.6626987249313825</v>
      </c>
      <c r="Y105" s="3">
        <f>IF(X105="","",IF(X105&gt;='Léeme'!$B$6,"barato",IF(X105&lt;'Léeme'!$B$7,"caro","medio")))</f>
        <v/>
      </c>
      <c r="Z105" s="11" t="n">
        <v>0.1057947024026247</v>
      </c>
      <c r="AA105" s="11" t="n">
        <v>0.0467764002069222</v>
      </c>
    </row>
    <row r="106">
      <c r="A106" s="3" t="inlineStr">
        <is>
          <t>2020-T4</t>
        </is>
      </c>
      <c r="B106" s="13" t="n">
        <v>44196</v>
      </c>
      <c r="C106" s="14" t="n">
        <v>62.17</v>
      </c>
      <c r="D106" s="14" t="n">
        <v>3.12</v>
      </c>
      <c r="E106" s="14" t="n">
        <v>2.82</v>
      </c>
      <c r="F106" s="5" t="n">
        <v>0.009300000000000001</v>
      </c>
      <c r="G106" s="5" t="n">
        <v>0.01175745213840584</v>
      </c>
      <c r="H106" s="5" t="n">
        <v>0.0313</v>
      </c>
      <c r="I106" s="15">
        <f>IFERROR(C106/D106,"")</f>
        <v/>
      </c>
      <c r="J106" s="9">
        <f>IFERROR(D106/C106,"")</f>
        <v/>
      </c>
      <c r="K106" s="9">
        <f>IFERROR(E106/C106,"")</f>
        <v/>
      </c>
      <c r="L106" s="9">
        <f>IFERROR(F106-G106,"")</f>
        <v/>
      </c>
      <c r="M106" s="9">
        <f>IFERROR(J106-F106,"")</f>
        <v/>
      </c>
      <c r="N106" s="9">
        <f>IFERROR(J106-L106,"")</f>
        <v/>
      </c>
      <c r="O106" s="9">
        <f>IFERROR(J106-H106,"")</f>
        <v/>
      </c>
      <c r="P106" s="9">
        <f>IFERROR(K106-F106,"")</f>
        <v/>
      </c>
      <c r="Q106" s="7" t="n">
        <v>0.201048951048951</v>
      </c>
      <c r="R106" s="7" t="n">
        <v>0.8094405594405595</v>
      </c>
      <c r="S106" s="7" t="n">
        <v>0.6031468531468531</v>
      </c>
      <c r="T106" s="7" t="n">
        <v>0.9073426573426573</v>
      </c>
      <c r="U106" s="7" t="n">
        <v>0.1634920634920635</v>
      </c>
      <c r="V106" s="7" t="n">
        <v>0.8809523809523809</v>
      </c>
      <c r="W106" s="7" t="n">
        <v>0.754</v>
      </c>
      <c r="X106" s="7" t="n">
        <v>0.6170604950604951</v>
      </c>
      <c r="Y106" s="3">
        <f>IF(X106="","",IF(X106&gt;='Léeme'!$B$6,"barato",IF(X106&lt;'Léeme'!$B$7,"caro","medio")))</f>
        <v/>
      </c>
      <c r="Z106" s="11" t="n">
        <v>0.229522595475943</v>
      </c>
      <c r="AA106" s="11" t="n">
        <v>0.02746403853928592</v>
      </c>
    </row>
    <row r="107">
      <c r="A107" s="3" t="inlineStr">
        <is>
          <t>2021-T1</t>
        </is>
      </c>
      <c r="B107" s="13" t="n">
        <v>44286</v>
      </c>
      <c r="C107" s="14" t="n">
        <v>63.500002</v>
      </c>
      <c r="D107" s="14" t="n">
        <v>3.12</v>
      </c>
      <c r="E107" s="14" t="n">
        <v>2.82</v>
      </c>
      <c r="F107" s="5" t="n">
        <v>0.0174</v>
      </c>
      <c r="G107" s="5" t="n">
        <v>0.01669816779170685</v>
      </c>
      <c r="H107" s="5" t="n">
        <v>0.0377</v>
      </c>
      <c r="I107" s="15">
        <f>IFERROR(C107/D107,"")</f>
        <v/>
      </c>
      <c r="J107" s="9">
        <f>IFERROR(D107/C107,"")</f>
        <v/>
      </c>
      <c r="K107" s="9">
        <f>IFERROR(E107/C107,"")</f>
        <v/>
      </c>
      <c r="L107" s="9">
        <f>IFERROR(F107-G107,"")</f>
        <v/>
      </c>
      <c r="M107" s="9">
        <f>IFERROR(J107-F107,"")</f>
        <v/>
      </c>
      <c r="N107" s="9">
        <f>IFERROR(J107-L107,"")</f>
        <v/>
      </c>
      <c r="O107" s="9">
        <f>IFERROR(J107-H107,"")</f>
        <v/>
      </c>
      <c r="P107" s="9">
        <f>IFERROR(K107-F107,"")</f>
        <v/>
      </c>
      <c r="Q107" s="7" t="n">
        <v>0.1678200692041522</v>
      </c>
      <c r="R107" s="7" t="n">
        <v>0.6211072664359861</v>
      </c>
      <c r="S107" s="7" t="n">
        <v>0.4757785467128028</v>
      </c>
      <c r="T107" s="7" t="n">
        <v>0.8044982698961938</v>
      </c>
      <c r="U107" s="7" t="n">
        <v>0.1336477987421384</v>
      </c>
      <c r="V107" s="7" t="n">
        <v>0.6305031446540881</v>
      </c>
      <c r="W107" s="7" t="n">
        <v>0.6897233201581028</v>
      </c>
      <c r="X107" s="7" t="n">
        <v>0.5032969165433521</v>
      </c>
      <c r="Y107" s="3">
        <f>IF(X107="","",IF(X107&gt;='Léeme'!$B$6,"barato",IF(X107&lt;'Léeme'!$B$7,"caro","medio")))</f>
        <v/>
      </c>
      <c r="Z107" s="11" t="n">
        <v>0.1645961308810164</v>
      </c>
      <c r="AA107" s="11" t="n">
        <v>0.04023150234886685</v>
      </c>
    </row>
    <row r="108">
      <c r="A108" s="3" t="inlineStr">
        <is>
          <t>2021-T2</t>
        </is>
      </c>
      <c r="B108" s="13" t="n">
        <v>44377</v>
      </c>
      <c r="C108" s="14" t="n">
        <v>66.739997</v>
      </c>
      <c r="D108" s="14" t="n">
        <v>3.12</v>
      </c>
      <c r="E108" s="14" t="n">
        <v>2.832</v>
      </c>
      <c r="F108" s="5" t="n">
        <v>0.0145</v>
      </c>
      <c r="G108" s="5" t="n">
        <v>0.04918257089467626</v>
      </c>
      <c r="H108" s="5" t="n">
        <v>0.0336</v>
      </c>
      <c r="I108" s="15">
        <f>IFERROR(C108/D108,"")</f>
        <v/>
      </c>
      <c r="J108" s="9">
        <f>IFERROR(D108/C108,"")</f>
        <v/>
      </c>
      <c r="K108" s="9">
        <f>IFERROR(E108/C108,"")</f>
        <v/>
      </c>
      <c r="L108" s="9">
        <f>IFERROR(F108-G108,"")</f>
        <v/>
      </c>
      <c r="M108" s="9">
        <f>IFERROR(J108-F108,"")</f>
        <v/>
      </c>
      <c r="N108" s="9">
        <f>IFERROR(J108-L108,"")</f>
        <v/>
      </c>
      <c r="O108" s="9">
        <f>IFERROR(J108-H108,"")</f>
        <v/>
      </c>
      <c r="P108" s="9">
        <f>IFERROR(K108-F108,"")</f>
        <v/>
      </c>
      <c r="Q108" s="7" t="n">
        <v>0.1147260273972603</v>
      </c>
      <c r="R108" s="7" t="n">
        <v>0.6455479452054794</v>
      </c>
      <c r="S108" s="7" t="n">
        <v>0.9503424657534246</v>
      </c>
      <c r="T108" s="7" t="n">
        <v>0.833904109589041</v>
      </c>
      <c r="U108" s="7" t="n">
        <v>0.09813084112149532</v>
      </c>
      <c r="V108" s="7" t="n">
        <v>0.6931464174454829</v>
      </c>
      <c r="W108" s="7" t="n">
        <v>0.587890625</v>
      </c>
      <c r="X108" s="7" t="n">
        <v>0.5605269187874548</v>
      </c>
      <c r="Y108" s="3">
        <f>IF(X108="","",IF(X108&gt;='Léeme'!$B$6,"barato",IF(X108&lt;'Léeme'!$B$7,"caro","medio")))</f>
        <v/>
      </c>
      <c r="Z108" s="11" t="n">
        <v>0.09181744227771804</v>
      </c>
      <c r="AA108" s="11" t="n">
        <v>0.03297802927711357</v>
      </c>
    </row>
    <row r="109">
      <c r="A109" s="3" t="inlineStr">
        <is>
          <t>2021-T3</t>
        </is>
      </c>
      <c r="B109" s="13" t="n">
        <v>44469</v>
      </c>
      <c r="C109" s="14" t="n">
        <v>64.86000199999999</v>
      </c>
      <c r="D109" s="14" t="n">
        <v>3.12</v>
      </c>
      <c r="E109" s="14" t="n">
        <v>2.832</v>
      </c>
      <c r="F109" s="5" t="n">
        <v>0.0152</v>
      </c>
      <c r="G109" s="5" t="n">
        <v>0.05152015301793966</v>
      </c>
      <c r="H109" s="5" t="n">
        <v>0.0336</v>
      </c>
      <c r="I109" s="15">
        <f>IFERROR(C109/D109,"")</f>
        <v/>
      </c>
      <c r="J109" s="9">
        <f>IFERROR(D109/C109,"")</f>
        <v/>
      </c>
      <c r="K109" s="9">
        <f>IFERROR(E109/C109,"")</f>
        <v/>
      </c>
      <c r="L109" s="9">
        <f>IFERROR(F109-G109,"")</f>
        <v/>
      </c>
      <c r="M109" s="9">
        <f>IFERROR(J109-F109,"")</f>
        <v/>
      </c>
      <c r="N109" s="9">
        <f>IFERROR(J109-L109,"")</f>
        <v/>
      </c>
      <c r="O109" s="9">
        <f>IFERROR(J109-H109,"")</f>
        <v/>
      </c>
      <c r="P109" s="9">
        <f>IFERROR(K109-F109,"")</f>
        <v/>
      </c>
      <c r="Q109" s="7" t="n">
        <v>0.1610169491525424</v>
      </c>
      <c r="R109" s="7" t="n">
        <v>0.6559322033898305</v>
      </c>
      <c r="S109" s="7" t="n">
        <v>0.9610169491525423</v>
      </c>
      <c r="T109" s="7" t="n">
        <v>0.8389830508474576</v>
      </c>
      <c r="U109" s="7" t="n">
        <v>0.1280864197530864</v>
      </c>
      <c r="V109" s="7" t="n">
        <v>0.7175925925925926</v>
      </c>
      <c r="W109" s="7" t="n">
        <v>0.6389961389961391</v>
      </c>
      <c r="X109" s="7" t="n">
        <v>0.5859463291263129</v>
      </c>
      <c r="Y109" s="3">
        <f>IF(X109="","",IF(X109&gt;='Léeme'!$B$6,"barato",IF(X109&lt;'Léeme'!$B$7,"caro","medio")))</f>
        <v/>
      </c>
      <c r="Z109" s="11" t="n">
        <v>-0.0413594103423931</v>
      </c>
      <c r="AA109" s="11" t="n"/>
    </row>
    <row r="110">
      <c r="A110" s="3" t="inlineStr">
        <is>
          <t>2021-T4</t>
        </is>
      </c>
      <c r="B110" s="13" t="n">
        <v>44561</v>
      </c>
      <c r="C110" s="14" t="n">
        <v>71.589996</v>
      </c>
      <c r="D110" s="14" t="n">
        <v>3.12</v>
      </c>
      <c r="E110" s="14" t="n">
        <v>2.964</v>
      </c>
      <c r="F110" s="5" t="n">
        <v>0.0152</v>
      </c>
      <c r="G110" s="5" t="n">
        <v>0.06901970403700863</v>
      </c>
      <c r="H110" s="5" t="n">
        <v>0.0337</v>
      </c>
      <c r="I110" s="15">
        <f>IFERROR(C110/D110,"")</f>
        <v/>
      </c>
      <c r="J110" s="9">
        <f>IFERROR(D110/C110,"")</f>
        <v/>
      </c>
      <c r="K110" s="9">
        <f>IFERROR(E110/C110,"")</f>
        <v/>
      </c>
      <c r="L110" s="9">
        <f>IFERROR(F110-G110,"")</f>
        <v/>
      </c>
      <c r="M110" s="9">
        <f>IFERROR(J110-F110,"")</f>
        <v/>
      </c>
      <c r="N110" s="9">
        <f>IFERROR(J110-L110,"")</f>
        <v/>
      </c>
      <c r="O110" s="9">
        <f>IFERROR(J110-H110,"")</f>
        <v/>
      </c>
      <c r="P110" s="9">
        <f>IFERROR(K110-F110,"")</f>
        <v/>
      </c>
      <c r="Q110" s="7" t="n">
        <v>0.06543624161073826</v>
      </c>
      <c r="R110" s="7" t="n">
        <v>0.4983221476510067</v>
      </c>
      <c r="S110" s="7" t="n">
        <v>0.9916107382550335</v>
      </c>
      <c r="T110" s="7" t="n">
        <v>0.7533557046979866</v>
      </c>
      <c r="U110" s="7" t="n">
        <v>0.09327217125382263</v>
      </c>
      <c r="V110" s="7" t="n">
        <v>0.5917431192660551</v>
      </c>
      <c r="W110" s="7" t="n">
        <v>0.4446564885496183</v>
      </c>
      <c r="X110" s="7" t="n">
        <v>0.4911995158977516</v>
      </c>
      <c r="Y110" s="3">
        <f>IF(X110="","",IF(X110&gt;='Léeme'!$B$6,"barato",IF(X110&lt;'Léeme'!$B$7,"caro","medio")))</f>
        <v/>
      </c>
      <c r="Z110" s="11" t="n">
        <v>-0.08172975340851873</v>
      </c>
      <c r="AA110" s="11" t="n"/>
    </row>
    <row r="111">
      <c r="A111" s="3" t="inlineStr">
        <is>
          <t>2022-T1</t>
        </is>
      </c>
      <c r="B111" s="13" t="n">
        <v>44651</v>
      </c>
      <c r="C111" s="14" t="n">
        <v>69.300003</v>
      </c>
      <c r="D111" s="14" t="n">
        <v>3.12</v>
      </c>
      <c r="E111" s="14" t="n">
        <v>2.964</v>
      </c>
      <c r="F111" s="5" t="n">
        <v>0.0232</v>
      </c>
      <c r="G111" s="5" t="n">
        <v>0.07937278766517819</v>
      </c>
      <c r="H111" s="5" t="n">
        <v>0.0428</v>
      </c>
      <c r="I111" s="15">
        <f>IFERROR(C111/D111,"")</f>
        <v/>
      </c>
      <c r="J111" s="9">
        <f>IFERROR(D111/C111,"")</f>
        <v/>
      </c>
      <c r="K111" s="9">
        <f>IFERROR(E111/C111,"")</f>
        <v/>
      </c>
      <c r="L111" s="9">
        <f>IFERROR(F111-G111,"")</f>
        <v/>
      </c>
      <c r="M111" s="9">
        <f>IFERROR(J111-F111,"")</f>
        <v/>
      </c>
      <c r="N111" s="9">
        <f>IFERROR(J111-L111,"")</f>
        <v/>
      </c>
      <c r="O111" s="9">
        <f>IFERROR(J111-H111,"")</f>
        <v/>
      </c>
      <c r="P111" s="9">
        <f>IFERROR(K111-F111,"")</f>
        <v/>
      </c>
      <c r="Q111" s="7" t="n">
        <v>0.0946843853820598</v>
      </c>
      <c r="R111" s="7" t="n">
        <v>0.2275747508305648</v>
      </c>
      <c r="S111" s="7" t="n">
        <v>0.9916943521594684</v>
      </c>
      <c r="T111" s="7" t="n">
        <v>0.4003322259136213</v>
      </c>
      <c r="U111" s="7" t="n">
        <v>0.1257575757575758</v>
      </c>
      <c r="V111" s="7" t="n">
        <v>0.3318181818181818</v>
      </c>
      <c r="W111" s="7" t="n">
        <v>0.5226415094339623</v>
      </c>
      <c r="X111" s="7" t="n">
        <v>0.3849289973279192</v>
      </c>
      <c r="Y111" s="3">
        <f>IF(X111="","",IF(X111&gt;='Léeme'!$B$6,"barato",IF(X111&lt;'Léeme'!$B$7,"caro","medio")))</f>
        <v/>
      </c>
      <c r="Z111" s="11" t="n">
        <v>-0.05240724980582867</v>
      </c>
      <c r="AA111" s="11" t="n"/>
    </row>
    <row r="112">
      <c r="A112" s="3" t="inlineStr">
        <is>
          <t>2022-T2</t>
        </is>
      </c>
      <c r="B112" s="13" t="n">
        <v>44742</v>
      </c>
      <c r="C112" s="14" t="n">
        <v>68.260002</v>
      </c>
      <c r="D112" s="14" t="n">
        <v>3.12</v>
      </c>
      <c r="E112" s="14" t="n">
        <v>2.976</v>
      </c>
      <c r="F112" s="5" t="n">
        <v>0.0298</v>
      </c>
      <c r="G112" s="5" t="n">
        <v>0.08538171195642064</v>
      </c>
      <c r="H112" s="5" t="n">
        <v>0.0534</v>
      </c>
      <c r="I112" s="15">
        <f>IFERROR(C112/D112,"")</f>
        <v/>
      </c>
      <c r="J112" s="9">
        <f>IFERROR(D112/C112,"")</f>
        <v/>
      </c>
      <c r="K112" s="9">
        <f>IFERROR(E112/C112,"")</f>
        <v/>
      </c>
      <c r="L112" s="9">
        <f>IFERROR(F112-G112,"")</f>
        <v/>
      </c>
      <c r="M112" s="9">
        <f>IFERROR(J112-F112,"")</f>
        <v/>
      </c>
      <c r="N112" s="9">
        <f>IFERROR(J112-L112,"")</f>
        <v/>
      </c>
      <c r="O112" s="9">
        <f>IFERROR(J112-H112,"")</f>
        <v/>
      </c>
      <c r="P112" s="9">
        <f>IFERROR(K112-F112,"")</f>
        <v/>
      </c>
      <c r="Q112" s="7" t="n">
        <v>0.1233552631578947</v>
      </c>
      <c r="R112" s="7" t="n">
        <v>0.05756578947368421</v>
      </c>
      <c r="S112" s="7" t="n">
        <v>0.9884868421052632</v>
      </c>
      <c r="T112" s="7" t="n">
        <v>0.03782894736842105</v>
      </c>
      <c r="U112" s="7" t="n">
        <v>0.1456456456456456</v>
      </c>
      <c r="V112" s="7" t="n">
        <v>0.1276276276276276</v>
      </c>
      <c r="W112" s="7" t="n">
        <v>0.6138059701492538</v>
      </c>
      <c r="X112" s="7" t="n">
        <v>0.2991880122182557</v>
      </c>
      <c r="Y112" s="3">
        <f>IF(X112="","",IF(X112&gt;='Léeme'!$B$6,"barato",IF(X112&lt;'Léeme'!$B$7,"caro","medio")))</f>
        <v/>
      </c>
      <c r="Z112" s="11" t="n">
        <v>-0.09028604599783852</v>
      </c>
      <c r="AA112" s="11" t="n"/>
    </row>
    <row r="113">
      <c r="A113" s="3" t="inlineStr">
        <is>
          <t>2022-T3</t>
        </is>
      </c>
      <c r="B113" s="13" t="n">
        <v>44834</v>
      </c>
      <c r="C113" s="14" t="n">
        <v>58.200001</v>
      </c>
      <c r="D113" s="14" t="n">
        <v>3.12</v>
      </c>
      <c r="E113" s="14" t="n">
        <v>2.976</v>
      </c>
      <c r="F113" s="5" t="n">
        <v>0.0383</v>
      </c>
      <c r="G113" s="5" t="n">
        <v>0.08222579178218825</v>
      </c>
      <c r="H113" s="5" t="n">
        <v>0.0603</v>
      </c>
      <c r="I113" s="15">
        <f>IFERROR(C113/D113,"")</f>
        <v/>
      </c>
      <c r="J113" s="9">
        <f>IFERROR(D113/C113,"")</f>
        <v/>
      </c>
      <c r="K113" s="9">
        <f>IFERROR(E113/C113,"")</f>
        <v/>
      </c>
      <c r="L113" s="9">
        <f>IFERROR(F113-G113,"")</f>
        <v/>
      </c>
      <c r="M113" s="9">
        <f>IFERROR(J113-F113,"")</f>
        <v/>
      </c>
      <c r="N113" s="9">
        <f>IFERROR(J113-L113,"")</f>
        <v/>
      </c>
      <c r="O113" s="9">
        <f>IFERROR(J113-H113,"")</f>
        <v/>
      </c>
      <c r="P113" s="9">
        <f>IFERROR(K113-F113,"")</f>
        <v/>
      </c>
      <c r="Q113" s="7" t="n">
        <v>0.3762214983713355</v>
      </c>
      <c r="R113" s="7" t="n">
        <v>0.0504885993485342</v>
      </c>
      <c r="S113" s="7" t="n">
        <v>0.9657980456026058</v>
      </c>
      <c r="T113" s="7" t="n">
        <v>0.06026058631921824</v>
      </c>
      <c r="U113" s="7" t="n">
        <v>0.3735119047619048</v>
      </c>
      <c r="V113" s="7" t="n">
        <v>0.09375</v>
      </c>
      <c r="W113" s="7" t="n">
        <v>0.9206642066420664</v>
      </c>
      <c r="X113" s="7" t="n">
        <v>0.4058135487208093</v>
      </c>
      <c r="Y113" s="3">
        <f>IF(X113="","",IF(X113&gt;='Léeme'!$B$6,"barato",IF(X113&lt;'Léeme'!$B$7,"caro","medio")))</f>
        <v/>
      </c>
      <c r="Z113" s="11" t="n">
        <v>-0.1069308757490642</v>
      </c>
      <c r="AA113" s="11" t="n"/>
    </row>
    <row r="114">
      <c r="A114" s="3" t="inlineStr">
        <is>
          <t>2022-T4</t>
        </is>
      </c>
      <c r="B114" s="13" t="n">
        <v>44925</v>
      </c>
      <c r="C114" s="14" t="n">
        <v>63.43</v>
      </c>
      <c r="D114" s="14" t="n">
        <v>3.12</v>
      </c>
      <c r="E114" s="14" t="n">
        <v>2.988</v>
      </c>
      <c r="F114" s="5" t="n">
        <v>0.0388</v>
      </c>
      <c r="G114" s="5" t="n">
        <v>0.07122856456533988</v>
      </c>
      <c r="H114" s="5" t="n">
        <v>0.0584</v>
      </c>
      <c r="I114" s="15">
        <f>IFERROR(C114/D114,"")</f>
        <v/>
      </c>
      <c r="J114" s="9">
        <f>IFERROR(D114/C114,"")</f>
        <v/>
      </c>
      <c r="K114" s="9">
        <f>IFERROR(E114/C114,"")</f>
        <v/>
      </c>
      <c r="L114" s="9">
        <f>IFERROR(F114-G114,"")</f>
        <v/>
      </c>
      <c r="M114" s="9">
        <f>IFERROR(J114-F114,"")</f>
        <v/>
      </c>
      <c r="N114" s="9">
        <f>IFERROR(J114-L114,"")</f>
        <v/>
      </c>
      <c r="O114" s="9">
        <f>IFERROR(J114-H114,"")</f>
        <v/>
      </c>
      <c r="P114" s="9">
        <f>IFERROR(K114-F114,"")</f>
        <v/>
      </c>
      <c r="Q114" s="7" t="n">
        <v>0.2145161290322581</v>
      </c>
      <c r="R114" s="7" t="n">
        <v>0.008064516129032258</v>
      </c>
      <c r="S114" s="7" t="n">
        <v>0.8983870967741936</v>
      </c>
      <c r="T114" s="7" t="n">
        <v>0.01451612903225807</v>
      </c>
      <c r="U114" s="7" t="n">
        <v>0.2492625368731563</v>
      </c>
      <c r="V114" s="7" t="n">
        <v>0.028023598820059</v>
      </c>
      <c r="W114" s="7" t="n">
        <v>0.7828467153284672</v>
      </c>
      <c r="X114" s="7" t="n">
        <v>0.3136595317127749</v>
      </c>
      <c r="Y114" s="3">
        <f>IF(X114="","",IF(X114&gt;='Léeme'!$B$6,"barato",IF(X114&lt;'Léeme'!$B$7,"caro","medio")))</f>
        <v/>
      </c>
      <c r="Z114" s="11" t="n">
        <v>-0.05574046864330906</v>
      </c>
      <c r="AA114" s="11" t="n"/>
    </row>
    <row r="115">
      <c r="A115" s="3" t="inlineStr">
        <is>
          <t>2023-T1</t>
        </is>
      </c>
      <c r="B115" s="13" t="n">
        <v>45016</v>
      </c>
      <c r="C115" s="14" t="n">
        <v>63.32</v>
      </c>
      <c r="D115" s="14" t="n">
        <v>3.12</v>
      </c>
      <c r="E115" s="14" t="n">
        <v>3.06</v>
      </c>
      <c r="F115" s="5" t="n">
        <v>0.0348</v>
      </c>
      <c r="G115" s="5" t="n">
        <v>0.05957820738137087</v>
      </c>
      <c r="H115" s="5" t="n">
        <v>0.0566</v>
      </c>
      <c r="I115" s="15">
        <f>IFERROR(C115/D115,"")</f>
        <v/>
      </c>
      <c r="J115" s="9">
        <f>IFERROR(D115/C115,"")</f>
        <v/>
      </c>
      <c r="K115" s="9">
        <f>IFERROR(E115/C115,"")</f>
        <v/>
      </c>
      <c r="L115" s="9">
        <f>IFERROR(F115-G115,"")</f>
        <v/>
      </c>
      <c r="M115" s="9">
        <f>IFERROR(J115-F115,"")</f>
        <v/>
      </c>
      <c r="N115" s="9">
        <f>IFERROR(J115-L115,"")</f>
        <v/>
      </c>
      <c r="O115" s="9">
        <f>IFERROR(J115-H115,"")</f>
        <v/>
      </c>
      <c r="P115" s="9">
        <f>IFERROR(K115-F115,"")</f>
        <v/>
      </c>
      <c r="Q115" s="7" t="n">
        <v>0.2252396166134185</v>
      </c>
      <c r="R115" s="7" t="n">
        <v>0.0463258785942492</v>
      </c>
      <c r="S115" s="7" t="n">
        <v>0.8482428115015974</v>
      </c>
      <c r="T115" s="7" t="n">
        <v>0.06230031948881789</v>
      </c>
      <c r="U115" s="7" t="n">
        <v>0.2997076023391813</v>
      </c>
      <c r="V115" s="7" t="n">
        <v>0.1359649122807018</v>
      </c>
      <c r="W115" s="7" t="n">
        <v>0.8104693140794224</v>
      </c>
      <c r="X115" s="7" t="n">
        <v>0.3468929221281983</v>
      </c>
      <c r="Y115" s="3">
        <f>IF(X115="","",IF(X115&gt;='Léeme'!$B$6,"barato",IF(X115&lt;'Léeme'!$B$7,"caro","medio")))</f>
        <v/>
      </c>
      <c r="Z115" s="11" t="n">
        <v>-0.1068556339536108</v>
      </c>
      <c r="AA115" s="11" t="n"/>
    </row>
    <row r="116">
      <c r="A116" s="3" t="inlineStr">
        <is>
          <t>2023-T2</t>
        </is>
      </c>
      <c r="B116" s="13" t="n">
        <v>45107</v>
      </c>
      <c r="C116" s="14" t="n">
        <v>59.790001</v>
      </c>
      <c r="D116" s="14" t="n">
        <v>3.12</v>
      </c>
      <c r="E116" s="14" t="n">
        <v>3.072</v>
      </c>
      <c r="F116" s="5" t="n">
        <v>0.0381</v>
      </c>
      <c r="G116" s="5" t="n">
        <v>0.04131851231385042</v>
      </c>
      <c r="H116" s="5" t="n">
        <v>0.05769999999999999</v>
      </c>
      <c r="I116" s="15">
        <f>IFERROR(C116/D116,"")</f>
        <v/>
      </c>
      <c r="J116" s="9">
        <f>IFERROR(D116/C116,"")</f>
        <v/>
      </c>
      <c r="K116" s="9">
        <f>IFERROR(E116/C116,"")</f>
        <v/>
      </c>
      <c r="L116" s="9">
        <f>IFERROR(F116-G116,"")</f>
        <v/>
      </c>
      <c r="M116" s="9">
        <f>IFERROR(J116-F116,"")</f>
        <v/>
      </c>
      <c r="N116" s="9">
        <f>IFERROR(J116-L116,"")</f>
        <v/>
      </c>
      <c r="O116" s="9">
        <f>IFERROR(J116-H116,"")</f>
        <v/>
      </c>
      <c r="P116" s="9">
        <f>IFERROR(K116-F116,"")</f>
        <v/>
      </c>
      <c r="Q116" s="7" t="n">
        <v>0.3401898734177215</v>
      </c>
      <c r="R116" s="7" t="n">
        <v>0.03639240506329114</v>
      </c>
      <c r="S116" s="7" t="n">
        <v>0.6186708860759493</v>
      </c>
      <c r="T116" s="7" t="n">
        <v>0.09651898734177215</v>
      </c>
      <c r="U116" s="7" t="n">
        <v>0.3927536231884058</v>
      </c>
      <c r="V116" s="7" t="n">
        <v>0.1260869565217391</v>
      </c>
      <c r="W116" s="7" t="n">
        <v>0.8982142857142857</v>
      </c>
      <c r="X116" s="7" t="n">
        <v>0.358403859617595</v>
      </c>
      <c r="Y116" s="3">
        <f>IF(X116="","",IF(X116&gt;='Léeme'!$B$6,"barato",IF(X116&lt;'Léeme'!$B$7,"caro","medio")))</f>
        <v/>
      </c>
      <c r="Z116" s="11" t="n">
        <v>-0.07863911315708993</v>
      </c>
      <c r="AA116" s="11" t="n"/>
    </row>
    <row r="117">
      <c r="A117" s="3" t="inlineStr">
        <is>
          <t>2023-T3</t>
        </is>
      </c>
      <c r="B117" s="13" t="n">
        <v>45198</v>
      </c>
      <c r="C117" s="14" t="n">
        <v>49.939999</v>
      </c>
      <c r="D117" s="14" t="n">
        <v>3.12</v>
      </c>
      <c r="E117" s="14" t="n">
        <v>3.072</v>
      </c>
      <c r="F117" s="5" t="n">
        <v>0.0459</v>
      </c>
      <c r="G117" s="5" t="n">
        <v>0.03722504803505289</v>
      </c>
      <c r="H117" s="5" t="n">
        <v>0.0639</v>
      </c>
      <c r="I117" s="15">
        <f>IFERROR(C117/D117,"")</f>
        <v/>
      </c>
      <c r="J117" s="9">
        <f>IFERROR(D117/C117,"")</f>
        <v/>
      </c>
      <c r="K117" s="9">
        <f>IFERROR(E117/C117,"")</f>
        <v/>
      </c>
      <c r="L117" s="9">
        <f>IFERROR(F117-G117,"")</f>
        <v/>
      </c>
      <c r="M117" s="9">
        <f>IFERROR(J117-F117,"")</f>
        <v/>
      </c>
      <c r="N117" s="9">
        <f>IFERROR(J117-L117,"")</f>
        <v/>
      </c>
      <c r="O117" s="9">
        <f>IFERROR(J117-H117,"")</f>
        <v/>
      </c>
      <c r="P117" s="9">
        <f>IFERROR(K117-F117,"")</f>
        <v/>
      </c>
      <c r="Q117" s="7" t="n">
        <v>0.5564263322884012</v>
      </c>
      <c r="R117" s="7" t="n">
        <v>0.1081504702194357</v>
      </c>
      <c r="S117" s="7" t="n">
        <v>0.5815047021943573</v>
      </c>
      <c r="T117" s="7" t="n">
        <v>0.2460815047021944</v>
      </c>
      <c r="U117" s="7" t="n">
        <v>0.6048850574712644</v>
      </c>
      <c r="V117" s="7" t="n">
        <v>0.242816091954023</v>
      </c>
      <c r="W117" s="7" t="n">
        <v>0.980565371024735</v>
      </c>
      <c r="X117" s="7" t="n">
        <v>0.4743470756934873</v>
      </c>
      <c r="Y117" s="3">
        <f>IF(X117="","",IF(X117&gt;='Léeme'!$B$6,"barato",IF(X117&lt;'Léeme'!$B$7,"caro","medio")))</f>
        <v/>
      </c>
      <c r="Z117" s="11" t="n">
        <v>0.309927859738778</v>
      </c>
      <c r="AA117" s="11" t="n"/>
    </row>
    <row r="118">
      <c r="A118" s="3" t="inlineStr">
        <is>
          <t>2023-T4</t>
        </is>
      </c>
      <c r="B118" s="13" t="n">
        <v>45289</v>
      </c>
      <c r="C118" s="14" t="n">
        <v>57.419998</v>
      </c>
      <c r="D118" s="14" t="n">
        <v>3.12</v>
      </c>
      <c r="E118" s="14" t="n">
        <v>3.084</v>
      </c>
      <c r="F118" s="5" t="n">
        <v>0.0388</v>
      </c>
      <c r="G118" s="5" t="n">
        <v>0.03133346274591187</v>
      </c>
      <c r="H118" s="5" t="n">
        <v>0.0546</v>
      </c>
      <c r="I118" s="15">
        <f>IFERROR(C118/D118,"")</f>
        <v/>
      </c>
      <c r="J118" s="9">
        <f>IFERROR(D118/C118,"")</f>
        <v/>
      </c>
      <c r="K118" s="9">
        <f>IFERROR(E118/C118,"")</f>
        <v/>
      </c>
      <c r="L118" s="9">
        <f>IFERROR(F118-G118,"")</f>
        <v/>
      </c>
      <c r="M118" s="9">
        <f>IFERROR(J118-F118,"")</f>
        <v/>
      </c>
      <c r="N118" s="9">
        <f>IFERROR(J118-L118,"")</f>
        <v/>
      </c>
      <c r="O118" s="9">
        <f>IFERROR(J118-H118,"")</f>
        <v/>
      </c>
      <c r="P118" s="9">
        <f>IFERROR(K118-F118,"")</f>
        <v/>
      </c>
      <c r="Q118" s="7" t="n">
        <v>0.4239130434782609</v>
      </c>
      <c r="R118" s="7" t="n">
        <v>0.09161490683229814</v>
      </c>
      <c r="S118" s="7" t="n">
        <v>0.3990683229813665</v>
      </c>
      <c r="T118" s="7" t="n">
        <v>0.3183229813664596</v>
      </c>
      <c r="U118" s="7" t="n">
        <v>0.443019943019943</v>
      </c>
      <c r="V118" s="7" t="n">
        <v>0.2094017094017094</v>
      </c>
      <c r="W118" s="7" t="n">
        <v>0.9213286713286714</v>
      </c>
      <c r="X118" s="7" t="n">
        <v>0.4009527969155298</v>
      </c>
      <c r="Y118" s="3">
        <f>IF(X118="","",IF(X118&gt;='Léeme'!$B$6,"barato",IF(X118&lt;'Léeme'!$B$7,"caro","medio")))</f>
        <v/>
      </c>
      <c r="Z118" s="11" t="n">
        <v>-0.04458710706554514</v>
      </c>
      <c r="AA118" s="11" t="n"/>
    </row>
    <row r="119">
      <c r="A119" s="3" t="inlineStr">
        <is>
          <t>2024-T1</t>
        </is>
      </c>
      <c r="B119" s="13" t="n">
        <v>45379</v>
      </c>
      <c r="C119" s="14" t="n">
        <v>54.099998</v>
      </c>
      <c r="D119" s="14" t="n">
        <v>3.12</v>
      </c>
      <c r="E119" s="14" t="n">
        <v>3.084</v>
      </c>
      <c r="F119" s="5" t="n">
        <v>0.042</v>
      </c>
      <c r="G119" s="5" t="n">
        <v>0.03157074141648697</v>
      </c>
      <c r="H119" s="5" t="n">
        <v>0.0574</v>
      </c>
      <c r="I119" s="15">
        <f>IFERROR(C119/D119,"")</f>
        <v/>
      </c>
      <c r="J119" s="9">
        <f>IFERROR(D119/C119,"")</f>
        <v/>
      </c>
      <c r="K119" s="9">
        <f>IFERROR(E119/C119,"")</f>
        <v/>
      </c>
      <c r="L119" s="9">
        <f>IFERROR(F119-G119,"")</f>
        <v/>
      </c>
      <c r="M119" s="9">
        <f>IFERROR(J119-F119,"")</f>
        <v/>
      </c>
      <c r="N119" s="9">
        <f>IFERROR(J119-L119,"")</f>
        <v/>
      </c>
      <c r="O119" s="9">
        <f>IFERROR(J119-H119,"")</f>
        <v/>
      </c>
      <c r="P119" s="9">
        <f>IFERROR(K119-F119,"")</f>
        <v/>
      </c>
      <c r="Q119" s="7" t="n">
        <v>0.4907692307692308</v>
      </c>
      <c r="R119" s="7" t="n">
        <v>0.09384615384615384</v>
      </c>
      <c r="S119" s="7" t="n">
        <v>0.4015384615384615</v>
      </c>
      <c r="T119" s="7" t="n">
        <v>0.3307692307692308</v>
      </c>
      <c r="U119" s="7" t="n">
        <v>0.5155367231638418</v>
      </c>
      <c r="V119" s="7" t="n">
        <v>0.2132768361581921</v>
      </c>
      <c r="W119" s="7" t="n">
        <v>0.9290657439446367</v>
      </c>
      <c r="X119" s="7" t="n">
        <v>0.4249717685985353</v>
      </c>
      <c r="Y119" s="3">
        <f>IF(X119="","",IF(X119&gt;='Léeme'!$B$6,"barato",IF(X119&lt;'Léeme'!$B$7,"caro","medio")))</f>
        <v/>
      </c>
      <c r="Z119" s="11" t="n">
        <v>0.09020591127468758</v>
      </c>
      <c r="AA119" s="11" t="n"/>
    </row>
    <row r="120">
      <c r="A120" s="3" t="inlineStr">
        <is>
          <t>2024-T2</t>
        </is>
      </c>
      <c r="B120" s="13" t="n">
        <v>45471</v>
      </c>
      <c r="C120" s="14" t="n">
        <v>52.82</v>
      </c>
      <c r="D120" s="14" t="n">
        <v>3.12</v>
      </c>
      <c r="E120" s="14" t="n">
        <v>3.156</v>
      </c>
      <c r="F120" s="5" t="n">
        <v>0.0436</v>
      </c>
      <c r="G120" s="5" t="n">
        <v>0.03244278584003113</v>
      </c>
      <c r="H120" s="5" t="n">
        <v>0.0584</v>
      </c>
      <c r="I120" s="15">
        <f>IFERROR(C120/D120,"")</f>
        <v/>
      </c>
      <c r="J120" s="9">
        <f>IFERROR(D120/C120,"")</f>
        <v/>
      </c>
      <c r="K120" s="9">
        <f>IFERROR(E120/C120,"")</f>
        <v/>
      </c>
      <c r="L120" s="9">
        <f>IFERROR(F120-G120,"")</f>
        <v/>
      </c>
      <c r="M120" s="9">
        <f>IFERROR(J120-F120,"")</f>
        <v/>
      </c>
      <c r="N120" s="9">
        <f>IFERROR(J120-L120,"")</f>
        <v/>
      </c>
      <c r="O120" s="9">
        <f>IFERROR(J120-H120,"")</f>
        <v/>
      </c>
      <c r="P120" s="9">
        <f>IFERROR(K120-F120,"")</f>
        <v/>
      </c>
      <c r="Q120" s="7" t="n">
        <v>0.5198170731707317</v>
      </c>
      <c r="R120" s="7" t="n">
        <v>0.09603658536585366</v>
      </c>
      <c r="S120" s="7" t="n">
        <v>0.4222560975609756</v>
      </c>
      <c r="T120" s="7" t="n">
        <v>0.3460365853658536</v>
      </c>
      <c r="U120" s="7" t="n">
        <v>0.5644257703081232</v>
      </c>
      <c r="V120" s="7" t="n">
        <v>0.2675070028011204</v>
      </c>
      <c r="W120" s="7" t="n">
        <v>0.9297945205479452</v>
      </c>
      <c r="X120" s="7" t="n">
        <v>0.4494105193029433</v>
      </c>
      <c r="Y120" s="3">
        <f>IF(X120="","",IF(X120&gt;='Léeme'!$B$6,"barato",IF(X120&lt;'Léeme'!$B$7,"caro","medio")))</f>
        <v/>
      </c>
      <c r="Z120" s="11" t="n">
        <v>0.128898885055978</v>
      </c>
      <c r="AA120" s="11" t="n"/>
    </row>
    <row r="121">
      <c r="A121" s="3" t="inlineStr">
        <is>
          <t>2024-T3</t>
        </is>
      </c>
      <c r="B121" s="13" t="n">
        <v>45565</v>
      </c>
      <c r="C121" s="14" t="n">
        <v>63.419998</v>
      </c>
      <c r="D121" s="14" t="n">
        <v>3.12</v>
      </c>
      <c r="E121" s="14" t="n">
        <v>3.156</v>
      </c>
      <c r="F121" s="5" t="n">
        <v>0.0381</v>
      </c>
      <c r="G121" s="5" t="n">
        <v>0.02607144490692037</v>
      </c>
      <c r="H121" s="5" t="n">
        <v>0.0541</v>
      </c>
      <c r="I121" s="15">
        <f>IFERROR(C121/D121,"")</f>
        <v/>
      </c>
      <c r="J121" s="9">
        <f>IFERROR(D121/C121,"")</f>
        <v/>
      </c>
      <c r="K121" s="9">
        <f>IFERROR(E121/C121,"")</f>
        <v/>
      </c>
      <c r="L121" s="9">
        <f>IFERROR(F121-G121,"")</f>
        <v/>
      </c>
      <c r="M121" s="9">
        <f>IFERROR(J121-F121,"")</f>
        <v/>
      </c>
      <c r="N121" s="9">
        <f>IFERROR(J121-L121,"")</f>
        <v/>
      </c>
      <c r="O121" s="9">
        <f>IFERROR(J121-H121,"")</f>
        <v/>
      </c>
      <c r="P121" s="9">
        <f>IFERROR(K121-F121,"")</f>
        <v/>
      </c>
      <c r="Q121" s="7" t="n">
        <v>0.2099697885196375</v>
      </c>
      <c r="R121" s="7" t="n">
        <v>0.01661631419939577</v>
      </c>
      <c r="S121" s="7" t="n">
        <v>0.134441087613293</v>
      </c>
      <c r="T121" s="7" t="n">
        <v>0.1253776435045317</v>
      </c>
      <c r="U121" s="7" t="n">
        <v>0.3263888888888889</v>
      </c>
      <c r="V121" s="7" t="n">
        <v>0.08472222222222223</v>
      </c>
      <c r="W121" s="7" t="n">
        <v>0.6152542372881356</v>
      </c>
      <c r="X121" s="7" t="n">
        <v>0.2161100260337292</v>
      </c>
      <c r="Y121" s="3">
        <f>IF(X121="","",IF(X121&gt;='Léeme'!$B$6,"barato",IF(X121&lt;'Léeme'!$B$7,"caro","medio")))</f>
        <v/>
      </c>
      <c r="Z121" s="11" t="n">
        <v>0.002434270030873709</v>
      </c>
      <c r="AA121" s="11" t="n"/>
    </row>
    <row r="122">
      <c r="A122" s="3" t="inlineStr">
        <is>
          <t>2024-T4</t>
        </is>
      </c>
      <c r="B122" s="13" t="n">
        <v>45657</v>
      </c>
      <c r="C122" s="14" t="n">
        <v>53.41</v>
      </c>
      <c r="D122" s="14" t="n">
        <v>3.12</v>
      </c>
      <c r="E122" s="14" t="n">
        <v>3.168</v>
      </c>
      <c r="F122" s="5" t="n">
        <v>0.0458</v>
      </c>
      <c r="G122" s="5" t="n">
        <v>0.02719472461284833</v>
      </c>
      <c r="H122" s="5" t="n">
        <v>0.05980000000000001</v>
      </c>
      <c r="I122" s="15">
        <f>IFERROR(C122/D122,"")</f>
        <v/>
      </c>
      <c r="J122" s="9">
        <f>IFERROR(D122/C122,"")</f>
        <v/>
      </c>
      <c r="K122" s="9">
        <f>IFERROR(E122/C122,"")</f>
        <v/>
      </c>
      <c r="L122" s="9">
        <f>IFERROR(F122-G122,"")</f>
        <v/>
      </c>
      <c r="M122" s="9">
        <f>IFERROR(J122-F122,"")</f>
        <v/>
      </c>
      <c r="N122" s="9">
        <f>IFERROR(J122-L122,"")</f>
        <v/>
      </c>
      <c r="O122" s="9">
        <f>IFERROR(J122-H122,"")</f>
        <v/>
      </c>
      <c r="P122" s="9">
        <f>IFERROR(K122-F122,"")</f>
        <v/>
      </c>
      <c r="Q122" s="7" t="n">
        <v>0.5104790419161677</v>
      </c>
      <c r="R122" s="7" t="n">
        <v>0.04041916167664671</v>
      </c>
      <c r="S122" s="7" t="n">
        <v>0.2080838323353293</v>
      </c>
      <c r="T122" s="7" t="n">
        <v>0.2619760479041916</v>
      </c>
      <c r="U122" s="7" t="n">
        <v>0.5661157024793388</v>
      </c>
      <c r="V122" s="7" t="n">
        <v>0.1501377410468319</v>
      </c>
      <c r="W122" s="7" t="n">
        <v>0.8942953020134228</v>
      </c>
      <c r="X122" s="7" t="n">
        <v>0.3759295470531327</v>
      </c>
      <c r="Y122" s="3">
        <f>IF(X122="","",IF(X122&gt;='Léeme'!$B$6,"barato",IF(X122&lt;'Léeme'!$B$7,"caro","medio")))</f>
        <v/>
      </c>
      <c r="Z122" s="11" t="n">
        <v>0.1084138067999936</v>
      </c>
      <c r="AA122" s="11" t="n"/>
    </row>
    <row r="123">
      <c r="A123" s="3" t="inlineStr">
        <is>
          <t>2025-T1</t>
        </is>
      </c>
      <c r="B123" s="13" t="n">
        <v>45747</v>
      </c>
      <c r="C123" s="14" t="n">
        <v>58.009998</v>
      </c>
      <c r="D123" s="14" t="n">
        <v>3.12</v>
      </c>
      <c r="E123" s="14" t="n">
        <v>3.216</v>
      </c>
      <c r="F123" s="5" t="n">
        <v>0.0423</v>
      </c>
      <c r="G123" s="5" t="n">
        <v>0.02801583447761335</v>
      </c>
      <c r="H123" s="5" t="n">
        <v>0.06</v>
      </c>
      <c r="I123" s="15">
        <f>IFERROR(C123/D123,"")</f>
        <v/>
      </c>
      <c r="J123" s="9">
        <f>IFERROR(D123/C123,"")</f>
        <v/>
      </c>
      <c r="K123" s="9">
        <f>IFERROR(E123/C123,"")</f>
        <v/>
      </c>
      <c r="L123" s="9">
        <f>IFERROR(F123-G123,"")</f>
        <v/>
      </c>
      <c r="M123" s="9">
        <f>IFERROR(J123-F123,"")</f>
        <v/>
      </c>
      <c r="N123" s="9">
        <f>IFERROR(J123-L123,"")</f>
        <v/>
      </c>
      <c r="O123" s="9">
        <f>IFERROR(J123-H123,"")</f>
        <v/>
      </c>
      <c r="P123" s="9">
        <f>IFERROR(K123-F123,"")</f>
        <v/>
      </c>
      <c r="Q123" s="7" t="n">
        <v>0.3931750741839762</v>
      </c>
      <c r="R123" s="7" t="n">
        <v>0.0370919881305638</v>
      </c>
      <c r="S123" s="7" t="n">
        <v>0.2002967359050445</v>
      </c>
      <c r="T123" s="7" t="n">
        <v>0.08160237388724036</v>
      </c>
      <c r="U123" s="7" t="n">
        <v>0.4904371584699453</v>
      </c>
      <c r="V123" s="7" t="n">
        <v>0.1270491803278689</v>
      </c>
      <c r="W123" s="7" t="n">
        <v>0.7159468438538206</v>
      </c>
      <c r="X123" s="7" t="n">
        <v>0.2922284792512085</v>
      </c>
      <c r="Y123" s="3">
        <f>IF(X123="","",IF(X123&gt;='Léeme'!$B$6,"barato",IF(X123&lt;'Léeme'!$B$7,"caro","medio")))</f>
        <v/>
      </c>
      <c r="Z123" s="11" t="n">
        <v>0.1061475282405171</v>
      </c>
      <c r="AA123" s="11" t="n"/>
    </row>
    <row r="124">
      <c r="A124" s="3" t="inlineStr">
        <is>
          <t>2025-T2</t>
        </is>
      </c>
      <c r="B124" s="13" t="n">
        <v>45838</v>
      </c>
      <c r="C124" s="14" t="n">
        <v>57.610001</v>
      </c>
      <c r="D124" s="14" t="n">
        <v>3.12</v>
      </c>
      <c r="E124" s="14" t="n">
        <v>3.228</v>
      </c>
      <c r="F124" s="5" t="n">
        <v>0.0424</v>
      </c>
      <c r="G124" s="5" t="n">
        <v>0.02377265107368087</v>
      </c>
      <c r="H124" s="5" t="n">
        <v>0.0608</v>
      </c>
      <c r="I124" s="15">
        <f>IFERROR(C124/D124,"")</f>
        <v/>
      </c>
      <c r="J124" s="9">
        <f>IFERROR(D124/C124,"")</f>
        <v/>
      </c>
      <c r="K124" s="9">
        <f>IFERROR(E124/C124,"")</f>
        <v/>
      </c>
      <c r="L124" s="9">
        <f>IFERROR(F124-G124,"")</f>
        <v/>
      </c>
      <c r="M124" s="9">
        <f>IFERROR(J124-F124,"")</f>
        <v/>
      </c>
      <c r="N124" s="9">
        <f>IFERROR(J124-L124,"")</f>
        <v/>
      </c>
      <c r="O124" s="9">
        <f>IFERROR(J124-H124,"")</f>
        <v/>
      </c>
      <c r="P124" s="9">
        <f>IFERROR(K124-F124,"")</f>
        <v/>
      </c>
      <c r="Q124" s="7" t="n">
        <v>0.4191176470588235</v>
      </c>
      <c r="R124" s="7" t="n">
        <v>0.04264705882352941</v>
      </c>
      <c r="S124" s="7" t="n">
        <v>0.1132352941176471</v>
      </c>
      <c r="T124" s="7" t="n">
        <v>0.08088235294117647</v>
      </c>
      <c r="U124" s="7" t="n">
        <v>0.5</v>
      </c>
      <c r="V124" s="7" t="n">
        <v>0.1720867208672087</v>
      </c>
      <c r="W124" s="7" t="n">
        <v>0.725328947368421</v>
      </c>
      <c r="X124" s="7" t="n">
        <v>0.2933282887395437</v>
      </c>
      <c r="Y124" s="3">
        <f>IF(X124="","",IF(X124&gt;='Léeme'!$B$6,"barato",IF(X124&lt;'Léeme'!$B$7,"caro","medio")))</f>
        <v/>
      </c>
      <c r="Z124" s="11" t="n">
        <v>0.1269929601207764</v>
      </c>
      <c r="AA124" s="11" t="n"/>
    </row>
    <row r="125">
      <c r="A125" s="3" t="inlineStr">
        <is>
          <t>2025-T3</t>
        </is>
      </c>
      <c r="B125" s="13" t="n">
        <v>45930</v>
      </c>
      <c r="C125" s="14" t="n">
        <v>60.790001</v>
      </c>
      <c r="D125" s="14" t="n">
        <v>3.12</v>
      </c>
      <c r="E125" s="14" t="n">
        <v>3.228</v>
      </c>
      <c r="F125" s="5" t="n">
        <v>0.0416</v>
      </c>
      <c r="G125" s="5" t="n">
        <v>0.02938591743031616</v>
      </c>
      <c r="H125" s="5" t="n">
        <v>0.0579</v>
      </c>
      <c r="I125" s="15">
        <f>IFERROR(C125/D125,"")</f>
        <v/>
      </c>
      <c r="J125" s="9">
        <f>IFERROR(D125/C125,"")</f>
        <v/>
      </c>
      <c r="K125" s="9">
        <f>IFERROR(E125/C125,"")</f>
        <v/>
      </c>
      <c r="L125" s="9">
        <f>IFERROR(F125-G125,"")</f>
        <v/>
      </c>
      <c r="M125" s="9">
        <f>IFERROR(J125-F125,"")</f>
        <v/>
      </c>
      <c r="N125" s="9">
        <f>IFERROR(J125-L125,"")</f>
        <v/>
      </c>
      <c r="O125" s="9">
        <f>IFERROR(J125-H125,"")</f>
        <v/>
      </c>
      <c r="P125" s="9">
        <f>IFERROR(K125-F125,"")</f>
        <v/>
      </c>
      <c r="Q125" s="7" t="n">
        <v>0.2871720116618076</v>
      </c>
      <c r="R125" s="7" t="n">
        <v>0.01020408163265306</v>
      </c>
      <c r="S125" s="7" t="n">
        <v>0.1997084548104956</v>
      </c>
      <c r="T125" s="7" t="n">
        <v>0.08600583090379009</v>
      </c>
      <c r="U125" s="7" t="n">
        <v>0.4072580645161291</v>
      </c>
      <c r="V125" s="7" t="n">
        <v>0.0846774193548387</v>
      </c>
      <c r="W125" s="7" t="n">
        <v>0.6042345276872965</v>
      </c>
      <c r="X125" s="7" t="n">
        <v>0.239894341509573</v>
      </c>
      <c r="Y125" s="3">
        <f>IF(X125="","",IF(X125&gt;='Léeme'!$B$6,"barato",IF(X125&lt;'Léeme'!$B$7,"caro","medio")))</f>
        <v/>
      </c>
      <c r="Z125" s="11" t="n"/>
      <c r="AA125" s="11" t="n"/>
    </row>
    <row r="126">
      <c r="A126" s="3" t="inlineStr">
        <is>
          <t>2025-T4</t>
        </is>
      </c>
      <c r="B126" s="13" t="n">
        <v>46022</v>
      </c>
      <c r="C126" s="14" t="n">
        <v>56.369999</v>
      </c>
      <c r="D126" s="14" t="n">
        <v>3.12</v>
      </c>
      <c r="E126" s="14" t="n">
        <v>3.24</v>
      </c>
      <c r="F126" s="5" t="n">
        <v>0.0418</v>
      </c>
      <c r="G126" s="5" t="n">
        <v>0.02696443916493951</v>
      </c>
      <c r="H126" s="5" t="n">
        <v>0.05889999999999999</v>
      </c>
      <c r="I126" s="15">
        <f>IFERROR(C126/D126,"")</f>
        <v/>
      </c>
      <c r="J126" s="9">
        <f>IFERROR(D126/C126,"")</f>
        <v/>
      </c>
      <c r="K126" s="9">
        <f>IFERROR(E126/C126,"")</f>
        <v/>
      </c>
      <c r="L126" s="9">
        <f>IFERROR(F126-G126,"")</f>
        <v/>
      </c>
      <c r="M126" s="9">
        <f>IFERROR(J126-F126,"")</f>
        <v/>
      </c>
      <c r="N126" s="9">
        <f>IFERROR(J126-L126,"")</f>
        <v/>
      </c>
      <c r="O126" s="9">
        <f>IFERROR(J126-H126,"")</f>
        <v/>
      </c>
      <c r="P126" s="9">
        <f>IFERROR(K126-F126,"")</f>
        <v/>
      </c>
      <c r="Q126" s="7" t="n">
        <v>0.458092485549133</v>
      </c>
      <c r="R126" s="7" t="n">
        <v>0.07658959537572255</v>
      </c>
      <c r="S126" s="7" t="n">
        <v>0.2326589595375723</v>
      </c>
      <c r="T126" s="7" t="n">
        <v>0.203757225433526</v>
      </c>
      <c r="U126" s="7" t="n">
        <v>0.5346666666666666</v>
      </c>
      <c r="V126" s="7" t="n">
        <v>0.284</v>
      </c>
      <c r="W126" s="7" t="n">
        <v>0.7629032258064516</v>
      </c>
      <c r="X126" s="7" t="n">
        <v>0.3646668797670103</v>
      </c>
      <c r="Y126" s="3">
        <f>IF(X126="","",IF(X126&gt;='Léeme'!$B$6,"barato",IF(X126&lt;'Léeme'!$B$7,"caro","medio")))</f>
        <v/>
      </c>
      <c r="Z126" s="11" t="n"/>
      <c r="AA126" s="11" t="n"/>
    </row>
    <row r="127">
      <c r="A127" s="3" t="inlineStr">
        <is>
          <t>2026-T1</t>
        </is>
      </c>
      <c r="B127" s="13" t="n">
        <v>46112</v>
      </c>
      <c r="C127" s="14" t="n">
        <v>61.18</v>
      </c>
      <c r="D127" s="14" t="n">
        <v>4.25</v>
      </c>
      <c r="E127" s="14" t="n">
        <v>3.252</v>
      </c>
      <c r="F127" s="5" t="n">
        <v>0.043</v>
      </c>
      <c r="G127" s="5" t="n">
        <v>0.02434004110373222</v>
      </c>
      <c r="H127" s="5" t="n">
        <v>0.0614</v>
      </c>
      <c r="I127" s="15">
        <f>IFERROR(C127/D127,"")</f>
        <v/>
      </c>
      <c r="J127" s="9">
        <f>IFERROR(D127/C127,"")</f>
        <v/>
      </c>
      <c r="K127" s="9">
        <f>IFERROR(E127/C127,"")</f>
        <v/>
      </c>
      <c r="L127" s="9">
        <f>IFERROR(F127-G127,"")</f>
        <v/>
      </c>
      <c r="M127" s="9">
        <f>IFERROR(J127-F127,"")</f>
        <v/>
      </c>
      <c r="N127" s="9">
        <f>IFERROR(J127-L127,"")</f>
        <v/>
      </c>
      <c r="O127" s="9">
        <f>IFERROR(J127-H127,"")</f>
        <v/>
      </c>
      <c r="P127" s="9">
        <f>IFERROR(K127-F127,"")</f>
        <v/>
      </c>
      <c r="Q127" s="7" t="n">
        <v>0.671919770773639</v>
      </c>
      <c r="R127" s="7" t="n">
        <v>0.4799426934097421</v>
      </c>
      <c r="S127" s="7" t="n">
        <v>0.5401146131805158</v>
      </c>
      <c r="T127" s="7" t="n">
        <v>0.7464183381088825</v>
      </c>
      <c r="U127" s="7" t="n">
        <v>0.4087301587301587</v>
      </c>
      <c r="V127" s="7" t="n">
        <v>0.05423280423280423</v>
      </c>
      <c r="W127" s="7" t="n">
        <v>0.9760383386581469</v>
      </c>
      <c r="X127" s="7" t="n">
        <v>0.5539138167276983</v>
      </c>
      <c r="Y127" s="3">
        <f>IF(X127="","",IF(X127&gt;='Léeme'!$B$6,"barato",IF(X127&lt;'Léeme'!$B$7,"caro","medio")))</f>
        <v/>
      </c>
      <c r="Z127" s="11" t="n"/>
      <c r="AA127" s="11" t="n"/>
    </row>
    <row r="128">
      <c r="A128" s="3" t="inlineStr">
        <is>
          <t>2026-T2</t>
        </is>
      </c>
      <c r="B128" s="13" t="n">
        <v>46203</v>
      </c>
      <c r="C128" s="14" t="n">
        <v>61.959999</v>
      </c>
      <c r="D128" s="14" t="n">
        <v>4.25</v>
      </c>
      <c r="E128" s="14" t="n">
        <v>3.252</v>
      </c>
      <c r="F128" s="5" t="n">
        <v>0.0444</v>
      </c>
      <c r="G128" s="5" t="n">
        <v>0.04166614684049641</v>
      </c>
      <c r="H128" s="5" t="n">
        <v>0.0593</v>
      </c>
      <c r="I128" s="15">
        <f>IFERROR(C128/D128,"")</f>
        <v/>
      </c>
      <c r="J128" s="9">
        <f>IFERROR(D128/C128,"")</f>
        <v/>
      </c>
      <c r="K128" s="9">
        <f>IFERROR(E128/C128,"")</f>
        <v/>
      </c>
      <c r="L128" s="9">
        <f>IFERROR(F128-G128,"")</f>
        <v/>
      </c>
      <c r="M128" s="9">
        <f>IFERROR(J128-F128,"")</f>
        <v/>
      </c>
      <c r="N128" s="9">
        <f>IFERROR(J128-L128,"")</f>
        <v/>
      </c>
      <c r="O128" s="9">
        <f>IFERROR(J128-H128,"")</f>
        <v/>
      </c>
      <c r="P128" s="9">
        <f>IFERROR(K128-F128,"")</f>
        <v/>
      </c>
      <c r="Q128" s="7" t="n">
        <v>0.6576704545454546</v>
      </c>
      <c r="R128" s="7" t="n">
        <v>0.3991477272727273</v>
      </c>
      <c r="S128" s="7" t="n">
        <v>0.7911931818181818</v>
      </c>
      <c r="T128" s="7" t="n">
        <v>0.7798295454545454</v>
      </c>
      <c r="U128" s="7" t="n">
        <v>0.3950131233595801</v>
      </c>
      <c r="V128" s="7" t="n">
        <v>0.02755905511811024</v>
      </c>
      <c r="W128" s="7" t="n">
        <v>0.9667721518987342</v>
      </c>
      <c r="X128" s="7" t="n">
        <v>0.5738836056381905</v>
      </c>
      <c r="Y128" s="3">
        <f>IF(X128="","",IF(X128&gt;='Léeme'!$B$6,"barato",IF(X128&lt;'Léeme'!$B$7,"caro","medio")))</f>
        <v/>
      </c>
      <c r="Z128" s="11" t="n"/>
      <c r="AA128" s="11" t="n"/>
    </row>
    <row r="129">
      <c r="A129" s="3" t="inlineStr">
        <is>
          <t>2026-T3</t>
        </is>
      </c>
      <c r="B129" s="13" t="n">
        <v>46293</v>
      </c>
      <c r="C129" s="14" t="n">
        <v>55.330002</v>
      </c>
      <c r="D129" s="14" t="n">
        <v>4.25</v>
      </c>
      <c r="E129" s="14" t="n">
        <v>3.252</v>
      </c>
      <c r="F129" s="5" t="n">
        <v>0.0524</v>
      </c>
      <c r="G129" s="5" t="n">
        <v>0.03353016322755642</v>
      </c>
      <c r="H129" s="5" t="n">
        <v>0.0663</v>
      </c>
      <c r="I129" s="15">
        <f>IFERROR(C129/D129,"")</f>
        <v/>
      </c>
      <c r="J129" s="9">
        <f>IFERROR(D129/C129,"")</f>
        <v/>
      </c>
      <c r="K129" s="9">
        <f>IFERROR(E129/C129,"")</f>
        <v/>
      </c>
      <c r="L129" s="9">
        <f>IFERROR(F129-G129,"")</f>
        <v/>
      </c>
      <c r="M129" s="9">
        <f>IFERROR(J129-F129,"")</f>
        <v/>
      </c>
      <c r="N129" s="9">
        <f>IFERROR(J129-L129,"")</f>
        <v/>
      </c>
      <c r="O129" s="9">
        <f>IFERROR(J129-H129,"")</f>
        <v/>
      </c>
      <c r="P129" s="9">
        <f>IFERROR(K129-F129,"")</f>
        <v/>
      </c>
      <c r="Q129" s="7" t="n">
        <v>0.7676056338028169</v>
      </c>
      <c r="R129" s="7" t="n">
        <v>0.4098591549295775</v>
      </c>
      <c r="S129" s="7" t="n">
        <v>0.6915492957746479</v>
      </c>
      <c r="T129" s="7" t="n">
        <v>0.8126760563380282</v>
      </c>
      <c r="U129" s="7" t="n">
        <v>0.5794270833333334</v>
      </c>
      <c r="V129" s="7" t="n">
        <v>0.01432291666666667</v>
      </c>
      <c r="W129" s="7" t="n">
        <v>0.9827586206896551</v>
      </c>
      <c r="X129" s="7" t="n">
        <v>0.608314108790675</v>
      </c>
      <c r="Y129" s="3">
        <f>IF(X129="","",IF(X129&gt;='Léeme'!$B$6,"barato",IF(X129&lt;'Léeme'!$B$7,"caro","medio")))</f>
        <v/>
      </c>
      <c r="Z129" s="11" t="n"/>
      <c r="AA129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2" t="inlineStr">
        <is>
          <t>Trimestre</t>
        </is>
      </c>
      <c r="B1" s="2" t="inlineStr">
        <is>
          <t>Fecha</t>
        </is>
      </c>
      <c r="C1" s="2" t="inlineStr">
        <is>
          <t>Precio</t>
        </is>
      </c>
      <c r="D1" s="2" t="inlineStr">
        <is>
          <t>Flujo por acción, 12 meses</t>
        </is>
      </c>
      <c r="E1" s="2" t="inlineStr">
        <is>
          <t>Dividendo anualizado</t>
        </is>
      </c>
      <c r="F1" s="2" t="inlineStr">
        <is>
          <t>Treasury 10 años</t>
        </is>
      </c>
      <c r="G1" s="2" t="inlineStr">
        <is>
          <t>Inflación 12 meses</t>
        </is>
      </c>
      <c r="H1" s="2" t="inlineStr">
        <is>
          <t>Bonos Baa</t>
        </is>
      </c>
      <c r="I1" s="2" t="inlineStr">
        <is>
          <t>Múltiplo precio/flujo</t>
        </is>
      </c>
      <c r="J1" s="2" t="inlineStr">
        <is>
          <t>Yield de flujo</t>
        </is>
      </c>
      <c r="K1" s="2" t="inlineStr">
        <is>
          <t>Yield de dividendo</t>
        </is>
      </c>
      <c r="L1" s="2" t="inlineStr">
        <is>
          <t>Tasa real</t>
        </is>
      </c>
      <c r="M1" s="2" t="inlineStr">
        <is>
          <t>Prima sobre el Treasury</t>
        </is>
      </c>
      <c r="N1" s="2" t="inlineStr">
        <is>
          <t>Prima sobre la tasa real</t>
        </is>
      </c>
      <c r="O1" s="2" t="inlineStr">
        <is>
          <t>Prima sobre bonos Baa</t>
        </is>
      </c>
      <c r="P1" s="2" t="inlineStr">
        <is>
          <t>Dividendo sobre el Treasury</t>
        </is>
      </c>
      <c r="Q1" s="2" t="inlineStr">
        <is>
          <t>Percentil: Múltiplo P/FFO</t>
        </is>
      </c>
      <c r="R1" s="2" t="inlineStr">
        <is>
          <t>Percentil: Prima sobre el Treasury</t>
        </is>
      </c>
      <c r="S1" s="2" t="inlineStr">
        <is>
          <t>Percentil: Prima sobre la tasa real</t>
        </is>
      </c>
      <c r="T1" s="2" t="inlineStr">
        <is>
          <t>Percentil: Prima sobre bonos Baa</t>
        </is>
      </c>
      <c r="U1" s="2" t="inlineStr">
        <is>
          <t>Percentil: Yield de dividendo</t>
        </is>
      </c>
      <c r="V1" s="2" t="inlineStr">
        <is>
          <t>Percentil: Dividendo sobre el Treasury</t>
        </is>
      </c>
      <c r="W1" s="2" t="inlineStr">
        <is>
          <t>Percentil: Múltiplo contra sus últimos 5 años</t>
        </is>
      </c>
      <c r="X1" s="2" t="inlineStr">
        <is>
          <t>Percentil: Consenso de los siete</t>
        </is>
      </c>
      <c r="Y1" s="2" t="inlineStr">
        <is>
          <t>Señal del consenso</t>
        </is>
      </c>
      <c r="Z1" s="2" t="inlineStr">
        <is>
          <t>Retorno anual, 1 año después</t>
        </is>
      </c>
      <c r="AA1" s="2" t="inlineStr">
        <is>
          <t>Retorno anual, 5 años después</t>
        </is>
      </c>
    </row>
    <row r="2">
      <c r="A2" s="3" t="inlineStr">
        <is>
          <t>1998-T1</t>
        </is>
      </c>
      <c r="B2" s="13" t="n">
        <v>35885</v>
      </c>
      <c r="C2" s="14" t="n">
        <v>20.125</v>
      </c>
      <c r="E2" s="14" t="n">
        <v>1.648</v>
      </c>
      <c r="F2" s="5" t="n">
        <v>0.0567</v>
      </c>
      <c r="G2" s="5" t="n">
        <v>0.01440200375704448</v>
      </c>
      <c r="H2" s="5" t="n">
        <v>0.0736</v>
      </c>
      <c r="I2" s="15">
        <f>IFERROR(C2/D2,"")</f>
        <v/>
      </c>
      <c r="J2" s="9">
        <f>IFERROR(D2/C2,"")</f>
        <v/>
      </c>
      <c r="K2" s="9">
        <f>IFERROR(E2/C2,"")</f>
        <v/>
      </c>
      <c r="L2" s="9">
        <f>IFERROR(F2-G2,"")</f>
        <v/>
      </c>
      <c r="M2" s="9">
        <f>IFERROR(J2-F2,"")</f>
        <v/>
      </c>
      <c r="N2" s="9">
        <f>IFERROR(J2-L2,"")</f>
        <v/>
      </c>
      <c r="O2" s="9">
        <f>IFERROR(J2-H2,"")</f>
        <v/>
      </c>
      <c r="P2" s="9">
        <f>IFERROR(K2-F2,"")</f>
        <v/>
      </c>
      <c r="Q2" s="7" t="n"/>
      <c r="R2" s="7" t="n"/>
      <c r="S2" s="7" t="n"/>
      <c r="T2" s="7" t="n"/>
      <c r="U2" s="7" t="n"/>
      <c r="V2" s="7" t="n"/>
      <c r="W2" s="7" t="n"/>
      <c r="X2" s="7" t="n"/>
      <c r="Y2" s="3">
        <f>IF(X2="","",IF(X2&gt;='Léeme'!$B$6,"barato",IF(X2&lt;'Léeme'!$B$7,"caro","medio")))</f>
        <v/>
      </c>
      <c r="Z2" s="11" t="n">
        <v>-0.05940535655044743</v>
      </c>
      <c r="AA2" s="11" t="n">
        <v>0.1180310649105241</v>
      </c>
    </row>
    <row r="3">
      <c r="A3" s="3" t="inlineStr">
        <is>
          <t>1998-T2</t>
        </is>
      </c>
      <c r="B3" s="13" t="n">
        <v>35976</v>
      </c>
      <c r="C3" s="14" t="n">
        <v>19.75</v>
      </c>
      <c r="E3" s="14" t="n">
        <v>1.648</v>
      </c>
      <c r="F3" s="5" t="n">
        <v>0.0544</v>
      </c>
      <c r="G3" s="5" t="n">
        <v>0.01688555347091936</v>
      </c>
      <c r="H3" s="5" t="n">
        <v>0.0713</v>
      </c>
      <c r="I3" s="15">
        <f>IFERROR(C3/D3,"")</f>
        <v/>
      </c>
      <c r="J3" s="9">
        <f>IFERROR(D3/C3,"")</f>
        <v/>
      </c>
      <c r="K3" s="9">
        <f>IFERROR(E3/C3,"")</f>
        <v/>
      </c>
      <c r="L3" s="9">
        <f>IFERROR(F3-G3,"")</f>
        <v/>
      </c>
      <c r="M3" s="9">
        <f>IFERROR(J3-F3,"")</f>
        <v/>
      </c>
      <c r="N3" s="9">
        <f>IFERROR(J3-L3,"")</f>
        <v/>
      </c>
      <c r="O3" s="9">
        <f>IFERROR(J3-H3,"")</f>
        <v/>
      </c>
      <c r="P3" s="9">
        <f>IFERROR(K3-F3,"")</f>
        <v/>
      </c>
      <c r="Q3" s="7" t="n"/>
      <c r="R3" s="7" t="n"/>
      <c r="S3" s="7" t="n"/>
      <c r="T3" s="7" t="n"/>
      <c r="U3" s="7" t="n"/>
      <c r="V3" s="7" t="n"/>
      <c r="W3" s="7" t="n"/>
      <c r="X3" s="7" t="n"/>
      <c r="Y3" s="3">
        <f>IF(X3="","",IF(X3&gt;='Léeme'!$B$6,"barato",IF(X3&lt;'Léeme'!$B$7,"caro","medio")))</f>
        <v/>
      </c>
      <c r="Z3" s="11" t="n">
        <v>-0.06208041878825998</v>
      </c>
      <c r="AA3" s="11" t="n">
        <v>0.16246145149978</v>
      </c>
    </row>
    <row r="4">
      <c r="A4" s="3" t="inlineStr">
        <is>
          <t>1998-T3</t>
        </is>
      </c>
      <c r="B4" s="13" t="n">
        <v>36068</v>
      </c>
      <c r="C4" s="14" t="n">
        <v>19.75</v>
      </c>
      <c r="E4" s="14" t="n">
        <v>1.648</v>
      </c>
      <c r="F4" s="5" t="n">
        <v>0.0444</v>
      </c>
      <c r="G4" s="5" t="n">
        <v>0.01616915422885579</v>
      </c>
      <c r="H4" s="5" t="n">
        <v>0.0709</v>
      </c>
      <c r="I4" s="15">
        <f>IFERROR(C4/D4,"")</f>
        <v/>
      </c>
      <c r="J4" s="9">
        <f>IFERROR(D4/C4,"")</f>
        <v/>
      </c>
      <c r="K4" s="9">
        <f>IFERROR(E4/C4,"")</f>
        <v/>
      </c>
      <c r="L4" s="9">
        <f>IFERROR(F4-G4,"")</f>
        <v/>
      </c>
      <c r="M4" s="9">
        <f>IFERROR(J4-F4,"")</f>
        <v/>
      </c>
      <c r="N4" s="9">
        <f>IFERROR(J4-L4,"")</f>
        <v/>
      </c>
      <c r="O4" s="9">
        <f>IFERROR(J4-H4,"")</f>
        <v/>
      </c>
      <c r="P4" s="9">
        <f>IFERROR(K4-F4,"")</f>
        <v/>
      </c>
      <c r="Q4" s="7" t="n"/>
      <c r="R4" s="7" t="n"/>
      <c r="S4" s="7" t="n"/>
      <c r="T4" s="7" t="n"/>
      <c r="U4" s="7" t="n"/>
      <c r="V4" s="7" t="n"/>
      <c r="W4" s="7" t="n"/>
      <c r="X4" s="7" t="n"/>
      <c r="Y4" s="3">
        <f>IF(X4="","",IF(X4&gt;='Léeme'!$B$6,"barato",IF(X4&lt;'Léeme'!$B$7,"caro","medio")))</f>
        <v/>
      </c>
      <c r="Z4" s="11" t="n">
        <v>0.09151922144593572</v>
      </c>
      <c r="AA4" s="11" t="n">
        <v>0.1748224329002588</v>
      </c>
    </row>
    <row r="5">
      <c r="A5" s="3" t="inlineStr">
        <is>
          <t>1998-T4</t>
        </is>
      </c>
      <c r="B5" s="13" t="n">
        <v>36160</v>
      </c>
      <c r="C5" s="14" t="n">
        <v>19.6875</v>
      </c>
      <c r="E5" s="14" t="n">
        <v>1.648</v>
      </c>
      <c r="F5" s="5" t="n">
        <v>0.04650000000000001</v>
      </c>
      <c r="G5" s="5" t="n">
        <v>0.01484230055658631</v>
      </c>
      <c r="H5" s="5" t="n">
        <v>0.0726</v>
      </c>
      <c r="I5" s="15">
        <f>IFERROR(C5/D5,"")</f>
        <v/>
      </c>
      <c r="J5" s="9">
        <f>IFERROR(D5/C5,"")</f>
        <v/>
      </c>
      <c r="K5" s="9">
        <f>IFERROR(E5/C5,"")</f>
        <v/>
      </c>
      <c r="L5" s="9">
        <f>IFERROR(F5-G5,"")</f>
        <v/>
      </c>
      <c r="M5" s="9">
        <f>IFERROR(J5-F5,"")</f>
        <v/>
      </c>
      <c r="N5" s="9">
        <f>IFERROR(J5-L5,"")</f>
        <v/>
      </c>
      <c r="O5" s="9">
        <f>IFERROR(J5-H5,"")</f>
        <v/>
      </c>
      <c r="P5" s="9">
        <f>IFERROR(K5-F5,"")</f>
        <v/>
      </c>
      <c r="Q5" s="7" t="n"/>
      <c r="R5" s="7" t="n"/>
      <c r="S5" s="7" t="n"/>
      <c r="T5" s="7" t="n"/>
      <c r="U5" s="7" t="n"/>
      <c r="V5" s="7" t="n"/>
      <c r="W5" s="7" t="n"/>
      <c r="X5" s="7" t="n"/>
      <c r="Y5" s="3">
        <f>IF(X5="","",IF(X5&gt;='Léeme'!$B$6,"barato",IF(X5&lt;'Léeme'!$B$7,"caro","medio")))</f>
        <v/>
      </c>
      <c r="Z5" s="11" t="n">
        <v>-0.07269507144335396</v>
      </c>
      <c r="AA5" s="11" t="n">
        <v>0.1649863107285385</v>
      </c>
    </row>
    <row r="6">
      <c r="A6" s="3" t="inlineStr">
        <is>
          <t>1999-T1</t>
        </is>
      </c>
      <c r="B6" s="13" t="n">
        <v>36250</v>
      </c>
      <c r="C6" s="14" t="n">
        <v>17.6875</v>
      </c>
      <c r="E6" s="14" t="n">
        <v>1.672</v>
      </c>
      <c r="F6" s="5" t="n">
        <v>0.0525</v>
      </c>
      <c r="G6" s="5" t="n">
        <v>0.01666666666666661</v>
      </c>
      <c r="H6" s="5" t="n">
        <v>0.07530000000000001</v>
      </c>
      <c r="I6" s="15">
        <f>IFERROR(C6/D6,"")</f>
        <v/>
      </c>
      <c r="J6" s="9">
        <f>IFERROR(D6/C6,"")</f>
        <v/>
      </c>
      <c r="K6" s="9">
        <f>IFERROR(E6/C6,"")</f>
        <v/>
      </c>
      <c r="L6" s="9">
        <f>IFERROR(F6-G6,"")</f>
        <v/>
      </c>
      <c r="M6" s="9">
        <f>IFERROR(J6-F6,"")</f>
        <v/>
      </c>
      <c r="N6" s="9">
        <f>IFERROR(J6-L6,"")</f>
        <v/>
      </c>
      <c r="O6" s="9">
        <f>IFERROR(J6-H6,"")</f>
        <v/>
      </c>
      <c r="P6" s="9">
        <f>IFERROR(K6-F6,"")</f>
        <v/>
      </c>
      <c r="Q6" s="7" t="n"/>
      <c r="R6" s="7" t="n"/>
      <c r="S6" s="7" t="n"/>
      <c r="T6" s="7" t="n"/>
      <c r="U6" s="7" t="n"/>
      <c r="V6" s="7" t="n"/>
      <c r="W6" s="7" t="n"/>
      <c r="X6" s="7" t="n"/>
      <c r="Y6" s="3">
        <f>IF(X6="","",IF(X6&gt;='Léeme'!$B$6,"barato",IF(X6&lt;'Léeme'!$B$7,"caro","medio")))</f>
        <v/>
      </c>
      <c r="Z6" s="11" t="n">
        <v>0.0177104270461077</v>
      </c>
      <c r="AA6" s="11" t="n">
        <v>0.1918159348571538</v>
      </c>
    </row>
    <row r="7">
      <c r="A7" s="3" t="inlineStr">
        <is>
          <t>1999-T2</t>
        </is>
      </c>
      <c r="B7" s="13" t="n">
        <v>36341</v>
      </c>
      <c r="C7" s="14" t="n">
        <v>17.25</v>
      </c>
      <c r="E7" s="14" t="n">
        <v>1.672</v>
      </c>
      <c r="F7" s="5" t="n">
        <v>0.0581</v>
      </c>
      <c r="G7" s="5" t="n">
        <v>0.02091020910209096</v>
      </c>
      <c r="H7" s="5" t="n">
        <v>0.0805</v>
      </c>
      <c r="I7" s="15">
        <f>IFERROR(C7/D7,"")</f>
        <v/>
      </c>
      <c r="J7" s="9">
        <f>IFERROR(D7/C7,"")</f>
        <v/>
      </c>
      <c r="K7" s="9">
        <f>IFERROR(E7/C7,"")</f>
        <v/>
      </c>
      <c r="L7" s="9">
        <f>IFERROR(F7-G7,"")</f>
        <v/>
      </c>
      <c r="M7" s="9">
        <f>IFERROR(J7-F7,"")</f>
        <v/>
      </c>
      <c r="N7" s="9">
        <f>IFERROR(J7-L7,"")</f>
        <v/>
      </c>
      <c r="O7" s="9">
        <f>IFERROR(J7-H7,"")</f>
        <v/>
      </c>
      <c r="P7" s="9">
        <f>IFERROR(K7-F7,"")</f>
        <v/>
      </c>
      <c r="Q7" s="7" t="n"/>
      <c r="R7" s="7" t="n"/>
      <c r="S7" s="7" t="n"/>
      <c r="T7" s="7" t="n"/>
      <c r="U7" s="7" t="n"/>
      <c r="V7" s="7" t="n"/>
      <c r="W7" s="7" t="n"/>
      <c r="X7" s="7" t="n"/>
      <c r="Y7" s="3">
        <f>IF(X7="","",IF(X7&gt;='Léeme'!$B$6,"barato",IF(X7&lt;'Léeme'!$B$7,"caro","medio")))</f>
        <v/>
      </c>
      <c r="Z7" s="11" t="n">
        <v>0.0283605395316926</v>
      </c>
      <c r="AA7" s="11" t="n">
        <v>0.1867832119173862</v>
      </c>
    </row>
    <row r="8">
      <c r="A8" s="3" t="inlineStr">
        <is>
          <t>1999-T3</t>
        </is>
      </c>
      <c r="B8" s="13" t="n">
        <v>36433</v>
      </c>
      <c r="C8" s="14" t="n">
        <v>20</v>
      </c>
      <c r="E8" s="14" t="n">
        <v>1.672</v>
      </c>
      <c r="F8" s="5" t="n">
        <v>0.059</v>
      </c>
      <c r="G8" s="5" t="n">
        <v>0.0226438188494491</v>
      </c>
      <c r="H8" s="5" t="n">
        <v>0.0828</v>
      </c>
      <c r="I8" s="15">
        <f>IFERROR(C8/D8,"")</f>
        <v/>
      </c>
      <c r="J8" s="9">
        <f>IFERROR(D8/C8,"")</f>
        <v/>
      </c>
      <c r="K8" s="9">
        <f>IFERROR(E8/C8,"")</f>
        <v/>
      </c>
      <c r="L8" s="9">
        <f>IFERROR(F8-G8,"")</f>
        <v/>
      </c>
      <c r="M8" s="9">
        <f>IFERROR(J8-F8,"")</f>
        <v/>
      </c>
      <c r="N8" s="9">
        <f>IFERROR(J8-L8,"")</f>
        <v/>
      </c>
      <c r="O8" s="9">
        <f>IFERROR(J8-H8,"")</f>
        <v/>
      </c>
      <c r="P8" s="9">
        <f>IFERROR(K8-F8,"")</f>
        <v/>
      </c>
      <c r="Q8" s="7" t="n"/>
      <c r="R8" s="7" t="n"/>
      <c r="S8" s="7" t="n"/>
      <c r="T8" s="7" t="n"/>
      <c r="U8" s="7" t="n"/>
      <c r="V8" s="7" t="n"/>
      <c r="W8" s="7" t="n"/>
      <c r="X8" s="7" t="n"/>
      <c r="Y8" s="3">
        <f>IF(X8="","",IF(X8&gt;='Léeme'!$B$6,"barato",IF(X8&lt;'Léeme'!$B$7,"caro","medio")))</f>
        <v/>
      </c>
      <c r="Z8" s="11" t="n">
        <v>-0.0498011232593577</v>
      </c>
      <c r="AA8" s="11" t="n">
        <v>0.1508186108505392</v>
      </c>
    </row>
    <row r="9">
      <c r="A9" s="3" t="inlineStr">
        <is>
          <t>1999-T4</t>
        </is>
      </c>
      <c r="B9" s="13" t="n">
        <v>36525</v>
      </c>
      <c r="C9" s="14" t="n">
        <v>16.875</v>
      </c>
      <c r="E9" s="14" t="n">
        <v>1.672</v>
      </c>
      <c r="F9" s="5" t="n">
        <v>0.0645</v>
      </c>
      <c r="G9" s="5" t="n">
        <v>0.02620353443022561</v>
      </c>
      <c r="H9" s="5" t="n">
        <v>0.0823</v>
      </c>
      <c r="I9" s="15">
        <f>IFERROR(C9/D9,"")</f>
        <v/>
      </c>
      <c r="J9" s="9">
        <f>IFERROR(D9/C9,"")</f>
        <v/>
      </c>
      <c r="K9" s="9">
        <f>IFERROR(E9/C9,"")</f>
        <v/>
      </c>
      <c r="L9" s="9">
        <f>IFERROR(F9-G9,"")</f>
        <v/>
      </c>
      <c r="M9" s="9">
        <f>IFERROR(J9-F9,"")</f>
        <v/>
      </c>
      <c r="N9" s="9">
        <f>IFERROR(J9-L9,"")</f>
        <v/>
      </c>
      <c r="O9" s="9">
        <f>IFERROR(J9-H9,"")</f>
        <v/>
      </c>
      <c r="P9" s="9">
        <f>IFERROR(K9-F9,"")</f>
        <v/>
      </c>
      <c r="Q9" s="7" t="n"/>
      <c r="R9" s="7" t="n"/>
      <c r="S9" s="7" t="n"/>
      <c r="T9" s="7" t="n"/>
      <c r="U9" s="7" t="n"/>
      <c r="V9" s="7" t="n"/>
      <c r="W9" s="7" t="n"/>
      <c r="X9" s="7" t="n"/>
      <c r="Y9" s="3">
        <f>IF(X9="","",IF(X9&gt;='Léeme'!$B$6,"barato",IF(X9&lt;'Léeme'!$B$7,"caro","medio")))</f>
        <v/>
      </c>
      <c r="Z9" s="11" t="n">
        <v>0.1593800974204411</v>
      </c>
      <c r="AA9" s="11" t="n">
        <v>0.2275897865498364</v>
      </c>
    </row>
    <row r="10">
      <c r="A10" s="3" t="inlineStr">
        <is>
          <t>2000-T1</t>
        </is>
      </c>
      <c r="B10" s="13" t="n">
        <v>36616</v>
      </c>
      <c r="C10" s="14" t="n">
        <v>16.625</v>
      </c>
      <c r="E10" s="14" t="n">
        <v>1.692</v>
      </c>
      <c r="F10" s="5" t="n">
        <v>0.0603</v>
      </c>
      <c r="G10" s="5" t="n">
        <v>0.03217972070431085</v>
      </c>
      <c r="H10" s="5" t="n">
        <v>0.08359999999999999</v>
      </c>
      <c r="I10" s="15">
        <f>IFERROR(C10/D10,"")</f>
        <v/>
      </c>
      <c r="J10" s="9">
        <f>IFERROR(D10/C10,"")</f>
        <v/>
      </c>
      <c r="K10" s="9">
        <f>IFERROR(E10/C10,"")</f>
        <v/>
      </c>
      <c r="L10" s="9">
        <f>IFERROR(F10-G10,"")</f>
        <v/>
      </c>
      <c r="M10" s="9">
        <f>IFERROR(J10-F10,"")</f>
        <v/>
      </c>
      <c r="N10" s="9">
        <f>IFERROR(J10-L10,"")</f>
        <v/>
      </c>
      <c r="O10" s="9">
        <f>IFERROR(J10-H10,"")</f>
        <v/>
      </c>
      <c r="P10" s="9">
        <f>IFERROR(K10-F10,"")</f>
        <v/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3">
        <f>IF(X10="","",IF(X10&gt;='Léeme'!$B$6,"barato",IF(X10&lt;'Léeme'!$B$7,"caro","medio")))</f>
        <v/>
      </c>
      <c r="Z10" s="11" t="n">
        <v>0.2559728523504019</v>
      </c>
      <c r="AA10" s="11" t="n">
        <v>0.1939436472142291</v>
      </c>
    </row>
    <row r="11">
      <c r="A11" s="3" t="inlineStr">
        <is>
          <t>2000-T2</t>
        </is>
      </c>
      <c r="B11" s="13" t="n">
        <v>36707</v>
      </c>
      <c r="C11" s="14" t="n">
        <v>16.375001</v>
      </c>
      <c r="D11" s="14" t="n">
        <v>1.98</v>
      </c>
      <c r="E11" s="14" t="n">
        <v>1.692</v>
      </c>
      <c r="F11" s="5" t="n">
        <v>0.0603</v>
      </c>
      <c r="G11" s="5" t="n">
        <v>0.03132530120481913</v>
      </c>
      <c r="H11" s="5" t="n">
        <v>0.08439999999999999</v>
      </c>
      <c r="I11" s="15">
        <f>IFERROR(C11/D11,"")</f>
        <v/>
      </c>
      <c r="J11" s="9">
        <f>IFERROR(D11/C11,"")</f>
        <v/>
      </c>
      <c r="K11" s="9">
        <f>IFERROR(E11/C11,"")</f>
        <v/>
      </c>
      <c r="L11" s="9">
        <f>IFERROR(F11-G11,"")</f>
        <v/>
      </c>
      <c r="M11" s="9">
        <f>IFERROR(J11-F11,"")</f>
        <v/>
      </c>
      <c r="N11" s="9">
        <f>IFERROR(J11-L11,"")</f>
        <v/>
      </c>
      <c r="O11" s="9">
        <f>IFERROR(J11-H11,"")</f>
        <v/>
      </c>
      <c r="P11" s="9">
        <f>IFERROR(K11-F11,"")</f>
        <v/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3">
        <f>IF(X11="","",IF(X11&gt;='Léeme'!$B$6,"barato",IF(X11&lt;'Léeme'!$B$7,"caro","medio")))</f>
        <v/>
      </c>
      <c r="Z11" s="11" t="n">
        <v>0.214845024311799</v>
      </c>
      <c r="AA11" s="11" t="n">
        <v>0.1869983805528121</v>
      </c>
    </row>
    <row r="12">
      <c r="A12" s="3" t="inlineStr">
        <is>
          <t>2000-T3</t>
        </is>
      </c>
      <c r="B12" s="13" t="n">
        <v>36798</v>
      </c>
      <c r="C12" s="14" t="n">
        <v>17.5625</v>
      </c>
      <c r="D12" s="14" t="n">
        <v>1.98</v>
      </c>
      <c r="E12" s="14" t="n">
        <v>1.692</v>
      </c>
      <c r="F12" s="5" t="n">
        <v>0.058</v>
      </c>
      <c r="G12" s="5" t="n">
        <v>0.03351286654697772</v>
      </c>
      <c r="H12" s="5" t="n">
        <v>0.0832</v>
      </c>
      <c r="I12" s="15">
        <f>IFERROR(C12/D12,"")</f>
        <v/>
      </c>
      <c r="J12" s="9">
        <f>IFERROR(D12/C12,"")</f>
        <v/>
      </c>
      <c r="K12" s="9">
        <f>IFERROR(E12/C12,"")</f>
        <v/>
      </c>
      <c r="L12" s="9">
        <f>IFERROR(F12-G12,"")</f>
        <v/>
      </c>
      <c r="M12" s="9">
        <f>IFERROR(J12-F12,"")</f>
        <v/>
      </c>
      <c r="N12" s="9">
        <f>IFERROR(J12-L12,"")</f>
        <v/>
      </c>
      <c r="O12" s="9">
        <f>IFERROR(J12-H12,"")</f>
        <v/>
      </c>
      <c r="P12" s="9">
        <f>IFERROR(K12-F12,"")</f>
        <v/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3">
        <f>IF(X12="","",IF(X12&gt;='Léeme'!$B$6,"barato",IF(X12&lt;'Léeme'!$B$7,"caro","medio")))</f>
        <v/>
      </c>
      <c r="Z12" s="11" t="n">
        <v>0.3037210559896764</v>
      </c>
      <c r="AA12" s="11" t="n">
        <v>0.148279466045691</v>
      </c>
    </row>
    <row r="13">
      <c r="A13" s="3" t="inlineStr">
        <is>
          <t>2000-T4</t>
        </is>
      </c>
      <c r="B13" s="13" t="n">
        <v>36889</v>
      </c>
      <c r="C13" s="14" t="n">
        <v>18.1</v>
      </c>
      <c r="D13" s="14" t="n">
        <v>1.98</v>
      </c>
      <c r="E13" s="14" t="n">
        <v>1.692</v>
      </c>
      <c r="F13" s="5" t="n">
        <v>0.0512</v>
      </c>
      <c r="G13" s="5" t="n">
        <v>0.03444180522565321</v>
      </c>
      <c r="H13" s="5" t="n">
        <v>0.0796</v>
      </c>
      <c r="I13" s="15">
        <f>IFERROR(C13/D13,"")</f>
        <v/>
      </c>
      <c r="J13" s="9">
        <f>IFERROR(D13/C13,"")</f>
        <v/>
      </c>
      <c r="K13" s="9">
        <f>IFERROR(E13/C13,"")</f>
        <v/>
      </c>
      <c r="L13" s="9">
        <f>IFERROR(F13-G13,"")</f>
        <v/>
      </c>
      <c r="M13" s="9">
        <f>IFERROR(J13-F13,"")</f>
        <v/>
      </c>
      <c r="N13" s="9">
        <f>IFERROR(J13-L13,"")</f>
        <v/>
      </c>
      <c r="O13" s="9">
        <f>IFERROR(J13-H13,"")</f>
        <v/>
      </c>
      <c r="P13" s="9">
        <f>IFERROR(K13-F13,"")</f>
        <v/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3">
        <f>IF(X13="","",IF(X13&gt;='Léeme'!$B$6,"barato",IF(X13&lt;'Léeme'!$B$7,"caro","medio")))</f>
        <v/>
      </c>
      <c r="Z13" s="11" t="n">
        <v>0.3915569615314494</v>
      </c>
      <c r="AA13" s="11" t="n">
        <v>0.1276838467521093</v>
      </c>
    </row>
    <row r="14">
      <c r="A14" s="3" t="inlineStr">
        <is>
          <t>2001-T1</t>
        </is>
      </c>
      <c r="B14" s="13" t="n">
        <v>36980</v>
      </c>
      <c r="C14" s="14" t="n">
        <v>19.349999</v>
      </c>
      <c r="D14" s="14" t="n">
        <v>2.28</v>
      </c>
      <c r="E14" s="14" t="n">
        <v>1.692</v>
      </c>
      <c r="F14" s="5" t="n">
        <v>0.0493</v>
      </c>
      <c r="G14" s="5" t="n">
        <v>0.03529411764705892</v>
      </c>
      <c r="H14" s="5" t="n">
        <v>0.08</v>
      </c>
      <c r="I14" s="15">
        <f>IFERROR(C14/D14,"")</f>
        <v/>
      </c>
      <c r="J14" s="9">
        <f>IFERROR(D14/C14,"")</f>
        <v/>
      </c>
      <c r="K14" s="9">
        <f>IFERROR(E14/C14,"")</f>
        <v/>
      </c>
      <c r="L14" s="9">
        <f>IFERROR(F14-G14,"")</f>
        <v/>
      </c>
      <c r="M14" s="9">
        <f>IFERROR(J14-F14,"")</f>
        <v/>
      </c>
      <c r="N14" s="9">
        <f>IFERROR(J14-L14,"")</f>
        <v/>
      </c>
      <c r="O14" s="9">
        <f>IFERROR(J14-H14,"")</f>
        <v/>
      </c>
      <c r="P14" s="9">
        <f>IFERROR(K14-F14,"")</f>
        <v/>
      </c>
      <c r="Q14" s="7" t="n"/>
      <c r="R14" s="7" t="n"/>
      <c r="S14" s="7" t="n"/>
      <c r="T14" s="7" t="n"/>
      <c r="U14" s="7" t="n">
        <v>0.3648648648648649</v>
      </c>
      <c r="V14" s="7" t="n">
        <v>0.527027027027027</v>
      </c>
      <c r="W14" s="7" t="n"/>
      <c r="X14" s="7" t="n"/>
      <c r="Y14" s="3">
        <f>IF(X14="","",IF(X14&gt;='Léeme'!$B$6,"barato",IF(X14&lt;'Léeme'!$B$7,"caro","medio")))</f>
        <v/>
      </c>
      <c r="Z14" s="11" t="n">
        <v>0.2776003621336389</v>
      </c>
      <c r="AA14" s="11" t="n">
        <v>0.124316360651443</v>
      </c>
    </row>
    <row r="15">
      <c r="A15" s="3" t="inlineStr">
        <is>
          <t>2001-T2</t>
        </is>
      </c>
      <c r="B15" s="13" t="n">
        <v>37071</v>
      </c>
      <c r="C15" s="14" t="n">
        <v>18.500001</v>
      </c>
      <c r="D15" s="14" t="n">
        <v>2.28</v>
      </c>
      <c r="E15" s="14" t="n">
        <v>1.7</v>
      </c>
      <c r="F15" s="5" t="n">
        <v>0.0542</v>
      </c>
      <c r="G15" s="5" t="n">
        <v>0.03563084112149539</v>
      </c>
      <c r="H15" s="5" t="n">
        <v>0.0801</v>
      </c>
      <c r="I15" s="15">
        <f>IFERROR(C15/D15,"")</f>
        <v/>
      </c>
      <c r="J15" s="9">
        <f>IFERROR(D15/C15,"")</f>
        <v/>
      </c>
      <c r="K15" s="9">
        <f>IFERROR(E15/C15,"")</f>
        <v/>
      </c>
      <c r="L15" s="9">
        <f>IFERROR(F15-G15,"")</f>
        <v/>
      </c>
      <c r="M15" s="9">
        <f>IFERROR(J15-F15,"")</f>
        <v/>
      </c>
      <c r="N15" s="9">
        <f>IFERROR(J15-L15,"")</f>
        <v/>
      </c>
      <c r="O15" s="9">
        <f>IFERROR(J15-H15,"")</f>
        <v/>
      </c>
      <c r="P15" s="9">
        <f>IFERROR(K15-F15,"")</f>
        <v/>
      </c>
      <c r="Q15" s="7" t="n"/>
      <c r="R15" s="7" t="n"/>
      <c r="S15" s="7" t="n"/>
      <c r="T15" s="7" t="n"/>
      <c r="U15" s="7" t="n">
        <v>0.4625</v>
      </c>
      <c r="V15" s="7" t="n">
        <v>0.4875</v>
      </c>
      <c r="W15" s="7" t="n"/>
      <c r="X15" s="7" t="n"/>
      <c r="Y15" s="3">
        <f>IF(X15="","",IF(X15&gt;='Léeme'!$B$6,"barato",IF(X15&lt;'Léeme'!$B$7,"caro","medio")))</f>
        <v/>
      </c>
      <c r="Z15" s="11" t="n">
        <v>0.2917013198676786</v>
      </c>
      <c r="AA15" s="11" t="n">
        <v>0.1185577026327886</v>
      </c>
    </row>
    <row r="16">
      <c r="A16" s="3" t="inlineStr">
        <is>
          <t>2001-T3</t>
        </is>
      </c>
      <c r="B16" s="13" t="n">
        <v>37162</v>
      </c>
      <c r="C16" s="14" t="n">
        <v>21.35</v>
      </c>
      <c r="D16" s="14" t="n">
        <v>2.28</v>
      </c>
      <c r="E16" s="14" t="n">
        <v>1.704</v>
      </c>
      <c r="F16" s="5" t="n">
        <v>0.046</v>
      </c>
      <c r="G16" s="5" t="n">
        <v>0.0272148233931675</v>
      </c>
      <c r="H16" s="5" t="n">
        <v>0.0805</v>
      </c>
      <c r="I16" s="15">
        <f>IFERROR(C16/D16,"")</f>
        <v/>
      </c>
      <c r="J16" s="9">
        <f>IFERROR(D16/C16,"")</f>
        <v/>
      </c>
      <c r="K16" s="9">
        <f>IFERROR(E16/C16,"")</f>
        <v/>
      </c>
      <c r="L16" s="9">
        <f>IFERROR(F16-G16,"")</f>
        <v/>
      </c>
      <c r="M16" s="9">
        <f>IFERROR(J16-F16,"")</f>
        <v/>
      </c>
      <c r="N16" s="9">
        <f>IFERROR(J16-L16,"")</f>
        <v/>
      </c>
      <c r="O16" s="9">
        <f>IFERROR(J16-H16,"")</f>
        <v/>
      </c>
      <c r="P16" s="9">
        <f>IFERROR(K16-F16,"")</f>
        <v/>
      </c>
      <c r="Q16" s="7" t="n"/>
      <c r="R16" s="7" t="n"/>
      <c r="S16" s="7" t="n"/>
      <c r="T16" s="7" t="n"/>
      <c r="U16" s="7" t="n">
        <v>0.1046511627906977</v>
      </c>
      <c r="V16" s="7" t="n">
        <v>0.313953488372093</v>
      </c>
      <c r="W16" s="7" t="n"/>
      <c r="X16" s="7" t="n"/>
      <c r="Y16" s="3">
        <f>IF(X16="","",IF(X16&gt;='Léeme'!$B$6,"barato",IF(X16&lt;'Léeme'!$B$7,"caro","medio")))</f>
        <v/>
      </c>
      <c r="Z16" s="11" t="n">
        <v>0.2494639754284946</v>
      </c>
      <c r="AA16" s="11" t="n">
        <v>0.107484679223373</v>
      </c>
    </row>
    <row r="17">
      <c r="A17" s="3" t="inlineStr">
        <is>
          <t>2001-T4</t>
        </is>
      </c>
      <c r="B17" s="13" t="n">
        <v>37256</v>
      </c>
      <c r="C17" s="14" t="n">
        <v>23.2</v>
      </c>
      <c r="D17" s="14" t="n">
        <v>2.28</v>
      </c>
      <c r="E17" s="14" t="n">
        <v>1.708</v>
      </c>
      <c r="F17" s="5" t="n">
        <v>0.0507</v>
      </c>
      <c r="G17" s="5" t="n">
        <v>0.01894374282433997</v>
      </c>
      <c r="H17" s="5" t="n">
        <v>0.08019999999999999</v>
      </c>
      <c r="I17" s="15">
        <f>IFERROR(C17/D17,"")</f>
        <v/>
      </c>
      <c r="J17" s="9">
        <f>IFERROR(D17/C17,"")</f>
        <v/>
      </c>
      <c r="K17" s="9">
        <f>IFERROR(E17/C17,"")</f>
        <v/>
      </c>
      <c r="L17" s="9">
        <f>IFERROR(F17-G17,"")</f>
        <v/>
      </c>
      <c r="M17" s="9">
        <f>IFERROR(J17-F17,"")</f>
        <v/>
      </c>
      <c r="N17" s="9">
        <f>IFERROR(J17-L17,"")</f>
        <v/>
      </c>
      <c r="O17" s="9">
        <f>IFERROR(J17-H17,"")</f>
        <v/>
      </c>
      <c r="P17" s="9">
        <f>IFERROR(K17-F17,"")</f>
        <v/>
      </c>
      <c r="Q17" s="7" t="n"/>
      <c r="R17" s="7" t="n"/>
      <c r="S17" s="7" t="n"/>
      <c r="T17" s="7" t="n"/>
      <c r="U17" s="7" t="n">
        <v>0.0108695652173913</v>
      </c>
      <c r="V17" s="7" t="n">
        <v>0.05434782608695652</v>
      </c>
      <c r="W17" s="7" t="n"/>
      <c r="X17" s="7" t="n"/>
      <c r="Y17" s="3">
        <f>IF(X17="","",IF(X17&gt;='Léeme'!$B$6,"barato",IF(X17&lt;'Léeme'!$B$7,"caro","medio")))</f>
        <v/>
      </c>
      <c r="Z17" s="11" t="n">
        <v>0.1284530034299831</v>
      </c>
      <c r="AA17" s="11" t="n">
        <v>0.1079287685205337</v>
      </c>
    </row>
    <row r="18">
      <c r="A18" s="3" t="inlineStr">
        <is>
          <t>2002-T1</t>
        </is>
      </c>
      <c r="B18" s="13" t="n">
        <v>37343</v>
      </c>
      <c r="C18" s="14" t="n">
        <v>23.239999</v>
      </c>
      <c r="D18" s="14" t="n">
        <v>2.41</v>
      </c>
      <c r="E18" s="14" t="n">
        <v>1.712</v>
      </c>
      <c r="F18" s="5" t="n">
        <v>0.0542</v>
      </c>
      <c r="G18" s="5" t="n">
        <v>0.01136363636363646</v>
      </c>
      <c r="H18" s="5" t="n">
        <v>0.08160000000000001</v>
      </c>
      <c r="I18" s="15">
        <f>IFERROR(C18/D18,"")</f>
        <v/>
      </c>
      <c r="J18" s="9">
        <f>IFERROR(D18/C18,"")</f>
        <v/>
      </c>
      <c r="K18" s="9">
        <f>IFERROR(E18/C18,"")</f>
        <v/>
      </c>
      <c r="L18" s="9">
        <f>IFERROR(F18-G18,"")</f>
        <v/>
      </c>
      <c r="M18" s="9">
        <f>IFERROR(J18-F18,"")</f>
        <v/>
      </c>
      <c r="N18" s="9">
        <f>IFERROR(J18-L18,"")</f>
        <v/>
      </c>
      <c r="O18" s="9">
        <f>IFERROR(J18-H18,"")</f>
        <v/>
      </c>
      <c r="P18" s="9">
        <f>IFERROR(K18-F18,"")</f>
        <v/>
      </c>
      <c r="Q18" s="7" t="n"/>
      <c r="R18" s="7" t="n"/>
      <c r="S18" s="7" t="n"/>
      <c r="T18" s="7" t="n"/>
      <c r="U18" s="7" t="n">
        <v>0.05102040816326531</v>
      </c>
      <c r="V18" s="7" t="n">
        <v>0.03061224489795918</v>
      </c>
      <c r="W18" s="7" t="n"/>
      <c r="X18" s="7" t="n"/>
      <c r="Y18" s="3">
        <f>IF(X18="","",IF(X18&gt;='Léeme'!$B$6,"barato",IF(X18&lt;'Léeme'!$B$7,"caro","medio")))</f>
        <v/>
      </c>
      <c r="Z18" s="11" t="n">
        <v>0.1336405685959796</v>
      </c>
      <c r="AA18" s="11" t="n">
        <v>0.130678194930713</v>
      </c>
    </row>
    <row r="19">
      <c r="A19" s="3" t="inlineStr">
        <is>
          <t>2002-T2</t>
        </is>
      </c>
      <c r="B19" s="13" t="n">
        <v>37435</v>
      </c>
      <c r="C19" s="14" t="n">
        <v>22.5</v>
      </c>
      <c r="D19" s="14" t="n">
        <v>2.41</v>
      </c>
      <c r="E19" s="14" t="n">
        <v>1.712</v>
      </c>
      <c r="F19" s="5" t="n">
        <v>0.0486</v>
      </c>
      <c r="G19" s="5" t="n">
        <v>0.01240834743372798</v>
      </c>
      <c r="H19" s="5" t="n">
        <v>0.07980000000000001</v>
      </c>
      <c r="I19" s="15">
        <f>IFERROR(C19/D19,"")</f>
        <v/>
      </c>
      <c r="J19" s="9">
        <f>IFERROR(D19/C19,"")</f>
        <v/>
      </c>
      <c r="K19" s="9">
        <f>IFERROR(E19/C19,"")</f>
        <v/>
      </c>
      <c r="L19" s="9">
        <f>IFERROR(F19-G19,"")</f>
        <v/>
      </c>
      <c r="M19" s="9">
        <f>IFERROR(J19-F19,"")</f>
        <v/>
      </c>
      <c r="N19" s="9">
        <f>IFERROR(J19-L19,"")</f>
        <v/>
      </c>
      <c r="O19" s="9">
        <f>IFERROR(J19-H19,"")</f>
        <v/>
      </c>
      <c r="P19" s="9">
        <f>IFERROR(K19-F19,"")</f>
        <v/>
      </c>
      <c r="Q19" s="7" t="n"/>
      <c r="R19" s="7" t="n"/>
      <c r="S19" s="7" t="n"/>
      <c r="T19" s="7" t="n"/>
      <c r="U19" s="7" t="n">
        <v>0.1634615384615385</v>
      </c>
      <c r="V19" s="7" t="n">
        <v>0.2403846153846154</v>
      </c>
      <c r="W19" s="7" t="n"/>
      <c r="X19" s="7" t="n"/>
      <c r="Y19" s="3">
        <f>IF(X19="","",IF(X19&gt;='Léeme'!$B$6,"barato",IF(X19&lt;'Léeme'!$B$7,"caro","medio")))</f>
        <v/>
      </c>
      <c r="Z19" s="11" t="n">
        <v>0.3879655339264509</v>
      </c>
      <c r="AA19" s="11" t="n">
        <v>0.1183769921652</v>
      </c>
    </row>
    <row r="20">
      <c r="A20" s="3" t="inlineStr">
        <is>
          <t>2002-T3</t>
        </is>
      </c>
      <c r="B20" s="13" t="n">
        <v>37529</v>
      </c>
      <c r="C20" s="14" t="n">
        <v>24.799999</v>
      </c>
      <c r="D20" s="14" t="n">
        <v>2.41</v>
      </c>
      <c r="E20" s="14" t="n">
        <v>1.72</v>
      </c>
      <c r="F20" s="5" t="n">
        <v>0.0363</v>
      </c>
      <c r="G20" s="5" t="n">
        <v>0.01747463359639223</v>
      </c>
      <c r="H20" s="5" t="n">
        <v>0.07400000000000001</v>
      </c>
      <c r="I20" s="15">
        <f>IFERROR(C20/D20,"")</f>
        <v/>
      </c>
      <c r="J20" s="9">
        <f>IFERROR(D20/C20,"")</f>
        <v/>
      </c>
      <c r="K20" s="9">
        <f>IFERROR(E20/C20,"")</f>
        <v/>
      </c>
      <c r="L20" s="9">
        <f>IFERROR(F20-G20,"")</f>
        <v/>
      </c>
      <c r="M20" s="9">
        <f>IFERROR(J20-F20,"")</f>
        <v/>
      </c>
      <c r="N20" s="9">
        <f>IFERROR(J20-L20,"")</f>
        <v/>
      </c>
      <c r="O20" s="9">
        <f>IFERROR(J20-H20,"")</f>
        <v/>
      </c>
      <c r="P20" s="9">
        <f>IFERROR(K20-F20,"")</f>
        <v/>
      </c>
      <c r="Q20" s="7" t="n"/>
      <c r="R20" s="7" t="n"/>
      <c r="S20" s="7" t="n"/>
      <c r="T20" s="7" t="n"/>
      <c r="U20" s="7" t="n">
        <v>0.00909090909090909</v>
      </c>
      <c r="V20" s="7" t="n">
        <v>0.4090909090909091</v>
      </c>
      <c r="W20" s="7" t="n"/>
      <c r="X20" s="7" t="n"/>
      <c r="Y20" s="3">
        <f>IF(X20="","",IF(X20&gt;='Léeme'!$B$6,"barato",IF(X20&lt;'Léeme'!$B$7,"caro","medio")))</f>
        <v/>
      </c>
      <c r="Z20" s="11" t="n">
        <v>0.3460330121903292</v>
      </c>
      <c r="AA20" s="11" t="n">
        <v>0.1018429950731368</v>
      </c>
    </row>
    <row r="21">
      <c r="A21" s="3" t="inlineStr">
        <is>
          <t>2002-T4</t>
        </is>
      </c>
      <c r="B21" s="13" t="n">
        <v>37621</v>
      </c>
      <c r="C21" s="14" t="n">
        <v>24.75</v>
      </c>
      <c r="D21" s="14" t="n">
        <v>2.41</v>
      </c>
      <c r="E21" s="14" t="n">
        <v>1.72</v>
      </c>
      <c r="F21" s="5" t="n">
        <v>0.0383</v>
      </c>
      <c r="G21" s="5" t="n">
        <v>0.0225352112676056</v>
      </c>
      <c r="H21" s="5" t="n">
        <v>0.073</v>
      </c>
      <c r="I21" s="15">
        <f>IFERROR(C21/D21,"")</f>
        <v/>
      </c>
      <c r="J21" s="9">
        <f>IFERROR(D21/C21,"")</f>
        <v/>
      </c>
      <c r="K21" s="9">
        <f>IFERROR(E21/C21,"")</f>
        <v/>
      </c>
      <c r="L21" s="9">
        <f>IFERROR(F21-G21,"")</f>
        <v/>
      </c>
      <c r="M21" s="9">
        <f>IFERROR(J21-F21,"")</f>
        <v/>
      </c>
      <c r="N21" s="9">
        <f>IFERROR(J21-L21,"")</f>
        <v/>
      </c>
      <c r="O21" s="9">
        <f>IFERROR(J21-H21,"")</f>
        <v/>
      </c>
      <c r="P21" s="9">
        <f>IFERROR(K21-F21,"")</f>
        <v/>
      </c>
      <c r="Q21" s="7" t="n"/>
      <c r="R21" s="7" t="n"/>
      <c r="S21" s="7" t="n"/>
      <c r="T21" s="7" t="n"/>
      <c r="U21" s="7" t="n">
        <v>0.02586206896551724</v>
      </c>
      <c r="V21" s="7" t="n">
        <v>0.353448275862069</v>
      </c>
      <c r="W21" s="7" t="n"/>
      <c r="X21" s="7" t="n"/>
      <c r="Y21" s="3">
        <f>IF(X21="","",IF(X21&gt;='Léeme'!$B$6,"barato",IF(X21&lt;'Léeme'!$B$7,"caro","medio")))</f>
        <v/>
      </c>
      <c r="Z21" s="11" t="n">
        <v>0.2929902651402694</v>
      </c>
      <c r="AA21" s="11" t="n">
        <v>0.1148342355300664</v>
      </c>
    </row>
    <row r="22">
      <c r="A22" s="3" t="inlineStr">
        <is>
          <t>2003-T1</t>
        </is>
      </c>
      <c r="B22" s="13" t="n">
        <v>37711</v>
      </c>
      <c r="C22" s="14" t="n">
        <v>25</v>
      </c>
      <c r="D22" s="14" t="n">
        <v>2.81</v>
      </c>
      <c r="E22" s="14" t="n">
        <v>1.728</v>
      </c>
      <c r="F22" s="5" t="n">
        <v>0.0383</v>
      </c>
      <c r="G22" s="5" t="n">
        <v>0.03146067415730336</v>
      </c>
      <c r="H22" s="5" t="n">
        <v>0.0693</v>
      </c>
      <c r="I22" s="15">
        <f>IFERROR(C22/D22,"")</f>
        <v/>
      </c>
      <c r="J22" s="9">
        <f>IFERROR(D22/C22,"")</f>
        <v/>
      </c>
      <c r="K22" s="9">
        <f>IFERROR(E22/C22,"")</f>
        <v/>
      </c>
      <c r="L22" s="9">
        <f>IFERROR(F22-G22,"")</f>
        <v/>
      </c>
      <c r="M22" s="9">
        <f>IFERROR(J22-F22,"")</f>
        <v/>
      </c>
      <c r="N22" s="9">
        <f>IFERROR(J22-L22,"")</f>
        <v/>
      </c>
      <c r="O22" s="9">
        <f>IFERROR(J22-H22,"")</f>
        <v/>
      </c>
      <c r="P22" s="9">
        <f>IFERROR(K22-F22,"")</f>
        <v/>
      </c>
      <c r="Q22" s="7" t="n"/>
      <c r="R22" s="7" t="n"/>
      <c r="S22" s="7" t="n"/>
      <c r="T22" s="7" t="n"/>
      <c r="U22" s="7" t="n">
        <v>0.02459016393442623</v>
      </c>
      <c r="V22" s="7" t="n">
        <v>0.3524590163934426</v>
      </c>
      <c r="W22" s="7" t="n"/>
      <c r="X22" s="7" t="n"/>
      <c r="Y22" s="3">
        <f>IF(X22="","",IF(X22&gt;='Léeme'!$B$6,"barato",IF(X22&lt;'Léeme'!$B$7,"caro","medio")))</f>
        <v/>
      </c>
      <c r="Z22" s="11" t="n">
        <v>0.2947296274941833</v>
      </c>
      <c r="AA22" s="11" t="n">
        <v>0.08972790187096735</v>
      </c>
    </row>
    <row r="23">
      <c r="A23" s="3" t="inlineStr">
        <is>
          <t>2003-T2</t>
        </is>
      </c>
      <c r="B23" s="13" t="n">
        <v>37802</v>
      </c>
      <c r="C23" s="14" t="n">
        <v>29.94</v>
      </c>
      <c r="D23" s="14" t="n">
        <v>2.81</v>
      </c>
      <c r="E23" s="14" t="n">
        <v>1.732</v>
      </c>
      <c r="F23" s="5" t="n">
        <v>0.0354</v>
      </c>
      <c r="G23" s="5" t="n">
        <v>0.01894150417827301</v>
      </c>
      <c r="H23" s="5" t="n">
        <v>0.0638</v>
      </c>
      <c r="I23" s="15">
        <f>IFERROR(C23/D23,"")</f>
        <v/>
      </c>
      <c r="J23" s="9">
        <f>IFERROR(D23/C23,"")</f>
        <v/>
      </c>
      <c r="K23" s="9">
        <f>IFERROR(E23/C23,"")</f>
        <v/>
      </c>
      <c r="L23" s="9">
        <f>IFERROR(F23-G23,"")</f>
        <v/>
      </c>
      <c r="M23" s="9">
        <f>IFERROR(J23-F23,"")</f>
        <v/>
      </c>
      <c r="N23" s="9">
        <f>IFERROR(J23-L23,"")</f>
        <v/>
      </c>
      <c r="O23" s="9">
        <f>IFERROR(J23-H23,"")</f>
        <v/>
      </c>
      <c r="P23" s="9">
        <f>IFERROR(K23-F23,"")</f>
        <v/>
      </c>
      <c r="Q23" s="7" t="n">
        <v>0.0131578947368421</v>
      </c>
      <c r="R23" s="7" t="n">
        <v>0.5394736842105263</v>
      </c>
      <c r="S23" s="7" t="n">
        <v>0.3289473684210527</v>
      </c>
      <c r="T23" s="7" t="n">
        <v>0.6447368421052632</v>
      </c>
      <c r="U23" s="7" t="n">
        <v>0.0078125</v>
      </c>
      <c r="V23" s="7" t="n">
        <v>0.0859375</v>
      </c>
      <c r="W23" s="7" t="n"/>
      <c r="X23" s="7" t="n">
        <v>0.2700109649122807</v>
      </c>
      <c r="Y23" s="3">
        <f>IF(X23="","",IF(X23&gt;='Léeme'!$B$6,"barato",IF(X23&lt;'Léeme'!$B$7,"caro","medio")))</f>
        <v/>
      </c>
      <c r="Z23" s="11" t="n">
        <v>0.04023095509143348</v>
      </c>
      <c r="AA23" s="11" t="n">
        <v>0.04249346005678323</v>
      </c>
    </row>
    <row r="24">
      <c r="A24" s="3" t="inlineStr">
        <is>
          <t>2003-T3</t>
        </is>
      </c>
      <c r="B24" s="13" t="n">
        <v>37894</v>
      </c>
      <c r="C24" s="14" t="n">
        <v>31.75</v>
      </c>
      <c r="D24" s="14" t="n">
        <v>2.81</v>
      </c>
      <c r="E24" s="14" t="n">
        <v>1.732</v>
      </c>
      <c r="F24" s="5" t="n">
        <v>0.0396</v>
      </c>
      <c r="G24" s="5" t="n">
        <v>0.02216066481994461</v>
      </c>
      <c r="H24" s="5" t="n">
        <v>0.0665</v>
      </c>
      <c r="I24" s="15">
        <f>IFERROR(C24/D24,"")</f>
        <v/>
      </c>
      <c r="J24" s="9">
        <f>IFERROR(D24/C24,"")</f>
        <v/>
      </c>
      <c r="K24" s="9">
        <f>IFERROR(E24/C24,"")</f>
        <v/>
      </c>
      <c r="L24" s="9">
        <f>IFERROR(F24-G24,"")</f>
        <v/>
      </c>
      <c r="M24" s="9">
        <f>IFERROR(J24-F24,"")</f>
        <v/>
      </c>
      <c r="N24" s="9">
        <f>IFERROR(J24-L24,"")</f>
        <v/>
      </c>
      <c r="O24" s="9">
        <f>IFERROR(J24-H24,"")</f>
        <v/>
      </c>
      <c r="P24" s="9">
        <f>IFERROR(K24-F24,"")</f>
        <v/>
      </c>
      <c r="Q24" s="7" t="n">
        <v>0.01219512195121951</v>
      </c>
      <c r="R24" s="7" t="n">
        <v>0.1097560975609756</v>
      </c>
      <c r="S24" s="7" t="n">
        <v>0.2560975609756098</v>
      </c>
      <c r="T24" s="7" t="n">
        <v>0.1585365853658537</v>
      </c>
      <c r="U24" s="7" t="n">
        <v>0.007462686567164179</v>
      </c>
      <c r="V24" s="7" t="n">
        <v>0.03731343283582089</v>
      </c>
      <c r="W24" s="7" t="n"/>
      <c r="X24" s="7" t="n">
        <v>0.09689358087610728</v>
      </c>
      <c r="Y24" s="3">
        <f>IF(X24="","",IF(X24&gt;='Léeme'!$B$6,"barato",IF(X24&lt;'Léeme'!$B$7,"caro","medio")))</f>
        <v/>
      </c>
      <c r="Z24" s="11" t="n">
        <v>-0.01552516843299212</v>
      </c>
      <c r="AA24" s="11" t="n">
        <v>0.01167672626535943</v>
      </c>
    </row>
    <row r="25">
      <c r="A25" s="3" t="inlineStr">
        <is>
          <t>2003-T4</t>
        </is>
      </c>
      <c r="B25" s="13" t="n">
        <v>37986</v>
      </c>
      <c r="C25" s="14" t="n">
        <v>30.519999</v>
      </c>
      <c r="D25" s="14" t="n">
        <v>2.81</v>
      </c>
      <c r="E25" s="14" t="n">
        <v>1.74</v>
      </c>
      <c r="F25" s="5" t="n">
        <v>0.04269999999999999</v>
      </c>
      <c r="G25" s="5" t="n">
        <v>0.01928374655647391</v>
      </c>
      <c r="H25" s="5" t="n">
        <v>0.06619999999999999</v>
      </c>
      <c r="I25" s="15">
        <f>IFERROR(C25/D25,"")</f>
        <v/>
      </c>
      <c r="J25" s="9">
        <f>IFERROR(D25/C25,"")</f>
        <v/>
      </c>
      <c r="K25" s="9">
        <f>IFERROR(E25/C25,"")</f>
        <v/>
      </c>
      <c r="L25" s="9">
        <f>IFERROR(F25-G25,"")</f>
        <v/>
      </c>
      <c r="M25" s="9">
        <f>IFERROR(J25-F25,"")</f>
        <v/>
      </c>
      <c r="N25" s="9">
        <f>IFERROR(J25-L25,"")</f>
        <v/>
      </c>
      <c r="O25" s="9">
        <f>IFERROR(J25-H25,"")</f>
        <v/>
      </c>
      <c r="P25" s="9">
        <f>IFERROR(K25-F25,"")</f>
        <v/>
      </c>
      <c r="Q25" s="7" t="n">
        <v>0.125</v>
      </c>
      <c r="R25" s="7" t="n">
        <v>0.1704545454545454</v>
      </c>
      <c r="S25" s="7" t="n">
        <v>0.2386363636363636</v>
      </c>
      <c r="T25" s="7" t="n">
        <v>0.5113636363636364</v>
      </c>
      <c r="U25" s="7" t="n">
        <v>0.07857142857142857</v>
      </c>
      <c r="V25" s="7" t="n">
        <v>0.06428571428571428</v>
      </c>
      <c r="W25" s="7" t="n"/>
      <c r="X25" s="7" t="n">
        <v>0.198051948051948</v>
      </c>
      <c r="Y25" s="3">
        <f>IF(X25="","",IF(X25&gt;='Léeme'!$B$6,"barato",IF(X25&lt;'Léeme'!$B$7,"caro","medio")))</f>
        <v/>
      </c>
      <c r="Z25" s="11" t="n">
        <v>0.2047163085592092</v>
      </c>
      <c r="AA25" s="11" t="n">
        <v>-0.0007432403784047859</v>
      </c>
    </row>
    <row r="26">
      <c r="A26" s="3" t="inlineStr">
        <is>
          <t>2004-T1</t>
        </is>
      </c>
      <c r="B26" s="13" t="n">
        <v>38077</v>
      </c>
      <c r="C26" s="14" t="n">
        <v>30.949999</v>
      </c>
      <c r="D26" s="14" t="n">
        <v>2.78</v>
      </c>
      <c r="E26" s="14" t="n">
        <v>1.74</v>
      </c>
      <c r="F26" s="5" t="n">
        <v>0.0386</v>
      </c>
      <c r="G26" s="5" t="n">
        <v>0.01688453159041381</v>
      </c>
      <c r="H26" s="5" t="n">
        <v>0.0619</v>
      </c>
      <c r="I26" s="15">
        <f>IFERROR(C26/D26,"")</f>
        <v/>
      </c>
      <c r="J26" s="9">
        <f>IFERROR(D26/C26,"")</f>
        <v/>
      </c>
      <c r="K26" s="9">
        <f>IFERROR(E26/C26,"")</f>
        <v/>
      </c>
      <c r="L26" s="9">
        <f>IFERROR(F26-G26,"")</f>
        <v/>
      </c>
      <c r="M26" s="9">
        <f>IFERROR(J26-F26,"")</f>
        <v/>
      </c>
      <c r="N26" s="9">
        <f>IFERROR(J26-L26,"")</f>
        <v/>
      </c>
      <c r="O26" s="9">
        <f>IFERROR(J26-H26,"")</f>
        <v/>
      </c>
      <c r="P26" s="9">
        <f>IFERROR(K26-F26,"")</f>
        <v/>
      </c>
      <c r="Q26" s="7" t="n">
        <v>0.07446808510638298</v>
      </c>
      <c r="R26" s="7" t="n">
        <v>0.2659574468085106</v>
      </c>
      <c r="S26" s="7" t="n">
        <v>0.2021276595744681</v>
      </c>
      <c r="T26" s="7" t="n">
        <v>0.5851063829787234</v>
      </c>
      <c r="U26" s="7" t="n">
        <v>0.06164383561643835</v>
      </c>
      <c r="V26" s="7" t="n">
        <v>0.1164383561643836</v>
      </c>
      <c r="W26" s="7" t="n"/>
      <c r="X26" s="7" t="n">
        <v>0.2176236277081512</v>
      </c>
      <c r="Y26" s="3">
        <f>IF(X26="","",IF(X26&gt;='Léeme'!$B$6,"barato",IF(X26&lt;'Léeme'!$B$7,"caro","medio")))</f>
        <v/>
      </c>
      <c r="Z26" s="11" t="n">
        <v>0.02682735705943351</v>
      </c>
      <c r="AA26" s="11" t="n">
        <v>-0.01307778650803681</v>
      </c>
    </row>
    <row r="27">
      <c r="A27" s="3" t="inlineStr">
        <is>
          <t>2004-T2</t>
        </is>
      </c>
      <c r="B27" s="13" t="n">
        <v>38168</v>
      </c>
      <c r="C27" s="14" t="n">
        <v>29.78</v>
      </c>
      <c r="D27" s="14" t="n">
        <v>2.78</v>
      </c>
      <c r="E27" s="14" t="n">
        <v>1.752</v>
      </c>
      <c r="F27" s="5" t="n">
        <v>0.0462</v>
      </c>
      <c r="G27" s="5" t="n">
        <v>0.02897758337889544</v>
      </c>
      <c r="H27" s="5" t="n">
        <v>0.06759999999999999</v>
      </c>
      <c r="I27" s="15">
        <f>IFERROR(C27/D27,"")</f>
        <v/>
      </c>
      <c r="J27" s="9">
        <f>IFERROR(D27/C27,"")</f>
        <v/>
      </c>
      <c r="K27" s="9">
        <f>IFERROR(E27/C27,"")</f>
        <v/>
      </c>
      <c r="L27" s="9">
        <f>IFERROR(F27-G27,"")</f>
        <v/>
      </c>
      <c r="M27" s="9">
        <f>IFERROR(J27-F27,"")</f>
        <v/>
      </c>
      <c r="N27" s="9">
        <f>IFERROR(J27-L27,"")</f>
        <v/>
      </c>
      <c r="O27" s="9">
        <f>IFERROR(J27-H27,"")</f>
        <v/>
      </c>
      <c r="P27" s="9">
        <f>IFERROR(K27-F27,"")</f>
        <v/>
      </c>
      <c r="Q27" s="7" t="n">
        <v>0.15</v>
      </c>
      <c r="R27" s="7" t="n">
        <v>0.11</v>
      </c>
      <c r="S27" s="7" t="n">
        <v>0.43</v>
      </c>
      <c r="T27" s="7" t="n">
        <v>0.43</v>
      </c>
      <c r="U27" s="7" t="n">
        <v>0.125</v>
      </c>
      <c r="V27" s="7" t="n">
        <v>0.05921052631578947</v>
      </c>
      <c r="W27" s="7" t="n"/>
      <c r="X27" s="7" t="n">
        <v>0.2173684210526315</v>
      </c>
      <c r="Y27" s="3">
        <f>IF(X27="","",IF(X27&gt;='Léeme'!$B$6,"barato",IF(X27&lt;'Léeme'!$B$7,"caro","medio")))</f>
        <v/>
      </c>
      <c r="Z27" s="11" t="n">
        <v>0.02929310742188274</v>
      </c>
      <c r="AA27" s="11" t="n">
        <v>0.01924706162447132</v>
      </c>
    </row>
    <row r="28">
      <c r="A28" s="3" t="inlineStr">
        <is>
          <t>2004-T3</t>
        </is>
      </c>
      <c r="B28" s="13" t="n">
        <v>38260</v>
      </c>
      <c r="C28" s="14" t="n">
        <v>29.859999</v>
      </c>
      <c r="D28" s="14" t="n">
        <v>2.78</v>
      </c>
      <c r="E28" s="14" t="n">
        <v>1.76</v>
      </c>
      <c r="F28" s="5" t="n">
        <v>0.0414</v>
      </c>
      <c r="G28" s="5" t="n">
        <v>0.02547425474254728</v>
      </c>
      <c r="H28" s="5" t="n">
        <v>0.0622</v>
      </c>
      <c r="I28" s="15">
        <f>IFERROR(C28/D28,"")</f>
        <v/>
      </c>
      <c r="J28" s="9">
        <f>IFERROR(D28/C28,"")</f>
        <v/>
      </c>
      <c r="K28" s="9">
        <f>IFERROR(E28/C28,"")</f>
        <v/>
      </c>
      <c r="L28" s="9">
        <f>IFERROR(F28-G28,"")</f>
        <v/>
      </c>
      <c r="M28" s="9">
        <f>IFERROR(J28-F28,"")</f>
        <v/>
      </c>
      <c r="N28" s="9">
        <f>IFERROR(J28-L28,"")</f>
        <v/>
      </c>
      <c r="O28" s="9">
        <f>IFERROR(J28-H28,"")</f>
        <v/>
      </c>
      <c r="P28" s="9">
        <f>IFERROR(K28-F28,"")</f>
        <v/>
      </c>
      <c r="Q28" s="7" t="n">
        <v>0.1792452830188679</v>
      </c>
      <c r="R28" s="7" t="n">
        <v>0.330188679245283</v>
      </c>
      <c r="S28" s="7" t="n">
        <v>0.4811320754716981</v>
      </c>
      <c r="T28" s="7" t="n">
        <v>0.7264150943396226</v>
      </c>
      <c r="U28" s="7" t="n">
        <v>0.1582278481012658</v>
      </c>
      <c r="V28" s="7" t="n">
        <v>0.1582278481012658</v>
      </c>
      <c r="W28" s="7" t="n"/>
      <c r="X28" s="7" t="n">
        <v>0.3389061380463338</v>
      </c>
      <c r="Y28" s="3">
        <f>IF(X28="","",IF(X28&gt;='Léeme'!$B$6,"barato",IF(X28&lt;'Léeme'!$B$7,"caro","medio")))</f>
        <v/>
      </c>
      <c r="Z28" s="11" t="n">
        <v>-0.05461853005472828</v>
      </c>
      <c r="AA28" s="11" t="n">
        <v>0.04490619677126206</v>
      </c>
    </row>
    <row r="29">
      <c r="A29" s="3" t="inlineStr">
        <is>
          <t>2004-T4</t>
        </is>
      </c>
      <c r="B29" s="13" t="n">
        <v>38352</v>
      </c>
      <c r="C29" s="14" t="n">
        <v>35.160002</v>
      </c>
      <c r="D29" s="14" t="n">
        <v>2.78</v>
      </c>
      <c r="E29" s="14" t="n">
        <v>1.768</v>
      </c>
      <c r="F29" s="5" t="n">
        <v>0.0424</v>
      </c>
      <c r="G29" s="5" t="n">
        <v>0.03621621621621607</v>
      </c>
      <c r="H29" s="5" t="n">
        <v>0.0616</v>
      </c>
      <c r="I29" s="15">
        <f>IFERROR(C29/D29,"")</f>
        <v/>
      </c>
      <c r="J29" s="9">
        <f>IFERROR(D29/C29,"")</f>
        <v/>
      </c>
      <c r="K29" s="9">
        <f>IFERROR(E29/C29,"")</f>
        <v/>
      </c>
      <c r="L29" s="9">
        <f>IFERROR(F29-G29,"")</f>
        <v/>
      </c>
      <c r="M29" s="9">
        <f>IFERROR(J29-F29,"")</f>
        <v/>
      </c>
      <c r="N29" s="9">
        <f>IFERROR(J29-L29,"")</f>
        <v/>
      </c>
      <c r="O29" s="9">
        <f>IFERROR(J29-H29,"")</f>
        <v/>
      </c>
      <c r="P29" s="9">
        <f>IFERROR(K29-F29,"")</f>
        <v/>
      </c>
      <c r="Q29" s="7" t="n">
        <v>0.008928571428571428</v>
      </c>
      <c r="R29" s="7" t="n">
        <v>0.008928571428571428</v>
      </c>
      <c r="S29" s="7" t="n">
        <v>0.3303571428571428</v>
      </c>
      <c r="T29" s="7" t="n">
        <v>0.008928571428571428</v>
      </c>
      <c r="U29" s="7" t="n">
        <v>0.006097560975609756</v>
      </c>
      <c r="V29" s="7" t="n">
        <v>0.006097560975609756</v>
      </c>
      <c r="W29" s="7" t="n"/>
      <c r="X29" s="7" t="n">
        <v>0.06155632984901278</v>
      </c>
      <c r="Y29" s="3">
        <f>IF(X29="","",IF(X29&gt;='Léeme'!$B$6,"barato",IF(X29&lt;'Léeme'!$B$7,"caro","medio")))</f>
        <v/>
      </c>
      <c r="Z29" s="11" t="n">
        <v>-0.2404053958821419</v>
      </c>
      <c r="AA29" s="11" t="n">
        <v>0.009432488553624108</v>
      </c>
    </row>
    <row r="30">
      <c r="A30" s="3" t="inlineStr">
        <is>
          <t>2005-T1</t>
        </is>
      </c>
      <c r="B30" s="13" t="n">
        <v>38442</v>
      </c>
      <c r="C30" s="14" t="n">
        <v>30.37</v>
      </c>
      <c r="D30" s="14" t="n">
        <v>3.47</v>
      </c>
      <c r="E30" s="14" t="n">
        <v>1.776</v>
      </c>
      <c r="F30" s="5" t="n">
        <v>0.045</v>
      </c>
      <c r="G30" s="5" t="n">
        <v>0.03053026245313339</v>
      </c>
      <c r="H30" s="5" t="n">
        <v>0.0617</v>
      </c>
      <c r="I30" s="15">
        <f>IFERROR(C30/D30,"")</f>
        <v/>
      </c>
      <c r="J30" s="9">
        <f>IFERROR(D30/C30,"")</f>
        <v/>
      </c>
      <c r="K30" s="9">
        <f>IFERROR(E30/C30,"")</f>
        <v/>
      </c>
      <c r="L30" s="9">
        <f>IFERROR(F30-G30,"")</f>
        <v/>
      </c>
      <c r="M30" s="9">
        <f>IFERROR(J30-F30,"")</f>
        <v/>
      </c>
      <c r="N30" s="9">
        <f>IFERROR(J30-L30,"")</f>
        <v/>
      </c>
      <c r="O30" s="9">
        <f>IFERROR(J30-H30,"")</f>
        <v/>
      </c>
      <c r="P30" s="9">
        <f>IFERROR(K30-F30,"")</f>
        <v/>
      </c>
      <c r="Q30" s="7" t="n">
        <v>0.8559322033898306</v>
      </c>
      <c r="R30" s="7" t="n">
        <v>0.9576271186440678</v>
      </c>
      <c r="S30" s="7" t="n">
        <v>0.923728813559322</v>
      </c>
      <c r="T30" s="7" t="n">
        <v>0.9915254237288136</v>
      </c>
      <c r="U30" s="7" t="n">
        <v>0.1941176470588235</v>
      </c>
      <c r="V30" s="7" t="n">
        <v>0.1352941176470588</v>
      </c>
      <c r="W30" s="7" t="n"/>
      <c r="X30" s="7" t="n">
        <v>0.6763708873379861</v>
      </c>
      <c r="Y30" s="3">
        <f>IF(X30="","",IF(X30&gt;='Léeme'!$B$6,"barato",IF(X30&lt;'Léeme'!$B$7,"caro","medio")))</f>
        <v/>
      </c>
      <c r="Z30" s="11" t="n">
        <v>-0.07030259646920445</v>
      </c>
      <c r="AA30" s="11" t="n">
        <v>0.0522158983765002</v>
      </c>
    </row>
    <row r="31">
      <c r="A31" s="3" t="inlineStr">
        <is>
          <t>2005-T2</t>
        </is>
      </c>
      <c r="B31" s="13" t="n">
        <v>38533</v>
      </c>
      <c r="C31" s="14" t="n">
        <v>29.28</v>
      </c>
      <c r="D31" s="14" t="n">
        <v>3.47</v>
      </c>
      <c r="E31" s="14" t="n">
        <v>1.784</v>
      </c>
      <c r="F31" s="5" t="n">
        <v>0.0394</v>
      </c>
      <c r="G31" s="5" t="n">
        <v>0.02869287991498415</v>
      </c>
      <c r="H31" s="5" t="n">
        <v>0.05860000000000001</v>
      </c>
      <c r="I31" s="15">
        <f>IFERROR(C31/D31,"")</f>
        <v/>
      </c>
      <c r="J31" s="9">
        <f>IFERROR(D31/C31,"")</f>
        <v/>
      </c>
      <c r="K31" s="9">
        <f>IFERROR(E31/C31,"")</f>
        <v/>
      </c>
      <c r="L31" s="9">
        <f>IFERROR(F31-G31,"")</f>
        <v/>
      </c>
      <c r="M31" s="9">
        <f>IFERROR(J31-F31,"")</f>
        <v/>
      </c>
      <c r="N31" s="9">
        <f>IFERROR(J31-L31,"")</f>
        <v/>
      </c>
      <c r="O31" s="9">
        <f>IFERROR(J31-H31,"")</f>
        <v/>
      </c>
      <c r="P31" s="9">
        <f>IFERROR(K31-F31,"")</f>
        <v/>
      </c>
      <c r="Q31" s="7" t="n">
        <v>0.9274193548387096</v>
      </c>
      <c r="R31" s="7" t="n">
        <v>0.9758064516129032</v>
      </c>
      <c r="S31" s="7" t="n">
        <v>0.9758064516129032</v>
      </c>
      <c r="T31" s="7" t="n">
        <v>0.9758064516129032</v>
      </c>
      <c r="U31" s="7" t="n">
        <v>0.2670454545454545</v>
      </c>
      <c r="V31" s="7" t="n">
        <v>0.3011363636363636</v>
      </c>
      <c r="W31" s="7" t="n"/>
      <c r="X31" s="7" t="n">
        <v>0.7371700879765394</v>
      </c>
      <c r="Y31" s="3">
        <f>IF(X31="","",IF(X31&gt;='Léeme'!$B$6,"barato",IF(X31&lt;'Léeme'!$B$7,"caro","medio")))</f>
        <v/>
      </c>
      <c r="Z31" s="11" t="n">
        <v>-0.08607153586647776</v>
      </c>
      <c r="AA31" s="11" t="n">
        <v>0.04756434899503725</v>
      </c>
    </row>
    <row r="32">
      <c r="A32" s="3" t="inlineStr">
        <is>
          <t>2005-T3</t>
        </is>
      </c>
      <c r="B32" s="13" t="n">
        <v>38625</v>
      </c>
      <c r="C32" s="14" t="n">
        <v>26.920001</v>
      </c>
      <c r="D32" s="14" t="n">
        <v>3.47</v>
      </c>
      <c r="E32" s="14" t="n">
        <v>1.792004</v>
      </c>
      <c r="F32" s="5" t="n">
        <v>0.0434</v>
      </c>
      <c r="G32" s="5" t="n">
        <v>0.03646934460887952</v>
      </c>
      <c r="H32" s="5" t="n">
        <v>0.0612</v>
      </c>
      <c r="I32" s="15">
        <f>IFERROR(C32/D32,"")</f>
        <v/>
      </c>
      <c r="J32" s="9">
        <f>IFERROR(D32/C32,"")</f>
        <v/>
      </c>
      <c r="K32" s="9">
        <f>IFERROR(E32/C32,"")</f>
        <v/>
      </c>
      <c r="L32" s="9">
        <f>IFERROR(F32-G32,"")</f>
        <v/>
      </c>
      <c r="M32" s="9">
        <f>IFERROR(J32-F32,"")</f>
        <v/>
      </c>
      <c r="N32" s="9">
        <f>IFERROR(J32-L32,"")</f>
        <v/>
      </c>
      <c r="O32" s="9">
        <f>IFERROR(J32-H32,"")</f>
        <v/>
      </c>
      <c r="P32" s="9">
        <f>IFERROR(K32-F32,"")</f>
        <v/>
      </c>
      <c r="Q32" s="7" t="n">
        <v>0.9923076923076923</v>
      </c>
      <c r="R32" s="7" t="n">
        <v>0.9923076923076923</v>
      </c>
      <c r="S32" s="7" t="n">
        <v>0.9923076923076923</v>
      </c>
      <c r="T32" s="7" t="n">
        <v>0.9923076923076923</v>
      </c>
      <c r="U32" s="7" t="n">
        <v>0.3241758241758242</v>
      </c>
      <c r="V32" s="7" t="n">
        <v>0.3681318681318682</v>
      </c>
      <c r="W32" s="7" t="n"/>
      <c r="X32" s="7" t="n">
        <v>0.7769230769230768</v>
      </c>
      <c r="Y32" s="3">
        <f>IF(X32="","",IF(X32&gt;='Léeme'!$B$6,"barato",IF(X32&lt;'Léeme'!$B$7,"caro","medio")))</f>
        <v/>
      </c>
      <c r="Z32" s="11" t="n">
        <v>0.07997904787086441</v>
      </c>
      <c r="AA32" s="11" t="n">
        <v>0.07539629893587163</v>
      </c>
    </row>
    <row r="33">
      <c r="A33" s="3" t="inlineStr">
        <is>
          <t>2005-T4</t>
        </is>
      </c>
      <c r="B33" s="13" t="n">
        <v>38716</v>
      </c>
      <c r="C33" s="14" t="n">
        <v>25.36</v>
      </c>
      <c r="D33" s="14" t="n">
        <v>3.47</v>
      </c>
      <c r="E33" s="14" t="n">
        <v>1.8</v>
      </c>
      <c r="F33" s="5" t="n">
        <v>0.04389999999999999</v>
      </c>
      <c r="G33" s="5" t="n">
        <v>0.03338549817423053</v>
      </c>
      <c r="H33" s="5" t="n">
        <v>0.0619</v>
      </c>
      <c r="I33" s="15">
        <f>IFERROR(C33/D33,"")</f>
        <v/>
      </c>
      <c r="J33" s="9">
        <f>IFERROR(D33/C33,"")</f>
        <v/>
      </c>
      <c r="K33" s="9">
        <f>IFERROR(E33/C33,"")</f>
        <v/>
      </c>
      <c r="L33" s="9">
        <f>IFERROR(F33-G33,"")</f>
        <v/>
      </c>
      <c r="M33" s="9">
        <f>IFERROR(J33-F33,"")</f>
        <v/>
      </c>
      <c r="N33" s="9">
        <f>IFERROR(J33-L33,"")</f>
        <v/>
      </c>
      <c r="O33" s="9">
        <f>IFERROR(J33-H33,"")</f>
        <v/>
      </c>
      <c r="P33" s="9">
        <f>IFERROR(K33-F33,"")</f>
        <v/>
      </c>
      <c r="Q33" s="7" t="n">
        <v>0.9779411764705882</v>
      </c>
      <c r="R33" s="7" t="n">
        <v>0.9779411764705882</v>
      </c>
      <c r="S33" s="7" t="n">
        <v>0.9632352941176471</v>
      </c>
      <c r="T33" s="7" t="n">
        <v>0.9779411764705882</v>
      </c>
      <c r="U33" s="7" t="n">
        <v>0.398936170212766</v>
      </c>
      <c r="V33" s="7" t="n">
        <v>0.4627659574468085</v>
      </c>
      <c r="W33" s="7" t="n"/>
      <c r="X33" s="7" t="n">
        <v>0.7931268251981644</v>
      </c>
      <c r="Y33" s="3">
        <f>IF(X33="","",IF(X33&gt;='Léeme'!$B$6,"barato",IF(X33&lt;'Léeme'!$B$7,"caro","medio")))</f>
        <v/>
      </c>
      <c r="Z33" s="11" t="n">
        <v>0.2502987721800387</v>
      </c>
      <c r="AA33" s="11" t="n">
        <v>0.1044508857884119</v>
      </c>
    </row>
    <row r="34">
      <c r="A34" s="3" t="inlineStr">
        <is>
          <t>2006-T1</t>
        </is>
      </c>
      <c r="B34" s="13" t="n">
        <v>38807</v>
      </c>
      <c r="C34" s="14" t="n">
        <v>26.78</v>
      </c>
      <c r="D34" s="14" t="n">
        <v>2.53</v>
      </c>
      <c r="E34" s="14" t="n">
        <v>1.808</v>
      </c>
      <c r="F34" s="5" t="n">
        <v>0.0486</v>
      </c>
      <c r="G34" s="5" t="n">
        <v>0.0363825363825363</v>
      </c>
      <c r="H34" s="5" t="n">
        <v>0.06559999999999999</v>
      </c>
      <c r="I34" s="15">
        <f>IFERROR(C34/D34,"")</f>
        <v/>
      </c>
      <c r="J34" s="9">
        <f>IFERROR(D34/C34,"")</f>
        <v/>
      </c>
      <c r="K34" s="9">
        <f>IFERROR(E34/C34,"")</f>
        <v/>
      </c>
      <c r="L34" s="9">
        <f>IFERROR(F34-G34,"")</f>
        <v/>
      </c>
      <c r="M34" s="9">
        <f>IFERROR(J34-F34,"")</f>
        <v/>
      </c>
      <c r="N34" s="9">
        <f>IFERROR(J34-L34,"")</f>
        <v/>
      </c>
      <c r="O34" s="9">
        <f>IFERROR(J34-H34,"")</f>
        <v/>
      </c>
      <c r="P34" s="9">
        <f>IFERROR(K34-F34,"")</f>
        <v/>
      </c>
      <c r="Q34" s="7" t="n">
        <v>0.2605633802816901</v>
      </c>
      <c r="R34" s="7" t="n">
        <v>0.1197183098591549</v>
      </c>
      <c r="S34" s="7" t="n">
        <v>0.528169014084507</v>
      </c>
      <c r="T34" s="7" t="n">
        <v>0.5140845070422535</v>
      </c>
      <c r="U34" s="7" t="n">
        <v>0.3144329896907216</v>
      </c>
      <c r="V34" s="7" t="n">
        <v>0.2319587628865979</v>
      </c>
      <c r="W34" s="7" t="n"/>
      <c r="X34" s="7" t="n">
        <v>0.3281544939741542</v>
      </c>
      <c r="Y34" s="3">
        <f>IF(X34="","",IF(X34&gt;='Léeme'!$B$6,"barato",IF(X34&lt;'Léeme'!$B$7,"caro","medio")))</f>
        <v/>
      </c>
      <c r="Z34" s="11" t="n">
        <v>0.3111121943712154</v>
      </c>
      <c r="AA34" s="11" t="n">
        <v>0.1218946630710169</v>
      </c>
    </row>
    <row r="35">
      <c r="A35" s="3" t="inlineStr">
        <is>
          <t>2006-T2</t>
        </is>
      </c>
      <c r="B35" s="13" t="n">
        <v>38898</v>
      </c>
      <c r="C35" s="14" t="n">
        <v>25.319999</v>
      </c>
      <c r="D35" s="14" t="n">
        <v>2.53</v>
      </c>
      <c r="E35" s="14" t="n">
        <v>1.816</v>
      </c>
      <c r="F35" s="5" t="n">
        <v>0.0515</v>
      </c>
      <c r="G35" s="5" t="n">
        <v>0.03977272727272729</v>
      </c>
      <c r="H35" s="5" t="n">
        <v>0.06909999999999999</v>
      </c>
      <c r="I35" s="15">
        <f>IFERROR(C35/D35,"")</f>
        <v/>
      </c>
      <c r="J35" s="9">
        <f>IFERROR(D35/C35,"")</f>
        <v/>
      </c>
      <c r="K35" s="9">
        <f>IFERROR(E35/C35,"")</f>
        <v/>
      </c>
      <c r="L35" s="9">
        <f>IFERROR(F35-G35,"")</f>
        <v/>
      </c>
      <c r="M35" s="9">
        <f>IFERROR(J35-F35,"")</f>
        <v/>
      </c>
      <c r="N35" s="9">
        <f>IFERROR(J35-L35,"")</f>
        <v/>
      </c>
      <c r="O35" s="9">
        <f>IFERROR(J35-H35,"")</f>
        <v/>
      </c>
      <c r="P35" s="9">
        <f>IFERROR(K35-F35,"")</f>
        <v/>
      </c>
      <c r="Q35" s="7" t="n">
        <v>0.4391891891891892</v>
      </c>
      <c r="R35" s="7" t="n">
        <v>0.2094594594594595</v>
      </c>
      <c r="S35" s="7" t="n">
        <v>0.6418918918918919</v>
      </c>
      <c r="T35" s="7" t="n">
        <v>0.6283783783783784</v>
      </c>
      <c r="U35" s="7" t="n">
        <v>0.465</v>
      </c>
      <c r="V35" s="7" t="n">
        <v>0.285</v>
      </c>
      <c r="W35" s="7" t="n">
        <v>0.6710526315789473</v>
      </c>
      <c r="X35" s="7" t="n">
        <v>0.4771387929282666</v>
      </c>
      <c r="Y35" s="3">
        <f>IF(X35="","",IF(X35&gt;='Léeme'!$B$6,"barato",IF(X35&lt;'Léeme'!$B$7,"caro","medio")))</f>
        <v/>
      </c>
      <c r="Z35" s="11" t="n">
        <v>0.3038775147512061</v>
      </c>
      <c r="AA35" s="11" t="n">
        <v>0.1627299114403351</v>
      </c>
    </row>
    <row r="36">
      <c r="A36" s="3" t="inlineStr">
        <is>
          <t>2006-T3</t>
        </is>
      </c>
      <c r="B36" s="13" t="n">
        <v>38989</v>
      </c>
      <c r="C36" s="14" t="n">
        <v>27.51</v>
      </c>
      <c r="D36" s="14" t="n">
        <v>2.53</v>
      </c>
      <c r="E36" s="14" t="n">
        <v>1.824</v>
      </c>
      <c r="F36" s="5" t="n">
        <v>0.0464</v>
      </c>
      <c r="G36" s="5" t="n">
        <v>0.03926568077511483</v>
      </c>
      <c r="H36" s="5" t="n">
        <v>0.0636</v>
      </c>
      <c r="I36" s="15">
        <f>IFERROR(C36/D36,"")</f>
        <v/>
      </c>
      <c r="J36" s="9">
        <f>IFERROR(D36/C36,"")</f>
        <v/>
      </c>
      <c r="K36" s="9">
        <f>IFERROR(E36/C36,"")</f>
        <v/>
      </c>
      <c r="L36" s="9">
        <f>IFERROR(F36-G36,"")</f>
        <v/>
      </c>
      <c r="M36" s="9">
        <f>IFERROR(J36-F36,"")</f>
        <v/>
      </c>
      <c r="N36" s="9">
        <f>IFERROR(J36-L36,"")</f>
        <v/>
      </c>
      <c r="O36" s="9">
        <f>IFERROR(J36-H36,"")</f>
        <v/>
      </c>
      <c r="P36" s="9">
        <f>IFERROR(K36-F36,"")</f>
        <v/>
      </c>
      <c r="Q36" s="7" t="n">
        <v>0.1753246753246753</v>
      </c>
      <c r="R36" s="7" t="n">
        <v>0.1233766233766234</v>
      </c>
      <c r="S36" s="7" t="n">
        <v>0.538961038961039</v>
      </c>
      <c r="T36" s="7" t="n">
        <v>0.512987012987013</v>
      </c>
      <c r="U36" s="7" t="n">
        <v>0.2864077669902912</v>
      </c>
      <c r="V36" s="7" t="n">
        <v>0.2864077669902912</v>
      </c>
      <c r="W36" s="7" t="n">
        <v>0.5487804878048781</v>
      </c>
      <c r="X36" s="7" t="n">
        <v>0.3531779103478302</v>
      </c>
      <c r="Y36" s="3">
        <f>IF(X36="","",IF(X36&gt;='Léeme'!$B$6,"barato",IF(X36&lt;'Léeme'!$B$7,"caro","medio")))</f>
        <v/>
      </c>
      <c r="Z36" s="11" t="n">
        <v>0.2003719275692779</v>
      </c>
      <c r="AA36" s="11" t="n">
        <v>0.1238971203741641</v>
      </c>
    </row>
    <row r="37">
      <c r="A37" s="3" t="inlineStr">
        <is>
          <t>2006-T4</t>
        </is>
      </c>
      <c r="B37" s="13" t="n">
        <v>39080</v>
      </c>
      <c r="C37" s="14" t="n">
        <v>30.069999</v>
      </c>
      <c r="D37" s="14" t="n">
        <v>2.53</v>
      </c>
      <c r="E37" s="14" t="n">
        <v>1.832</v>
      </c>
      <c r="F37" s="5" t="n">
        <v>0.0471</v>
      </c>
      <c r="G37" s="5" t="n">
        <v>0.01968702675416467</v>
      </c>
      <c r="H37" s="5" t="n">
        <v>0.0635</v>
      </c>
      <c r="I37" s="15">
        <f>IFERROR(C37/D37,"")</f>
        <v/>
      </c>
      <c r="J37" s="9">
        <f>IFERROR(D37/C37,"")</f>
        <v/>
      </c>
      <c r="K37" s="9">
        <f>IFERROR(E37/C37,"")</f>
        <v/>
      </c>
      <c r="L37" s="9">
        <f>IFERROR(F37-G37,"")</f>
        <v/>
      </c>
      <c r="M37" s="9">
        <f>IFERROR(J37-F37,"")</f>
        <v/>
      </c>
      <c r="N37" s="9">
        <f>IFERROR(J37-L37,"")</f>
        <v/>
      </c>
      <c r="O37" s="9">
        <f>IFERROR(J37-H37,"")</f>
        <v/>
      </c>
      <c r="P37" s="9">
        <f>IFERROR(K37-F37,"")</f>
        <v/>
      </c>
      <c r="Q37" s="7" t="n">
        <v>0.05625</v>
      </c>
      <c r="R37" s="7" t="n">
        <v>0.01875</v>
      </c>
      <c r="S37" s="7" t="n">
        <v>0.01875</v>
      </c>
      <c r="T37" s="7" t="n">
        <v>0.06875000000000001</v>
      </c>
      <c r="U37" s="7" t="n">
        <v>0.2311320754716981</v>
      </c>
      <c r="V37" s="7" t="n">
        <v>0.1179245283018868</v>
      </c>
      <c r="W37" s="7" t="n">
        <v>0.1931818181818182</v>
      </c>
      <c r="X37" s="7" t="n">
        <v>0.1006769174222004</v>
      </c>
      <c r="Y37" s="3">
        <f>IF(X37="","",IF(X37&gt;='Léeme'!$B$6,"barato",IF(X37&lt;'Léeme'!$B$7,"caro","medio")))</f>
        <v/>
      </c>
      <c r="Z37" s="11" t="n">
        <v>0.158451205865241</v>
      </c>
      <c r="AA37" s="11" t="n">
        <v>0.1276738947430422</v>
      </c>
    </row>
    <row r="38">
      <c r="A38" s="3" t="inlineStr">
        <is>
          <t>2007-T1</t>
        </is>
      </c>
      <c r="B38" s="13" t="n">
        <v>39171</v>
      </c>
      <c r="C38" s="14" t="n">
        <v>33.37</v>
      </c>
      <c r="D38" s="14" t="n">
        <v>3.29</v>
      </c>
      <c r="E38" s="14" t="n">
        <v>1.848</v>
      </c>
      <c r="F38" s="5" t="n">
        <v>0.04650000000000001</v>
      </c>
      <c r="G38" s="5" t="n">
        <v>0.02420260782347028</v>
      </c>
      <c r="H38" s="5" t="n">
        <v>0.0638</v>
      </c>
      <c r="I38" s="15">
        <f>IFERROR(C38/D38,"")</f>
        <v/>
      </c>
      <c r="J38" s="9">
        <f>IFERROR(D38/C38,"")</f>
        <v/>
      </c>
      <c r="K38" s="9">
        <f>IFERROR(E38/C38,"")</f>
        <v/>
      </c>
      <c r="L38" s="9">
        <f>IFERROR(F38-G38,"")</f>
        <v/>
      </c>
      <c r="M38" s="9">
        <f>IFERROR(J38-F38,"")</f>
        <v/>
      </c>
      <c r="N38" s="9">
        <f>IFERROR(J38-L38,"")</f>
        <v/>
      </c>
      <c r="O38" s="9">
        <f>IFERROR(J38-H38,"")</f>
        <v/>
      </c>
      <c r="P38" s="9">
        <f>IFERROR(K38-F38,"")</f>
        <v/>
      </c>
      <c r="Q38" s="7" t="n">
        <v>0.427710843373494</v>
      </c>
      <c r="R38" s="7" t="n">
        <v>0.427710843373494</v>
      </c>
      <c r="S38" s="7" t="n">
        <v>0.3795180722891566</v>
      </c>
      <c r="T38" s="7" t="n">
        <v>0.7168674698795181</v>
      </c>
      <c r="U38" s="7" t="n">
        <v>0.06880733944954129</v>
      </c>
      <c r="V38" s="7" t="n">
        <v>0.02293577981651376</v>
      </c>
      <c r="W38" s="7" t="n">
        <v>0.6914893617021277</v>
      </c>
      <c r="X38" s="7" t="n">
        <v>0.390719958554835</v>
      </c>
      <c r="Y38" s="3">
        <f>IF(X38="","",IF(X38&gt;='Léeme'!$B$6,"barato",IF(X38&lt;'Léeme'!$B$7,"caro","medio")))</f>
        <v/>
      </c>
      <c r="Z38" s="11" t="n">
        <v>-0.05236204543392942</v>
      </c>
      <c r="AA38" s="11" t="n">
        <v>0.1301885670458167</v>
      </c>
    </row>
    <row r="39">
      <c r="A39" s="3" t="inlineStr">
        <is>
          <t>2007-T2</t>
        </is>
      </c>
      <c r="B39" s="13" t="n">
        <v>39262</v>
      </c>
      <c r="C39" s="14" t="n">
        <v>31.450001</v>
      </c>
      <c r="D39" s="14" t="n">
        <v>3.29</v>
      </c>
      <c r="E39" s="14" t="n">
        <v>1.868</v>
      </c>
      <c r="F39" s="5" t="n">
        <v>0.0503</v>
      </c>
      <c r="G39" s="5" t="n">
        <v>0.02709885742672613</v>
      </c>
      <c r="H39" s="5" t="n">
        <v>0.0672</v>
      </c>
      <c r="I39" s="15">
        <f>IFERROR(C39/D39,"")</f>
        <v/>
      </c>
      <c r="J39" s="9">
        <f>IFERROR(D39/C39,"")</f>
        <v/>
      </c>
      <c r="K39" s="9">
        <f>IFERROR(E39/C39,"")</f>
        <v/>
      </c>
      <c r="L39" s="9">
        <f>IFERROR(F39-G39,"")</f>
        <v/>
      </c>
      <c r="M39" s="9">
        <f>IFERROR(J39-F39,"")</f>
        <v/>
      </c>
      <c r="N39" s="9">
        <f>IFERROR(J39-L39,"")</f>
        <v/>
      </c>
      <c r="O39" s="9">
        <f>IFERROR(J39-H39,"")</f>
        <v/>
      </c>
      <c r="P39" s="9">
        <f>IFERROR(K39-F39,"")</f>
        <v/>
      </c>
      <c r="Q39" s="7" t="n">
        <v>0.6453488372093024</v>
      </c>
      <c r="R39" s="7" t="n">
        <v>0.5058139534883721</v>
      </c>
      <c r="S39" s="7" t="n">
        <v>0.5174418604651163</v>
      </c>
      <c r="T39" s="7" t="n">
        <v>0.7848837209302325</v>
      </c>
      <c r="U39" s="7" t="n">
        <v>0.21875</v>
      </c>
      <c r="V39" s="7" t="n">
        <v>0.04910714285714286</v>
      </c>
      <c r="W39" s="7" t="n">
        <v>0.75</v>
      </c>
      <c r="X39" s="7" t="n">
        <v>0.495906502135738</v>
      </c>
      <c r="Y39" s="3">
        <f>IF(X39="","",IF(X39&gt;='Léeme'!$B$6,"barato",IF(X39&lt;'Léeme'!$B$7,"caro","medio")))</f>
        <v/>
      </c>
      <c r="Z39" s="11" t="n">
        <v>-0.03461598942811461</v>
      </c>
      <c r="AA39" s="11" t="n">
        <v>0.1407517070566349</v>
      </c>
    </row>
    <row r="40">
      <c r="A40" s="3" t="inlineStr">
        <is>
          <t>2007-T3</t>
        </is>
      </c>
      <c r="B40" s="13" t="n">
        <v>39353</v>
      </c>
      <c r="C40" s="14" t="n">
        <v>31.5</v>
      </c>
      <c r="D40" s="14" t="n">
        <v>3.29</v>
      </c>
      <c r="E40" s="14" t="n">
        <v>1.888</v>
      </c>
      <c r="F40" s="5" t="n">
        <v>0.0459</v>
      </c>
      <c r="G40" s="5" t="n">
        <v>0.01897448478900876</v>
      </c>
      <c r="H40" s="5" t="n">
        <v>0.0659</v>
      </c>
      <c r="I40" s="15">
        <f>IFERROR(C40/D40,"")</f>
        <v/>
      </c>
      <c r="J40" s="9">
        <f>IFERROR(D40/C40,"")</f>
        <v/>
      </c>
      <c r="K40" s="9">
        <f>IFERROR(E40/C40,"")</f>
        <v/>
      </c>
      <c r="L40" s="9">
        <f>IFERROR(F40-G40,"")</f>
        <v/>
      </c>
      <c r="M40" s="9">
        <f>IFERROR(J40-F40,"")</f>
        <v/>
      </c>
      <c r="N40" s="9">
        <f>IFERROR(J40-L40,"")</f>
        <v/>
      </c>
      <c r="O40" s="9">
        <f>IFERROR(J40-H40,"")</f>
        <v/>
      </c>
      <c r="P40" s="9">
        <f>IFERROR(K40-F40,"")</f>
        <v/>
      </c>
      <c r="Q40" s="7" t="n">
        <v>0.6235955056179775</v>
      </c>
      <c r="R40" s="7" t="n">
        <v>0.6685393258426966</v>
      </c>
      <c r="S40" s="7" t="n">
        <v>0.4438202247191011</v>
      </c>
      <c r="T40" s="7" t="n">
        <v>0.7808988764044944</v>
      </c>
      <c r="U40" s="7" t="n">
        <v>0.2652173913043478</v>
      </c>
      <c r="V40" s="7" t="n">
        <v>0.1782608695652174</v>
      </c>
      <c r="W40" s="7" t="n">
        <v>0.7075471698113207</v>
      </c>
      <c r="X40" s="7" t="n">
        <v>0.5239827661807366</v>
      </c>
      <c r="Y40" s="3">
        <f>IF(X40="","",IF(X40&gt;='Léeme'!$B$6,"barato",IF(X40&lt;'Léeme'!$B$7,"caro","medio")))</f>
        <v/>
      </c>
      <c r="Z40" s="11" t="n">
        <v>-0.1065094778601801</v>
      </c>
      <c r="AA40" s="11" t="n">
        <v>0.1544172094133405</v>
      </c>
    </row>
    <row r="41">
      <c r="A41" s="3" t="inlineStr">
        <is>
          <t>2007-T4</t>
        </is>
      </c>
      <c r="B41" s="13" t="n">
        <v>39447</v>
      </c>
      <c r="C41" s="14" t="n">
        <v>33.199999</v>
      </c>
      <c r="D41" s="14" t="n">
        <v>3.29</v>
      </c>
      <c r="E41" s="14" t="n">
        <v>1.908</v>
      </c>
      <c r="F41" s="5" t="n">
        <v>0.0404</v>
      </c>
      <c r="G41" s="5" t="n">
        <v>0.04373267326732666</v>
      </c>
      <c r="H41" s="5" t="n">
        <v>0.06619999999999999</v>
      </c>
      <c r="I41" s="15">
        <f>IFERROR(C41/D41,"")</f>
        <v/>
      </c>
      <c r="J41" s="9">
        <f>IFERROR(D41/C41,"")</f>
        <v/>
      </c>
      <c r="K41" s="9">
        <f>IFERROR(E41/C41,"")</f>
        <v/>
      </c>
      <c r="L41" s="9">
        <f>IFERROR(F41-G41,"")</f>
        <v/>
      </c>
      <c r="M41" s="9">
        <f>IFERROR(J41-F41,"")</f>
        <v/>
      </c>
      <c r="N41" s="9">
        <f>IFERROR(J41-L41,"")</f>
        <v/>
      </c>
      <c r="O41" s="9">
        <f>IFERROR(J41-H41,"")</f>
        <v/>
      </c>
      <c r="P41" s="9">
        <f>IFERROR(K41-F41,"")</f>
        <v/>
      </c>
      <c r="Q41" s="7" t="n">
        <v>0.4619565217391304</v>
      </c>
      <c r="R41" s="7" t="n">
        <v>0.6793478260869565</v>
      </c>
      <c r="S41" s="7" t="n">
        <v>0.8423913043478261</v>
      </c>
      <c r="T41" s="7" t="n">
        <v>0.6793478260869565</v>
      </c>
      <c r="U41" s="7" t="n">
        <v>0.173728813559322</v>
      </c>
      <c r="V41" s="7" t="n">
        <v>0.2838983050847458</v>
      </c>
      <c r="W41" s="7" t="n">
        <v>0.6875</v>
      </c>
      <c r="X41" s="7" t="n">
        <v>0.5440243709864196</v>
      </c>
      <c r="Y41" s="3">
        <f>IF(X41="","",IF(X41&gt;='Léeme'!$B$6,"barato",IF(X41&lt;'Léeme'!$B$7,"caro","medio")))</f>
        <v/>
      </c>
      <c r="Z41" s="11" t="n">
        <v>-0.2519523827392529</v>
      </c>
      <c r="AA41" s="11" t="n">
        <v>0.1548859719728435</v>
      </c>
    </row>
    <row r="42">
      <c r="A42" s="3" t="inlineStr">
        <is>
          <t>2008-T1</t>
        </is>
      </c>
      <c r="B42" s="13" t="n">
        <v>39538</v>
      </c>
      <c r="C42" s="14" t="n">
        <v>29.97</v>
      </c>
      <c r="D42" s="14" t="n">
        <v>3.34</v>
      </c>
      <c r="E42" s="14" t="n">
        <v>1.928</v>
      </c>
      <c r="F42" s="5" t="n">
        <v>0.0345</v>
      </c>
      <c r="G42" s="5" t="n">
        <v>0.04142959270611968</v>
      </c>
      <c r="H42" s="5" t="n">
        <v>0.0694</v>
      </c>
      <c r="I42" s="15">
        <f>IFERROR(C42/D42,"")</f>
        <v/>
      </c>
      <c r="J42" s="9">
        <f>IFERROR(D42/C42,"")</f>
        <v/>
      </c>
      <c r="K42" s="9">
        <f>IFERROR(E42/C42,"")</f>
        <v/>
      </c>
      <c r="L42" s="9">
        <f>IFERROR(F42-G42,"")</f>
        <v/>
      </c>
      <c r="M42" s="9">
        <f>IFERROR(J42-F42,"")</f>
        <v/>
      </c>
      <c r="N42" s="9">
        <f>IFERROR(J42-L42,"")</f>
        <v/>
      </c>
      <c r="O42" s="9">
        <f>IFERROR(J42-H42,"")</f>
        <v/>
      </c>
      <c r="P42" s="9">
        <f>IFERROR(K42-F42,"")</f>
        <v/>
      </c>
      <c r="Q42" s="7" t="n">
        <v>0.7421052631578947</v>
      </c>
      <c r="R42" s="7" t="n">
        <v>0.9</v>
      </c>
      <c r="S42" s="7" t="n">
        <v>0.9315789473684211</v>
      </c>
      <c r="T42" s="7" t="n">
        <v>0.8368421052631579</v>
      </c>
      <c r="U42" s="7" t="n">
        <v>0.359504132231405</v>
      </c>
      <c r="V42" s="7" t="n">
        <v>0.6570247933884298</v>
      </c>
      <c r="W42" s="7" t="n">
        <v>0.8220338983050848</v>
      </c>
      <c r="X42" s="7" t="n">
        <v>0.7498698771020561</v>
      </c>
      <c r="Y42" s="3">
        <f>IF(X42="","",IF(X42&gt;='Léeme'!$B$6,"barato",IF(X42&lt;'Léeme'!$B$7,"caro","medio")))</f>
        <v/>
      </c>
      <c r="Z42" s="11" t="n">
        <v>-0.2111337933763362</v>
      </c>
      <c r="AA42" s="11" t="n">
        <v>0.2401140939860018</v>
      </c>
    </row>
    <row r="43">
      <c r="A43" s="3" t="inlineStr">
        <is>
          <t>2008-T2</t>
        </is>
      </c>
      <c r="B43" s="13" t="n">
        <v>39629</v>
      </c>
      <c r="C43" s="14" t="n">
        <v>28.710001</v>
      </c>
      <c r="D43" s="14" t="n">
        <v>3.34</v>
      </c>
      <c r="E43" s="14" t="n">
        <v>1.948</v>
      </c>
      <c r="F43" s="5" t="n">
        <v>0.0399</v>
      </c>
      <c r="G43" s="5" t="n">
        <v>0.04088413823123993</v>
      </c>
      <c r="H43" s="5" t="n">
        <v>0.0703</v>
      </c>
      <c r="I43" s="15">
        <f>IFERROR(C43/D43,"")</f>
        <v/>
      </c>
      <c r="J43" s="9">
        <f>IFERROR(D43/C43,"")</f>
        <v/>
      </c>
      <c r="K43" s="9">
        <f>IFERROR(E43/C43,"")</f>
        <v/>
      </c>
      <c r="L43" s="9">
        <f>IFERROR(F43-G43,"")</f>
        <v/>
      </c>
      <c r="M43" s="9">
        <f>IFERROR(J43-F43,"")</f>
        <v/>
      </c>
      <c r="N43" s="9">
        <f>IFERROR(J43-L43,"")</f>
        <v/>
      </c>
      <c r="O43" s="9">
        <f>IFERROR(J43-H43,"")</f>
        <v/>
      </c>
      <c r="P43" s="9">
        <f>IFERROR(K43-F43,"")</f>
        <v/>
      </c>
      <c r="Q43" s="7" t="n">
        <v>0.8214285714285714</v>
      </c>
      <c r="R43" s="7" t="n">
        <v>0.8928571428571429</v>
      </c>
      <c r="S43" s="7" t="n">
        <v>0.923469387755102</v>
      </c>
      <c r="T43" s="7" t="n">
        <v>0.8724489795918368</v>
      </c>
      <c r="U43" s="7" t="n">
        <v>0.4395161290322581</v>
      </c>
      <c r="V43" s="7" t="n">
        <v>0.6088709677419355</v>
      </c>
      <c r="W43" s="7" t="n">
        <v>0.8790322580645161</v>
      </c>
      <c r="X43" s="7" t="n">
        <v>0.7768033480673375</v>
      </c>
      <c r="Y43" s="3">
        <f>IF(X43="","",IF(X43&gt;='Léeme'!$B$6,"barato",IF(X43&lt;'Léeme'!$B$7,"caro","medio")))</f>
        <v/>
      </c>
      <c r="Z43" s="11" t="n">
        <v>-0.07069041183795566</v>
      </c>
      <c r="AA43" s="11" t="n">
        <v>0.2453509383812931</v>
      </c>
    </row>
    <row r="44">
      <c r="A44" s="3" t="inlineStr">
        <is>
          <t>2008-T3</t>
        </is>
      </c>
      <c r="B44" s="13" t="n">
        <v>39721</v>
      </c>
      <c r="C44" s="14" t="n">
        <v>26.1</v>
      </c>
      <c r="D44" s="14" t="n">
        <v>3.34</v>
      </c>
      <c r="E44" s="14" t="n">
        <v>1.968004</v>
      </c>
      <c r="F44" s="5" t="n">
        <v>0.0385</v>
      </c>
      <c r="G44" s="5" t="n">
        <v>0.05308017162091239</v>
      </c>
      <c r="H44" s="5" t="n">
        <v>0.0762</v>
      </c>
      <c r="I44" s="15">
        <f>IFERROR(C44/D44,"")</f>
        <v/>
      </c>
      <c r="J44" s="9">
        <f>IFERROR(D44/C44,"")</f>
        <v/>
      </c>
      <c r="K44" s="9">
        <f>IFERROR(E44/C44,"")</f>
        <v/>
      </c>
      <c r="L44" s="9">
        <f>IFERROR(F44-G44,"")</f>
        <v/>
      </c>
      <c r="M44" s="9">
        <f>IFERROR(J44-F44,"")</f>
        <v/>
      </c>
      <c r="N44" s="9">
        <f>IFERROR(J44-L44,"")</f>
        <v/>
      </c>
      <c r="O44" s="9">
        <f>IFERROR(J44-H44,"")</f>
        <v/>
      </c>
      <c r="P44" s="9">
        <f>IFERROR(K44-F44,"")</f>
        <v/>
      </c>
      <c r="Q44" s="7" t="n">
        <v>0.9356435643564357</v>
      </c>
      <c r="R44" s="7" t="n">
        <v>0.9653465346534653</v>
      </c>
      <c r="S44" s="7" t="n">
        <v>0.995049504950495</v>
      </c>
      <c r="T44" s="7" t="n">
        <v>0.8762376237623762</v>
      </c>
      <c r="U44" s="7" t="n">
        <v>0.6496062992125984</v>
      </c>
      <c r="V44" s="7" t="n">
        <v>0.8149606299212598</v>
      </c>
      <c r="W44" s="7" t="n">
        <v>0.9307692307692308</v>
      </c>
      <c r="X44" s="7" t="n">
        <v>0.8810876268036945</v>
      </c>
      <c r="Y44" s="3">
        <f>IF(X44="","",IF(X44&gt;='Léeme'!$B$6,"barato",IF(X44&lt;'Léeme'!$B$7,"caro","medio")))</f>
        <v/>
      </c>
      <c r="Z44" s="11" t="n">
        <v>0.1571305130445431</v>
      </c>
      <c r="AA44" s="11" t="n">
        <v>0.2625543585201906</v>
      </c>
    </row>
    <row r="45">
      <c r="A45" s="3" t="inlineStr">
        <is>
          <t>2008-T4</t>
        </is>
      </c>
      <c r="B45" s="13" t="n">
        <v>39813</v>
      </c>
      <c r="C45" s="14" t="n">
        <v>23.429999</v>
      </c>
      <c r="D45" s="14" t="n">
        <v>3.34</v>
      </c>
      <c r="E45" s="14" t="n">
        <v>1.976</v>
      </c>
      <c r="F45" s="5" t="n">
        <v>0.0225</v>
      </c>
      <c r="G45" s="5" t="n">
        <v>0.01099917470616685</v>
      </c>
      <c r="H45" s="5" t="n">
        <v>0.07969999999999999</v>
      </c>
      <c r="I45" s="15">
        <f>IFERROR(C45/D45,"")</f>
        <v/>
      </c>
      <c r="J45" s="9">
        <f>IFERROR(D45/C45,"")</f>
        <v/>
      </c>
      <c r="K45" s="9">
        <f>IFERROR(E45/C45,"")</f>
        <v/>
      </c>
      <c r="L45" s="9">
        <f>IFERROR(F45-G45,"")</f>
        <v/>
      </c>
      <c r="M45" s="9">
        <f>IFERROR(J45-F45,"")</f>
        <v/>
      </c>
      <c r="N45" s="9">
        <f>IFERROR(J45-L45,"")</f>
        <v/>
      </c>
      <c r="O45" s="9">
        <f>IFERROR(J45-H45,"")</f>
        <v/>
      </c>
      <c r="P45" s="9">
        <f>IFERROR(K45-F45,"")</f>
        <v/>
      </c>
      <c r="Q45" s="7" t="n">
        <v>0.9759615384615384</v>
      </c>
      <c r="R45" s="7" t="n">
        <v>0.9855769230769231</v>
      </c>
      <c r="S45" s="7" t="n">
        <v>0.9471153846153846</v>
      </c>
      <c r="T45" s="7" t="n">
        <v>0.9182692307692307</v>
      </c>
      <c r="U45" s="7" t="n">
        <v>0.75</v>
      </c>
      <c r="V45" s="7" t="n">
        <v>0.9884615384615385</v>
      </c>
      <c r="W45" s="7" t="n">
        <v>0.9632352941176471</v>
      </c>
      <c r="X45" s="7" t="n">
        <v>0.9326599870717517</v>
      </c>
      <c r="Y45" s="3">
        <f>IF(X45="","",IF(X45&gt;='Léeme'!$B$6,"barato",IF(X45&lt;'Léeme'!$B$7,"caro","medio")))</f>
        <v/>
      </c>
      <c r="Z45" s="11" t="n">
        <v>0.2673183039818763</v>
      </c>
      <c r="AA45" s="11" t="n">
        <v>0.2751349343232992</v>
      </c>
    </row>
    <row r="46">
      <c r="A46" s="3" t="inlineStr">
        <is>
          <t>2009-T1</t>
        </is>
      </c>
      <c r="B46" s="13" t="n">
        <v>39903</v>
      </c>
      <c r="C46" s="14" t="n">
        <v>22.19</v>
      </c>
      <c r="D46" s="14" t="n">
        <v>3.09</v>
      </c>
      <c r="E46" s="14" t="n">
        <v>1.984</v>
      </c>
      <c r="F46" s="5" t="n">
        <v>0.0271</v>
      </c>
      <c r="G46" s="5" t="n">
        <v>8.463140671510772e-05</v>
      </c>
      <c r="H46" s="5" t="n">
        <v>0.0848</v>
      </c>
      <c r="I46" s="15">
        <f>IFERROR(C46/D46,"")</f>
        <v/>
      </c>
      <c r="J46" s="9">
        <f>IFERROR(D46/C46,"")</f>
        <v/>
      </c>
      <c r="K46" s="9">
        <f>IFERROR(E46/C46,"")</f>
        <v/>
      </c>
      <c r="L46" s="9">
        <f>IFERROR(F46-G46,"")</f>
        <v/>
      </c>
      <c r="M46" s="9">
        <f>IFERROR(J46-F46,"")</f>
        <v/>
      </c>
      <c r="N46" s="9">
        <f>IFERROR(J46-L46,"")</f>
        <v/>
      </c>
      <c r="O46" s="9">
        <f>IFERROR(J46-H46,"")</f>
        <v/>
      </c>
      <c r="P46" s="9">
        <f>IFERROR(K46-F46,"")</f>
        <v/>
      </c>
      <c r="Q46" s="7" t="n">
        <v>0.9485981308411215</v>
      </c>
      <c r="R46" s="7" t="n">
        <v>0.9579439252336449</v>
      </c>
      <c r="S46" s="7" t="n">
        <v>0.8177570093457944</v>
      </c>
      <c r="T46" s="7" t="n">
        <v>0.8551401869158879</v>
      </c>
      <c r="U46" s="7" t="n">
        <v>0.8007518796992481</v>
      </c>
      <c r="V46" s="7" t="n">
        <v>0.981203007518797</v>
      </c>
      <c r="W46" s="7" t="n">
        <v>0.8943661971830986</v>
      </c>
      <c r="X46" s="7" t="n">
        <v>0.8936800481053703</v>
      </c>
      <c r="Y46" s="3">
        <f>IF(X46="","",IF(X46&gt;='Léeme'!$B$6,"barato",IF(X46&lt;'Léeme'!$B$7,"caro","medio")))</f>
        <v/>
      </c>
      <c r="Z46" s="11" t="n">
        <v>0.4145135350229161</v>
      </c>
      <c r="AA46" s="11" t="n">
        <v>0.2822096222451695</v>
      </c>
    </row>
    <row r="47">
      <c r="A47" s="3" t="inlineStr">
        <is>
          <t>2009-T2</t>
        </is>
      </c>
      <c r="B47" s="13" t="n">
        <v>39994</v>
      </c>
      <c r="C47" s="14" t="n">
        <v>24.98</v>
      </c>
      <c r="D47" s="14" t="n">
        <v>3.09</v>
      </c>
      <c r="E47" s="14" t="n">
        <v>1.992</v>
      </c>
      <c r="F47" s="5" t="n">
        <v>0.0353</v>
      </c>
      <c r="G47" s="5" t="n">
        <v>-0.01015761495855172</v>
      </c>
      <c r="H47" s="5" t="n">
        <v>0.07200000000000001</v>
      </c>
      <c r="I47" s="15">
        <f>IFERROR(C47/D47,"")</f>
        <v/>
      </c>
      <c r="J47" s="9">
        <f>IFERROR(D47/C47,"")</f>
        <v/>
      </c>
      <c r="K47" s="9">
        <f>IFERROR(E47/C47,"")</f>
        <v/>
      </c>
      <c r="L47" s="9">
        <f>IFERROR(F47-G47,"")</f>
        <v/>
      </c>
      <c r="M47" s="9">
        <f>IFERROR(J47-F47,"")</f>
        <v/>
      </c>
      <c r="N47" s="9">
        <f>IFERROR(J47-L47,"")</f>
        <v/>
      </c>
      <c r="O47" s="9">
        <f>IFERROR(J47-H47,"")</f>
        <v/>
      </c>
      <c r="P47" s="9">
        <f>IFERROR(K47-F47,"")</f>
        <v/>
      </c>
      <c r="Q47" s="7" t="n">
        <v>0.8590909090909091</v>
      </c>
      <c r="R47" s="7" t="n">
        <v>0.8954545454545455</v>
      </c>
      <c r="S47" s="7" t="n">
        <v>0.4136363636363636</v>
      </c>
      <c r="T47" s="7" t="n">
        <v>0.8227272727272728</v>
      </c>
      <c r="U47" s="7" t="n">
        <v>0.6580882352941176</v>
      </c>
      <c r="V47" s="7" t="n">
        <v>0.9375</v>
      </c>
      <c r="W47" s="7" t="n">
        <v>0.7635135135135135</v>
      </c>
      <c r="X47" s="7" t="n">
        <v>0.7642872628166746</v>
      </c>
      <c r="Y47" s="3">
        <f>IF(X47="","",IF(X47&gt;='Léeme'!$B$6,"barato",IF(X47&lt;'Léeme'!$B$7,"caro","medio")))</f>
        <v/>
      </c>
      <c r="Z47" s="11" t="n">
        <v>0.1804436869949779</v>
      </c>
      <c r="AA47" s="11" t="n">
        <v>0.2685563068492389</v>
      </c>
    </row>
    <row r="48">
      <c r="A48" s="3" t="inlineStr">
        <is>
          <t>2009-T3</t>
        </is>
      </c>
      <c r="B48" s="13" t="n">
        <v>40086</v>
      </c>
      <c r="C48" s="14" t="n">
        <v>28.31</v>
      </c>
      <c r="D48" s="14" t="n">
        <v>3.09</v>
      </c>
      <c r="E48" s="14" t="n">
        <v>2</v>
      </c>
      <c r="F48" s="5" t="n">
        <v>0.0331</v>
      </c>
      <c r="G48" s="5" t="n">
        <v>-0.01483835566326763</v>
      </c>
      <c r="H48" s="5" t="n">
        <v>0.0612</v>
      </c>
      <c r="I48" s="15">
        <f>IFERROR(C48/D48,"")</f>
        <v/>
      </c>
      <c r="J48" s="9">
        <f>IFERROR(D48/C48,"")</f>
        <v/>
      </c>
      <c r="K48" s="9">
        <f>IFERROR(E48/C48,"")</f>
        <v/>
      </c>
      <c r="L48" s="9">
        <f>IFERROR(F48-G48,"")</f>
        <v/>
      </c>
      <c r="M48" s="9">
        <f>IFERROR(J48-F48,"")</f>
        <v/>
      </c>
      <c r="N48" s="9">
        <f>IFERROR(J48-L48,"")</f>
        <v/>
      </c>
      <c r="O48" s="9">
        <f>IFERROR(J48-H48,"")</f>
        <v/>
      </c>
      <c r="P48" s="9">
        <f>IFERROR(K48-F48,"")</f>
        <v/>
      </c>
      <c r="Q48" s="7" t="n">
        <v>0.6238938053097345</v>
      </c>
      <c r="R48" s="7" t="n">
        <v>0.8008849557522124</v>
      </c>
      <c r="S48" s="7" t="n">
        <v>0.04867256637168142</v>
      </c>
      <c r="T48" s="7" t="n">
        <v>0.8097345132743363</v>
      </c>
      <c r="U48" s="7" t="n">
        <v>0.4856115107913669</v>
      </c>
      <c r="V48" s="7" t="n">
        <v>0.7661870503597122</v>
      </c>
      <c r="W48" s="7" t="n">
        <v>0.525974025974026</v>
      </c>
      <c r="X48" s="7" t="n">
        <v>0.5801369182618671</v>
      </c>
      <c r="Y48" s="3">
        <f>IF(X48="","",IF(X48&gt;='Léeme'!$B$6,"barato",IF(X48&lt;'Léeme'!$B$7,"caro","medio")))</f>
        <v/>
      </c>
      <c r="Z48" s="11" t="n">
        <v>0.09159930195690613</v>
      </c>
      <c r="AA48" s="11" t="n">
        <v>0.2342970795004913</v>
      </c>
    </row>
    <row r="49">
      <c r="A49" s="3" t="inlineStr">
        <is>
          <t>2009-T4</t>
        </is>
      </c>
      <c r="B49" s="13" t="n">
        <v>40178</v>
      </c>
      <c r="C49" s="14" t="n">
        <v>27.68</v>
      </c>
      <c r="D49" s="14" t="n">
        <v>3.09</v>
      </c>
      <c r="E49" s="14" t="n">
        <v>2.008</v>
      </c>
      <c r="F49" s="5" t="n">
        <v>0.0385</v>
      </c>
      <c r="G49" s="5" t="n">
        <v>0.01914587174470928</v>
      </c>
      <c r="H49" s="5" t="n">
        <v>0.0636</v>
      </c>
      <c r="I49" s="15">
        <f>IFERROR(C49/D49,"")</f>
        <v/>
      </c>
      <c r="J49" s="9">
        <f>IFERROR(D49/C49,"")</f>
        <v/>
      </c>
      <c r="K49" s="9">
        <f>IFERROR(E49/C49,"")</f>
        <v/>
      </c>
      <c r="L49" s="9">
        <f>IFERROR(F49-G49,"")</f>
        <v/>
      </c>
      <c r="M49" s="9">
        <f>IFERROR(J49-F49,"")</f>
        <v/>
      </c>
      <c r="N49" s="9">
        <f>IFERROR(J49-L49,"")</f>
        <v/>
      </c>
      <c r="O49" s="9">
        <f>IFERROR(J49-H49,"")</f>
        <v/>
      </c>
      <c r="P49" s="9">
        <f>IFERROR(K49-F49,"")</f>
        <v/>
      </c>
      <c r="Q49" s="7" t="n">
        <v>0.6594827586206896</v>
      </c>
      <c r="R49" s="7" t="n">
        <v>0.7198275862068966</v>
      </c>
      <c r="S49" s="7" t="n">
        <v>0.6508620689655172</v>
      </c>
      <c r="T49" s="7" t="n">
        <v>0.8060344827586207</v>
      </c>
      <c r="U49" s="7" t="n">
        <v>0.5387323943661971</v>
      </c>
      <c r="V49" s="7" t="n">
        <v>0.6795774647887324</v>
      </c>
      <c r="W49" s="7" t="n">
        <v>0.48125</v>
      </c>
      <c r="X49" s="7" t="n">
        <v>0.6479666793866647</v>
      </c>
      <c r="Y49" s="3">
        <f>IF(X49="","",IF(X49&gt;='Léeme'!$B$6,"barato",IF(X49&lt;'Léeme'!$B$7,"caro","medio")))</f>
        <v/>
      </c>
      <c r="Z49" s="11" t="n">
        <v>0.1944789519177015</v>
      </c>
      <c r="AA49" s="11" t="n">
        <v>0.2603449565281559</v>
      </c>
    </row>
    <row r="50">
      <c r="A50" s="3" t="inlineStr">
        <is>
          <t>2010-T1</t>
        </is>
      </c>
      <c r="B50" s="13" t="n">
        <v>40268</v>
      </c>
      <c r="C50" s="14" t="n">
        <v>29.379999</v>
      </c>
      <c r="D50" s="14" t="n">
        <v>3.09</v>
      </c>
      <c r="E50" s="14" t="n">
        <v>2.016</v>
      </c>
      <c r="F50" s="5" t="n">
        <v>0.0384</v>
      </c>
      <c r="G50" s="5" t="n">
        <v>0.02151336357866529</v>
      </c>
      <c r="H50" s="5" t="n">
        <v>0.0636</v>
      </c>
      <c r="I50" s="15">
        <f>IFERROR(C50/D50,"")</f>
        <v/>
      </c>
      <c r="J50" s="9">
        <f>IFERROR(D50/C50,"")</f>
        <v/>
      </c>
      <c r="K50" s="9">
        <f>IFERROR(E50/C50,"")</f>
        <v/>
      </c>
      <c r="L50" s="9">
        <f>IFERROR(F50-G50,"")</f>
        <v/>
      </c>
      <c r="M50" s="9">
        <f>IFERROR(J50-F50,"")</f>
        <v/>
      </c>
      <c r="N50" s="9">
        <f>IFERROR(J50-L50,"")</f>
        <v/>
      </c>
      <c r="O50" s="9">
        <f>IFERROR(J50-H50,"")</f>
        <v/>
      </c>
      <c r="P50" s="9">
        <f>IFERROR(K50-F50,"")</f>
        <v/>
      </c>
      <c r="Q50" s="7" t="n">
        <v>0.5336134453781513</v>
      </c>
      <c r="R50" s="7" t="n">
        <v>0.6512605042016807</v>
      </c>
      <c r="S50" s="7" t="n">
        <v>0.6008403361344538</v>
      </c>
      <c r="T50" s="7" t="n">
        <v>0.6932773109243697</v>
      </c>
      <c r="U50" s="7" t="n">
        <v>0.4103448275862069</v>
      </c>
      <c r="V50" s="7" t="n">
        <v>0.5896551724137931</v>
      </c>
      <c r="W50" s="7" t="n">
        <v>0.3554216867469879</v>
      </c>
      <c r="X50" s="7" t="n">
        <v>0.5477733261979491</v>
      </c>
      <c r="Y50" s="3">
        <f>IF(X50="","",IF(X50&gt;='Léeme'!$B$6,"barato",IF(X50&lt;'Léeme'!$B$7,"caro","medio")))</f>
        <v/>
      </c>
      <c r="Z50" s="11" t="n">
        <v>0.2810843656643016</v>
      </c>
      <c r="AA50" s="11" t="n">
        <v>0.2372979238154362</v>
      </c>
    </row>
    <row r="51">
      <c r="A51" s="3" t="inlineStr">
        <is>
          <t>2010-T2</t>
        </is>
      </c>
      <c r="B51" s="13" t="n">
        <v>40359</v>
      </c>
      <c r="C51" s="14" t="n">
        <v>27.64</v>
      </c>
      <c r="D51" s="14" t="n">
        <v>3.09</v>
      </c>
      <c r="E51" s="14" t="n">
        <v>2.024</v>
      </c>
      <c r="F51" s="5" t="n">
        <v>0.0297</v>
      </c>
      <c r="G51" s="5" t="n">
        <v>0.02003548929218568</v>
      </c>
      <c r="H51" s="5" t="n">
        <v>0.0609</v>
      </c>
      <c r="I51" s="15">
        <f>IFERROR(C51/D51,"")</f>
        <v/>
      </c>
      <c r="J51" s="9">
        <f>IFERROR(D51/C51,"")</f>
        <v/>
      </c>
      <c r="K51" s="9">
        <f>IFERROR(E51/C51,"")</f>
        <v/>
      </c>
      <c r="L51" s="9">
        <f>IFERROR(F51-G51,"")</f>
        <v/>
      </c>
      <c r="M51" s="9">
        <f>IFERROR(J51-F51,"")</f>
        <v/>
      </c>
      <c r="N51" s="9">
        <f>IFERROR(J51-L51,"")</f>
        <v/>
      </c>
      <c r="O51" s="9">
        <f>IFERROR(J51-H51,"")</f>
        <v/>
      </c>
      <c r="P51" s="9">
        <f>IFERROR(K51-F51,"")</f>
        <v/>
      </c>
      <c r="Q51" s="7" t="n">
        <v>0.6680327868852459</v>
      </c>
      <c r="R51" s="7" t="n">
        <v>0.8401639344262295</v>
      </c>
      <c r="S51" s="7" t="n">
        <v>0.7418032786885246</v>
      </c>
      <c r="T51" s="7" t="n">
        <v>0.8073770491803278</v>
      </c>
      <c r="U51" s="7" t="n">
        <v>0.5574324324324325</v>
      </c>
      <c r="V51" s="7" t="n">
        <v>0.9290540540540541</v>
      </c>
      <c r="W51" s="7" t="n">
        <v>0.4825581395348837</v>
      </c>
      <c r="X51" s="7" t="n">
        <v>0.7180602393145284</v>
      </c>
      <c r="Y51" s="3">
        <f>IF(X51="","",IF(X51&gt;='Léeme'!$B$6,"barato",IF(X51&lt;'Léeme'!$B$7,"caro","medio")))</f>
        <v/>
      </c>
      <c r="Z51" s="11" t="n">
        <v>0.5395821891773389</v>
      </c>
      <c r="AA51" s="11" t="n">
        <v>0.2167923920052719</v>
      </c>
    </row>
    <row r="52">
      <c r="A52" s="3" t="inlineStr">
        <is>
          <t>2010-T3</t>
        </is>
      </c>
      <c r="B52" s="13" t="n">
        <v>40451</v>
      </c>
      <c r="C52" s="14" t="n">
        <v>28.949999</v>
      </c>
      <c r="D52" s="14" t="n">
        <v>3.09</v>
      </c>
      <c r="E52" s="14" t="n">
        <v>2.032</v>
      </c>
      <c r="F52" s="5" t="n">
        <v>0.0253</v>
      </c>
      <c r="G52" s="5" t="n">
        <v>0.01150177539511255</v>
      </c>
      <c r="H52" s="5" t="n">
        <v>0.0558</v>
      </c>
      <c r="I52" s="15">
        <f>IFERROR(C52/D52,"")</f>
        <v/>
      </c>
      <c r="J52" s="9">
        <f>IFERROR(D52/C52,"")</f>
        <v/>
      </c>
      <c r="K52" s="9">
        <f>IFERROR(E52/C52,"")</f>
        <v/>
      </c>
      <c r="L52" s="9">
        <f>IFERROR(F52-G52,"")</f>
        <v/>
      </c>
      <c r="M52" s="9">
        <f>IFERROR(J52-F52,"")</f>
        <v/>
      </c>
      <c r="N52" s="9">
        <f>IFERROR(J52-L52,"")</f>
        <v/>
      </c>
      <c r="O52" s="9">
        <f>IFERROR(J52-H52,"")</f>
        <v/>
      </c>
      <c r="P52" s="9">
        <f>IFERROR(K52-F52,"")</f>
        <v/>
      </c>
      <c r="Q52" s="7" t="n">
        <v>0.556</v>
      </c>
      <c r="R52" s="7" t="n">
        <v>0.828</v>
      </c>
      <c r="S52" s="7" t="n">
        <v>0.66</v>
      </c>
      <c r="T52" s="7" t="n">
        <v>0.804</v>
      </c>
      <c r="U52" s="7" t="n">
        <v>0.466887417218543</v>
      </c>
      <c r="V52" s="7" t="n">
        <v>0.9370860927152318</v>
      </c>
      <c r="W52" s="7" t="n">
        <v>0.3876404494382023</v>
      </c>
      <c r="X52" s="7" t="n">
        <v>0.6628019941959967</v>
      </c>
      <c r="Y52" s="3">
        <f>IF(X52="","",IF(X52&gt;='Léeme'!$B$6,"barato",IF(X52&lt;'Léeme'!$B$7,"caro","medio")))</f>
        <v/>
      </c>
      <c r="Z52" s="11" t="n">
        <v>0.3193354524947001</v>
      </c>
      <c r="AA52" s="11" t="n">
        <v>0.2007275492410656</v>
      </c>
    </row>
    <row r="53">
      <c r="A53" s="3" t="inlineStr">
        <is>
          <t>2010-T4</t>
        </is>
      </c>
      <c r="B53" s="13" t="n">
        <v>40543</v>
      </c>
      <c r="C53" s="14" t="n">
        <v>31.29</v>
      </c>
      <c r="D53" s="14" t="n">
        <v>3.09</v>
      </c>
      <c r="E53" s="14" t="n">
        <v>2.04</v>
      </c>
      <c r="F53" s="5" t="n">
        <v>0.033</v>
      </c>
      <c r="G53" s="5" t="n">
        <v>0.01084544776600338</v>
      </c>
      <c r="H53" s="5" t="n">
        <v>0.0607</v>
      </c>
      <c r="I53" s="15">
        <f>IFERROR(C53/D53,"")</f>
        <v/>
      </c>
      <c r="J53" s="9">
        <f>IFERROR(D53/C53,"")</f>
        <v/>
      </c>
      <c r="K53" s="9">
        <f>IFERROR(E53/C53,"")</f>
        <v/>
      </c>
      <c r="L53" s="9">
        <f>IFERROR(F53-G53,"")</f>
        <v/>
      </c>
      <c r="M53" s="9">
        <f>IFERROR(J53-F53,"")</f>
        <v/>
      </c>
      <c r="N53" s="9">
        <f>IFERROR(J53-L53,"")</f>
        <v/>
      </c>
      <c r="O53" s="9">
        <f>IFERROR(J53-H53,"")</f>
        <v/>
      </c>
      <c r="P53" s="9">
        <f>IFERROR(K53-F53,"")</f>
        <v/>
      </c>
      <c r="Q53" s="7" t="n">
        <v>0.32421875</v>
      </c>
      <c r="R53" s="7" t="n">
        <v>0.61328125</v>
      </c>
      <c r="S53" s="7" t="n">
        <v>0.29296875</v>
      </c>
      <c r="T53" s="7" t="n">
        <v>0.58984375</v>
      </c>
      <c r="U53" s="7" t="n">
        <v>0.3214285714285715</v>
      </c>
      <c r="V53" s="7" t="n">
        <v>0.5941558441558441</v>
      </c>
      <c r="W53" s="7" t="n">
        <v>0.2989130434782609</v>
      </c>
      <c r="X53" s="7" t="n">
        <v>0.4335442798660966</v>
      </c>
      <c r="Y53" s="3">
        <f>IF(X53="","",IF(X53&gt;='Léeme'!$B$6,"barato",IF(X53&lt;'Léeme'!$B$7,"caro","medio")))</f>
        <v/>
      </c>
      <c r="Z53" s="11" t="n">
        <v>0.3680309202783716</v>
      </c>
      <c r="AA53" s="11" t="n">
        <v>0.1869576965729507</v>
      </c>
    </row>
    <row r="54">
      <c r="A54" s="3" t="inlineStr">
        <is>
          <t>2011-T1</t>
        </is>
      </c>
      <c r="B54" s="13" t="n">
        <v>40633</v>
      </c>
      <c r="C54" s="14" t="n">
        <v>35.700001</v>
      </c>
      <c r="D54" s="14" t="n">
        <v>3.27</v>
      </c>
      <c r="E54" s="14" t="n">
        <v>2.048</v>
      </c>
      <c r="F54" s="5" t="n">
        <v>0.0347</v>
      </c>
      <c r="G54" s="5" t="n">
        <v>0.02124898173333145</v>
      </c>
      <c r="H54" s="5" t="n">
        <v>0.06059999999999999</v>
      </c>
      <c r="I54" s="15">
        <f>IFERROR(C54/D54,"")</f>
        <v/>
      </c>
      <c r="J54" s="9">
        <f>IFERROR(D54/C54,"")</f>
        <v/>
      </c>
      <c r="K54" s="9">
        <f>IFERROR(E54/C54,"")</f>
        <v/>
      </c>
      <c r="L54" s="9">
        <f>IFERROR(F54-G54,"")</f>
        <v/>
      </c>
      <c r="M54" s="9">
        <f>IFERROR(J54-F54,"")</f>
        <v/>
      </c>
      <c r="N54" s="9">
        <f>IFERROR(J54-L54,"")</f>
        <v/>
      </c>
      <c r="O54" s="9">
        <f>IFERROR(J54-H54,"")</f>
        <v/>
      </c>
      <c r="P54" s="9">
        <f>IFERROR(K54-F54,"")</f>
        <v/>
      </c>
      <c r="Q54" s="7" t="n">
        <v>0.133587786259542</v>
      </c>
      <c r="R54" s="7" t="n">
        <v>0.4083969465648855</v>
      </c>
      <c r="S54" s="7" t="n">
        <v>0.3854961832061068</v>
      </c>
      <c r="T54" s="7" t="n">
        <v>0.4389312977099237</v>
      </c>
      <c r="U54" s="7" t="n">
        <v>0.1369426751592357</v>
      </c>
      <c r="V54" s="7" t="n">
        <v>0.3535031847133758</v>
      </c>
      <c r="W54" s="7" t="n">
        <v>0.131578947368421</v>
      </c>
      <c r="X54" s="7" t="n">
        <v>0.2840624315687844</v>
      </c>
      <c r="Y54" s="3">
        <f>IF(X54="","",IF(X54&gt;='Léeme'!$B$6,"barato",IF(X54&lt;'Léeme'!$B$7,"caro","medio")))</f>
        <v/>
      </c>
      <c r="Z54" s="11" t="n">
        <v>0.3602977971362342</v>
      </c>
      <c r="AA54" s="11" t="n">
        <v>0.1687927918046539</v>
      </c>
    </row>
    <row r="55">
      <c r="A55" s="3" t="inlineStr">
        <is>
          <t>2011-T2</t>
        </is>
      </c>
      <c r="B55" s="13" t="n">
        <v>40724</v>
      </c>
      <c r="C55" s="14" t="n">
        <v>40.499999</v>
      </c>
      <c r="D55" s="14" t="n">
        <v>3.27</v>
      </c>
      <c r="E55" s="14" t="n">
        <v>2.2</v>
      </c>
      <c r="F55" s="5" t="n">
        <v>0.0318</v>
      </c>
      <c r="G55" s="5" t="n">
        <v>0.034589718808965</v>
      </c>
      <c r="H55" s="5" t="n">
        <v>0.05889999999999999</v>
      </c>
      <c r="I55" s="15">
        <f>IFERROR(C55/D55,"")</f>
        <v/>
      </c>
      <c r="J55" s="9">
        <f>IFERROR(D55/C55,"")</f>
        <v/>
      </c>
      <c r="K55" s="9">
        <f>IFERROR(E55/C55,"")</f>
        <v/>
      </c>
      <c r="L55" s="9">
        <f>IFERROR(F55-G55,"")</f>
        <v/>
      </c>
      <c r="M55" s="9">
        <f>IFERROR(J55-F55,"")</f>
        <v/>
      </c>
      <c r="N55" s="9">
        <f>IFERROR(J55-L55,"")</f>
        <v/>
      </c>
      <c r="O55" s="9">
        <f>IFERROR(J55-H55,"")</f>
        <v/>
      </c>
      <c r="P55" s="9">
        <f>IFERROR(K55-F55,"")</f>
        <v/>
      </c>
      <c r="Q55" s="7" t="n">
        <v>0.01865671641791045</v>
      </c>
      <c r="R55" s="7" t="n">
        <v>0.1902985074626866</v>
      </c>
      <c r="S55" s="7" t="n">
        <v>0.4813432835820896</v>
      </c>
      <c r="T55" s="7" t="n">
        <v>0.08582089552238806</v>
      </c>
      <c r="U55" s="7" t="n">
        <v>0.053125</v>
      </c>
      <c r="V55" s="7" t="n">
        <v>0.340625</v>
      </c>
      <c r="W55" s="7" t="n">
        <v>0.00510204081632653</v>
      </c>
      <c r="X55" s="7" t="n">
        <v>0.1678530634002002</v>
      </c>
      <c r="Y55" s="3">
        <f>IF(X55="","",IF(X55&gt;='Léeme'!$B$6,"barato",IF(X55&lt;'Léeme'!$B$7,"caro","medio")))</f>
        <v/>
      </c>
      <c r="Z55" s="11" t="n">
        <v>0.1852179170706247</v>
      </c>
      <c r="AA55" s="11" t="n">
        <v>0.1649264614601165</v>
      </c>
    </row>
    <row r="56">
      <c r="A56" s="3" t="inlineStr">
        <is>
          <t>2011-T3</t>
        </is>
      </c>
      <c r="B56" s="13" t="n">
        <v>40816</v>
      </c>
      <c r="C56" s="14" t="n">
        <v>36.430001</v>
      </c>
      <c r="D56" s="14" t="n">
        <v>3.27</v>
      </c>
      <c r="E56" s="14" t="n">
        <v>2.24</v>
      </c>
      <c r="F56" s="5" t="n">
        <v>0.0192</v>
      </c>
      <c r="G56" s="5" t="n">
        <v>0.0375499603070808</v>
      </c>
      <c r="H56" s="5" t="n">
        <v>0.0529</v>
      </c>
      <c r="I56" s="15">
        <f>IFERROR(C56/D56,"")</f>
        <v/>
      </c>
      <c r="J56" s="9">
        <f>IFERROR(D56/C56,"")</f>
        <v/>
      </c>
      <c r="K56" s="9">
        <f>IFERROR(E56/C56,"")</f>
        <v/>
      </c>
      <c r="L56" s="9">
        <f>IFERROR(F56-G56,"")</f>
        <v/>
      </c>
      <c r="M56" s="9">
        <f>IFERROR(J56-F56,"")</f>
        <v/>
      </c>
      <c r="N56" s="9">
        <f>IFERROR(J56-L56,"")</f>
        <v/>
      </c>
      <c r="O56" s="9">
        <f>IFERROR(J56-H56,"")</f>
        <v/>
      </c>
      <c r="P56" s="9">
        <f>IFERROR(K56-F56,"")</f>
        <v/>
      </c>
      <c r="Q56" s="7" t="n">
        <v>0.1131386861313869</v>
      </c>
      <c r="R56" s="7" t="n">
        <v>0.6824817518248175</v>
      </c>
      <c r="S56" s="7" t="n">
        <v>0.8284671532846716</v>
      </c>
      <c r="T56" s="7" t="n">
        <v>0.5802919708029197</v>
      </c>
      <c r="U56" s="7" t="n">
        <v>0.3098159509202454</v>
      </c>
      <c r="V56" s="7" t="n">
        <v>0.911042944785276</v>
      </c>
      <c r="W56" s="7" t="n">
        <v>0.103960396039604</v>
      </c>
      <c r="X56" s="7" t="n">
        <v>0.5041712648269887</v>
      </c>
      <c r="Y56" s="3">
        <f>IF(X56="","",IF(X56&gt;='Léeme'!$B$6,"barato",IF(X56&lt;'Léeme'!$B$7,"caro","medio")))</f>
        <v/>
      </c>
      <c r="Z56" s="11" t="n">
        <v>0.4007066868471392</v>
      </c>
      <c r="AA56" s="11" t="n">
        <v>0.1726171715999518</v>
      </c>
    </row>
    <row r="57">
      <c r="A57" s="3" t="inlineStr">
        <is>
          <t>2011-T4</t>
        </is>
      </c>
      <c r="B57" s="13" t="n">
        <v>40907</v>
      </c>
      <c r="C57" s="14" t="n">
        <v>40.939999</v>
      </c>
      <c r="D57" s="14" t="n">
        <v>3.27</v>
      </c>
      <c r="E57" s="14" t="n">
        <v>2.252</v>
      </c>
      <c r="F57" s="5" t="n">
        <v>0.0189</v>
      </c>
      <c r="G57" s="5" t="n">
        <v>0.03451432214581729</v>
      </c>
      <c r="H57" s="5" t="n">
        <v>0.0519</v>
      </c>
      <c r="I57" s="15">
        <f>IFERROR(C57/D57,"")</f>
        <v/>
      </c>
      <c r="J57" s="9">
        <f>IFERROR(D57/C57,"")</f>
        <v/>
      </c>
      <c r="K57" s="9">
        <f>IFERROR(E57/C57,"")</f>
        <v/>
      </c>
      <c r="L57" s="9">
        <f>IFERROR(F57-G57,"")</f>
        <v/>
      </c>
      <c r="M57" s="9">
        <f>IFERROR(J57-F57,"")</f>
        <v/>
      </c>
      <c r="N57" s="9">
        <f>IFERROR(J57-L57,"")</f>
        <v/>
      </c>
      <c r="O57" s="9">
        <f>IFERROR(J57-H57,"")</f>
        <v/>
      </c>
      <c r="P57" s="9">
        <f>IFERROR(K57-F57,"")</f>
        <v/>
      </c>
      <c r="Q57" s="7" t="n">
        <v>0.01071428571428571</v>
      </c>
      <c r="R57" s="7" t="n">
        <v>0.5607142857142857</v>
      </c>
      <c r="S57" s="7" t="n">
        <v>0.6892857142857143</v>
      </c>
      <c r="T57" s="7" t="n">
        <v>0.3178571428571428</v>
      </c>
      <c r="U57" s="7" t="n">
        <v>0.08734939759036145</v>
      </c>
      <c r="V57" s="7" t="n">
        <v>0.7018072289156626</v>
      </c>
      <c r="W57" s="7" t="n">
        <v>0.004807692307692308</v>
      </c>
      <c r="X57" s="7" t="n">
        <v>0.3389336781978778</v>
      </c>
      <c r="Y57" s="3">
        <f>IF(X57="","",IF(X57&gt;='Léeme'!$B$6,"barato",IF(X57&lt;'Léeme'!$B$7,"caro","medio")))</f>
        <v/>
      </c>
      <c r="Z57" s="11" t="n">
        <v>0.3185622488420286</v>
      </c>
      <c r="AA57" s="11" t="n">
        <v>0.1262889622516772</v>
      </c>
    </row>
    <row r="58">
      <c r="A58" s="3" t="inlineStr">
        <is>
          <t>2012-T1</t>
        </is>
      </c>
      <c r="B58" s="13" t="n">
        <v>40998</v>
      </c>
      <c r="C58" s="14" t="n">
        <v>46.519998</v>
      </c>
      <c r="D58" s="14" t="n">
        <v>4.71</v>
      </c>
      <c r="E58" s="14" t="n">
        <v>2.26</v>
      </c>
      <c r="F58" s="5" t="n">
        <v>0.0223</v>
      </c>
      <c r="G58" s="5" t="n">
        <v>0.02898178442347388</v>
      </c>
      <c r="H58" s="5" t="n">
        <v>0.0521</v>
      </c>
      <c r="I58" s="15">
        <f>IFERROR(C58/D58,"")</f>
        <v/>
      </c>
      <c r="J58" s="9">
        <f>IFERROR(D58/C58,"")</f>
        <v/>
      </c>
      <c r="K58" s="9">
        <f>IFERROR(E58/C58,"")</f>
        <v/>
      </c>
      <c r="L58" s="9">
        <f>IFERROR(F58-G58,"")</f>
        <v/>
      </c>
      <c r="M58" s="9">
        <f>IFERROR(J58-F58,"")</f>
        <v/>
      </c>
      <c r="N58" s="9">
        <f>IFERROR(J58-L58,"")</f>
        <v/>
      </c>
      <c r="O58" s="9">
        <f>IFERROR(J58-H58,"")</f>
        <v/>
      </c>
      <c r="P58" s="9">
        <f>IFERROR(K58-F58,"")</f>
        <v/>
      </c>
      <c r="Q58" s="7" t="n">
        <v>0.4650349650349651</v>
      </c>
      <c r="R58" s="7" t="n">
        <v>0.8216783216783217</v>
      </c>
      <c r="S58" s="7" t="n">
        <v>0.8216783216783217</v>
      </c>
      <c r="T58" s="7" t="n">
        <v>0.8006993006993007</v>
      </c>
      <c r="U58" s="7" t="n">
        <v>0.002958579881656805</v>
      </c>
      <c r="V58" s="7" t="n">
        <v>0.4408284023668639</v>
      </c>
      <c r="W58" s="7" t="n">
        <v>0.4532710280373832</v>
      </c>
      <c r="X58" s="7" t="n">
        <v>0.5437355599109733</v>
      </c>
      <c r="Y58" s="3">
        <f>IF(X58="","",IF(X58&gt;='Léeme'!$B$6,"barato",IF(X58&lt;'Léeme'!$B$7,"caro","medio")))</f>
        <v/>
      </c>
      <c r="Z58" s="11" t="n">
        <v>0.5082940960460638</v>
      </c>
      <c r="AA58" s="11" t="n">
        <v>0.1080329766107682</v>
      </c>
    </row>
    <row r="59">
      <c r="A59" s="3" t="inlineStr">
        <is>
          <t>2012-T2</t>
        </is>
      </c>
      <c r="B59" s="13" t="n">
        <v>41089</v>
      </c>
      <c r="C59" s="14" t="n">
        <v>46.03</v>
      </c>
      <c r="D59" s="14" t="n">
        <v>4.71</v>
      </c>
      <c r="E59" s="14" t="n">
        <v>2.268</v>
      </c>
      <c r="F59" s="5" t="n">
        <v>0.0167</v>
      </c>
      <c r="G59" s="5" t="n">
        <v>0.01737942937466075</v>
      </c>
      <c r="H59" s="5" t="n">
        <v>0.04969999999999999</v>
      </c>
      <c r="I59" s="15">
        <f>IFERROR(C59/D59,"")</f>
        <v/>
      </c>
      <c r="J59" s="9">
        <f>IFERROR(D59/C59,"")</f>
        <v/>
      </c>
      <c r="K59" s="9">
        <f>IFERROR(E59/C59,"")</f>
        <v/>
      </c>
      <c r="L59" s="9">
        <f>IFERROR(F59-G59,"")</f>
        <v/>
      </c>
      <c r="M59" s="9">
        <f>IFERROR(J59-F59,"")</f>
        <v/>
      </c>
      <c r="N59" s="9">
        <f>IFERROR(J59-L59,"")</f>
        <v/>
      </c>
      <c r="O59" s="9">
        <f>IFERROR(J59-H59,"")</f>
        <v/>
      </c>
      <c r="P59" s="9">
        <f>IFERROR(K59-F59,"")</f>
        <v/>
      </c>
      <c r="Q59" s="7" t="n">
        <v>0.4965753424657534</v>
      </c>
      <c r="R59" s="7" t="n">
        <v>0.886986301369863</v>
      </c>
      <c r="S59" s="7" t="n">
        <v>0.7568493150684932</v>
      </c>
      <c r="T59" s="7" t="n">
        <v>0.8527397260273972</v>
      </c>
      <c r="U59" s="7" t="n">
        <v>0.02034883720930233</v>
      </c>
      <c r="V59" s="7" t="n">
        <v>0.6191860465116279</v>
      </c>
      <c r="W59" s="7" t="n">
        <v>0.4863636363636364</v>
      </c>
      <c r="X59" s="7" t="n">
        <v>0.588435600716582</v>
      </c>
      <c r="Y59" s="3">
        <f>IF(X59="","",IF(X59&gt;='Léeme'!$B$6,"barato",IF(X59&lt;'Léeme'!$B$7,"caro","medio")))</f>
        <v/>
      </c>
      <c r="Z59" s="11" t="n">
        <v>0.4964147603717859</v>
      </c>
      <c r="AA59" s="11" t="n">
        <v>0.1250545422565028</v>
      </c>
    </row>
    <row r="60">
      <c r="A60" s="3" t="inlineStr">
        <is>
          <t>2012-T3</t>
        </is>
      </c>
      <c r="B60" s="13" t="n">
        <v>41180</v>
      </c>
      <c r="C60" s="14" t="n">
        <v>49</v>
      </c>
      <c r="D60" s="14" t="n">
        <v>4.71</v>
      </c>
      <c r="E60" s="14" t="n">
        <v>2.6</v>
      </c>
      <c r="F60" s="5" t="n">
        <v>0.0165</v>
      </c>
      <c r="G60" s="5" t="n">
        <v>0.01685934915482123</v>
      </c>
      <c r="H60" s="5" t="n">
        <v>0.0471</v>
      </c>
      <c r="I60" s="15">
        <f>IFERROR(C60/D60,"")</f>
        <v/>
      </c>
      <c r="J60" s="9">
        <f>IFERROR(D60/C60,"")</f>
        <v/>
      </c>
      <c r="K60" s="9">
        <f>IFERROR(E60/C60,"")</f>
        <v/>
      </c>
      <c r="L60" s="9">
        <f>IFERROR(F60-G60,"")</f>
        <v/>
      </c>
      <c r="M60" s="9">
        <f>IFERROR(J60-F60,"")</f>
        <v/>
      </c>
      <c r="N60" s="9">
        <f>IFERROR(J60-L60,"")</f>
        <v/>
      </c>
      <c r="O60" s="9">
        <f>IFERROR(J60-H60,"")</f>
        <v/>
      </c>
      <c r="P60" s="9">
        <f>IFERROR(K60-F60,"")</f>
        <v/>
      </c>
      <c r="Q60" s="7" t="n">
        <v>0.2986577181208054</v>
      </c>
      <c r="R60" s="7" t="n">
        <v>0.802013422818792</v>
      </c>
      <c r="S60" s="7" t="n">
        <v>0.6610738255033557</v>
      </c>
      <c r="T60" s="7" t="n">
        <v>0.7751677852348994</v>
      </c>
      <c r="U60" s="7" t="n">
        <v>0.06571428571428571</v>
      </c>
      <c r="V60" s="7" t="n">
        <v>0.7171428571428572</v>
      </c>
      <c r="W60" s="7" t="n">
        <v>0.3584070796460177</v>
      </c>
      <c r="X60" s="7" t="n">
        <v>0.5254538534544304</v>
      </c>
      <c r="Y60" s="3">
        <f>IF(X60="","",IF(X60&gt;='Léeme'!$B$6,"barato",IF(X60&lt;'Léeme'!$B$7,"caro","medio")))</f>
        <v/>
      </c>
      <c r="Z60" s="11" t="n">
        <v>0.4019807551956864</v>
      </c>
      <c r="AA60" s="11" t="n">
        <v>0.11804993215125</v>
      </c>
    </row>
    <row r="61">
      <c r="A61" s="3" t="inlineStr">
        <is>
          <t>2012-T4</t>
        </is>
      </c>
      <c r="B61" s="13" t="n">
        <v>41274</v>
      </c>
      <c r="C61" s="14" t="n">
        <v>52.149998</v>
      </c>
      <c r="D61" s="14" t="n">
        <v>4.71</v>
      </c>
      <c r="E61" s="14" t="n">
        <v>2.64</v>
      </c>
      <c r="F61" s="5" t="n">
        <v>0.0178</v>
      </c>
      <c r="G61" s="5" t="n">
        <v>0.01796019703392626</v>
      </c>
      <c r="H61" s="5" t="n">
        <v>0.0458</v>
      </c>
      <c r="I61" s="15">
        <f>IFERROR(C61/D61,"")</f>
        <v/>
      </c>
      <c r="J61" s="9">
        <f>IFERROR(D61/C61,"")</f>
        <v/>
      </c>
      <c r="K61" s="9">
        <f>IFERROR(E61/C61,"")</f>
        <v/>
      </c>
      <c r="L61" s="9">
        <f>IFERROR(F61-G61,"")</f>
        <v/>
      </c>
      <c r="M61" s="9">
        <f>IFERROR(J61-F61,"")</f>
        <v/>
      </c>
      <c r="N61" s="9">
        <f>IFERROR(J61-L61,"")</f>
        <v/>
      </c>
      <c r="O61" s="9">
        <f>IFERROR(J61-H61,"")</f>
        <v/>
      </c>
      <c r="P61" s="9">
        <f>IFERROR(K61-F61,"")</f>
        <v/>
      </c>
      <c r="Q61" s="7" t="n">
        <v>0.1677631578947368</v>
      </c>
      <c r="R61" s="7" t="n">
        <v>0.6677631578947368</v>
      </c>
      <c r="S61" s="7" t="n">
        <v>0.5625</v>
      </c>
      <c r="T61" s="7" t="n">
        <v>0.7138157894736842</v>
      </c>
      <c r="U61" s="7" t="n">
        <v>0.05337078651685393</v>
      </c>
      <c r="V61" s="7" t="n">
        <v>0.6151685393258427</v>
      </c>
      <c r="W61" s="7" t="n">
        <v>0.2112068965517241</v>
      </c>
      <c r="X61" s="7" t="n">
        <v>0.4273697610939399</v>
      </c>
      <c r="Y61" s="3">
        <f>IF(X61="","",IF(X61&gt;='Léeme'!$B$6,"barato",IF(X61&lt;'Léeme'!$B$7,"caro","medio")))</f>
        <v/>
      </c>
      <c r="Z61" s="11" t="n">
        <v>0.2274800254287928</v>
      </c>
      <c r="AA61" s="11" t="n">
        <v>0.1082889241046694</v>
      </c>
    </row>
    <row r="62">
      <c r="A62" s="3" t="inlineStr">
        <is>
          <t>2013-T1</t>
        </is>
      </c>
      <c r="B62" s="13" t="n">
        <v>41361</v>
      </c>
      <c r="C62" s="14" t="n">
        <v>67.399998</v>
      </c>
      <c r="D62" s="14" t="n">
        <v>3.76</v>
      </c>
      <c r="E62" s="14" t="n">
        <v>3.28</v>
      </c>
      <c r="F62" s="5" t="n">
        <v>0.0187</v>
      </c>
      <c r="G62" s="5" t="n">
        <v>0.02018140490257481</v>
      </c>
      <c r="H62" s="5" t="n">
        <v>0.048</v>
      </c>
      <c r="I62" s="15">
        <f>IFERROR(C62/D62,"")</f>
        <v/>
      </c>
      <c r="J62" s="9">
        <f>IFERROR(D62/C62,"")</f>
        <v/>
      </c>
      <c r="K62" s="9">
        <f>IFERROR(E62/C62,"")</f>
        <v/>
      </c>
      <c r="L62" s="9">
        <f>IFERROR(F62-G62,"")</f>
        <v/>
      </c>
      <c r="M62" s="9">
        <f>IFERROR(J62-F62,"")</f>
        <v/>
      </c>
      <c r="N62" s="9">
        <f>IFERROR(J62-L62,"")</f>
        <v/>
      </c>
      <c r="O62" s="9">
        <f>IFERROR(J62-H62,"")</f>
        <v/>
      </c>
      <c r="P62" s="9">
        <f>IFERROR(K62-F62,"")</f>
        <v/>
      </c>
      <c r="Q62" s="7" t="n">
        <v>0.003225806451612903</v>
      </c>
      <c r="R62" s="7" t="n">
        <v>0.02258064516129032</v>
      </c>
      <c r="S62" s="7" t="n">
        <v>0.02903225806451613</v>
      </c>
      <c r="T62" s="7" t="n">
        <v>0.003225806451612903</v>
      </c>
      <c r="U62" s="7" t="n">
        <v>0.03591160220994475</v>
      </c>
      <c r="V62" s="7" t="n">
        <v>0.5441988950276243</v>
      </c>
      <c r="W62" s="7" t="n">
        <v>0.004201680672268907</v>
      </c>
      <c r="X62" s="7" t="n">
        <v>0.09176809914841003</v>
      </c>
      <c r="Y62" s="3">
        <f>IF(X62="","",IF(X62&gt;='Léeme'!$B$6,"barato",IF(X62&lt;'Léeme'!$B$7,"caro","medio")))</f>
        <v/>
      </c>
      <c r="Z62" s="11" t="n">
        <v>-0.0754441439738136</v>
      </c>
      <c r="AA62" s="11" t="n">
        <v>0.03211015049309851</v>
      </c>
    </row>
    <row r="63">
      <c r="A63" s="3" t="inlineStr">
        <is>
          <t>2013-T2</t>
        </is>
      </c>
      <c r="B63" s="13" t="n">
        <v>41453</v>
      </c>
      <c r="C63" s="14" t="n">
        <v>66.17000299999999</v>
      </c>
      <c r="D63" s="14" t="n">
        <v>3.76</v>
      </c>
      <c r="E63" s="14" t="n">
        <v>3.36</v>
      </c>
      <c r="F63" s="5" t="n">
        <v>0.0252</v>
      </c>
      <c r="G63" s="5" t="n">
        <v>0.01390388827919709</v>
      </c>
      <c r="H63" s="5" t="n">
        <v>0.0541</v>
      </c>
      <c r="I63" s="15">
        <f>IFERROR(C63/D63,"")</f>
        <v/>
      </c>
      <c r="J63" s="9">
        <f>IFERROR(D63/C63,"")</f>
        <v/>
      </c>
      <c r="K63" s="9">
        <f>IFERROR(E63/C63,"")</f>
        <v/>
      </c>
      <c r="L63" s="9">
        <f>IFERROR(F63-G63,"")</f>
        <v/>
      </c>
      <c r="M63" s="9">
        <f>IFERROR(J63-F63,"")</f>
        <v/>
      </c>
      <c r="N63" s="9">
        <f>IFERROR(J63-L63,"")</f>
        <v/>
      </c>
      <c r="O63" s="9">
        <f>IFERROR(J63-H63,"")</f>
        <v/>
      </c>
      <c r="P63" s="9">
        <f>IFERROR(K63-F63,"")</f>
        <v/>
      </c>
      <c r="Q63" s="7" t="n">
        <v>0.02215189873417722</v>
      </c>
      <c r="R63" s="7" t="n">
        <v>0.003164556962025316</v>
      </c>
      <c r="S63" s="7" t="n">
        <v>0.00949367088607595</v>
      </c>
      <c r="T63" s="7" t="n">
        <v>0.003164556962025316</v>
      </c>
      <c r="U63" s="7" t="n">
        <v>0.08423913043478261</v>
      </c>
      <c r="V63" s="7" t="n">
        <v>0.3885869565217391</v>
      </c>
      <c r="W63" s="7" t="n">
        <v>0.02868852459016394</v>
      </c>
      <c r="X63" s="7" t="n">
        <v>0.07706989929871277</v>
      </c>
      <c r="Y63" s="3">
        <f>IF(X63="","",IF(X63&gt;='Léeme'!$B$6,"barato",IF(X63&lt;'Léeme'!$B$7,"caro","medio")))</f>
        <v/>
      </c>
      <c r="Z63" s="11" t="n">
        <v>0.01775451084651336</v>
      </c>
      <c r="AA63" s="11" t="n">
        <v>0.04950584782210088</v>
      </c>
    </row>
    <row r="64">
      <c r="A64" s="3" t="inlineStr">
        <is>
          <t>2013-T3</t>
        </is>
      </c>
      <c r="B64" s="13" t="n">
        <v>41547</v>
      </c>
      <c r="C64" s="14" t="n">
        <v>64.700002</v>
      </c>
      <c r="D64" s="14" t="n">
        <v>3.76</v>
      </c>
      <c r="E64" s="14" t="n">
        <v>3.44</v>
      </c>
      <c r="F64" s="5" t="n">
        <v>0.0264</v>
      </c>
      <c r="G64" s="5" t="n">
        <v>0.01538809488600279</v>
      </c>
      <c r="H64" s="5" t="n">
        <v>0.0537</v>
      </c>
      <c r="I64" s="15">
        <f>IFERROR(C64/D64,"")</f>
        <v/>
      </c>
      <c r="J64" s="9">
        <f>IFERROR(D64/C64,"")</f>
        <v/>
      </c>
      <c r="K64" s="9">
        <f>IFERROR(E64/C64,"")</f>
        <v/>
      </c>
      <c r="L64" s="9">
        <f>IFERROR(F64-G64,"")</f>
        <v/>
      </c>
      <c r="M64" s="9">
        <f>IFERROR(J64-F64,"")</f>
        <v/>
      </c>
      <c r="N64" s="9">
        <f>IFERROR(J64-L64,"")</f>
        <v/>
      </c>
      <c r="O64" s="9">
        <f>IFERROR(J64-H64,"")</f>
        <v/>
      </c>
      <c r="P64" s="9">
        <f>IFERROR(K64-F64,"")</f>
        <v/>
      </c>
      <c r="Q64" s="7" t="n">
        <v>0.04037267080745342</v>
      </c>
      <c r="R64" s="7" t="n">
        <v>0.02795031055900621</v>
      </c>
      <c r="S64" s="7" t="n">
        <v>0.02173913043478261</v>
      </c>
      <c r="T64" s="7" t="n">
        <v>0.02173913043478261</v>
      </c>
      <c r="U64" s="7" t="n">
        <v>0.1203208556149733</v>
      </c>
      <c r="V64" s="7" t="n">
        <v>0.4411764705882353</v>
      </c>
      <c r="W64" s="7" t="n">
        <v>0.052</v>
      </c>
      <c r="X64" s="7" t="n">
        <v>0.1036140812056048</v>
      </c>
      <c r="Y64" s="3">
        <f>IF(X64="","",IF(X64&gt;='Léeme'!$B$6,"barato",IF(X64&lt;'Léeme'!$B$7,"caro","medio")))</f>
        <v/>
      </c>
      <c r="Z64" s="11" t="n">
        <v>0.03330950780149444</v>
      </c>
      <c r="AA64" s="11" t="n">
        <v>0.04863557512244077</v>
      </c>
    </row>
    <row r="65">
      <c r="A65" s="3" t="inlineStr">
        <is>
          <t>2013-T4</t>
        </is>
      </c>
      <c r="B65" s="13" t="n">
        <v>41639</v>
      </c>
      <c r="C65" s="14" t="n">
        <v>61.350001</v>
      </c>
      <c r="D65" s="14" t="n">
        <v>3.76</v>
      </c>
      <c r="E65" s="14" t="n">
        <v>3.48</v>
      </c>
      <c r="F65" s="5" t="n">
        <v>0.0304</v>
      </c>
      <c r="G65" s="5" t="n">
        <v>0.01232870196195446</v>
      </c>
      <c r="H65" s="5" t="n">
        <v>0.0534</v>
      </c>
      <c r="I65" s="15">
        <f>IFERROR(C65/D65,"")</f>
        <v/>
      </c>
      <c r="J65" s="9">
        <f>IFERROR(D65/C65,"")</f>
        <v/>
      </c>
      <c r="K65" s="9">
        <f>IFERROR(E65/C65,"")</f>
        <v/>
      </c>
      <c r="L65" s="9">
        <f>IFERROR(F65-G65,"")</f>
        <v/>
      </c>
      <c r="M65" s="9">
        <f>IFERROR(J65-F65,"")</f>
        <v/>
      </c>
      <c r="N65" s="9">
        <f>IFERROR(J65-L65,"")</f>
        <v/>
      </c>
      <c r="O65" s="9">
        <f>IFERROR(J65-H65,"")</f>
        <v/>
      </c>
      <c r="P65" s="9">
        <f>IFERROR(K65-F65,"")</f>
        <v/>
      </c>
      <c r="Q65" s="7" t="n">
        <v>0.05792682926829269</v>
      </c>
      <c r="R65" s="7" t="n">
        <v>0.02134146341463415</v>
      </c>
      <c r="S65" s="7" t="n">
        <v>0.01524390243902439</v>
      </c>
      <c r="T65" s="7" t="n">
        <v>0.05182926829268292</v>
      </c>
      <c r="U65" s="7" t="n">
        <v>0.25</v>
      </c>
      <c r="V65" s="7" t="n">
        <v>0.4289473684210526</v>
      </c>
      <c r="W65" s="7" t="n">
        <v>0.08203125</v>
      </c>
      <c r="X65" s="7" t="n">
        <v>0.1296171545479552</v>
      </c>
      <c r="Y65" s="3">
        <f>IF(X65="","",IF(X65&gt;='Léeme'!$B$6,"barato",IF(X65&lt;'Léeme'!$B$7,"caro","medio")))</f>
        <v/>
      </c>
      <c r="Z65" s="11" t="n">
        <v>0.1955070076758669</v>
      </c>
      <c r="AA65" s="11" t="n">
        <v>0.06322499480565114</v>
      </c>
    </row>
    <row r="66">
      <c r="A66" s="3" t="inlineStr">
        <is>
          <t>2014-T1</t>
        </is>
      </c>
      <c r="B66" s="13" t="n">
        <v>41729</v>
      </c>
      <c r="C66" s="14" t="n">
        <v>60.07</v>
      </c>
      <c r="D66" s="14" t="n">
        <v>4.22</v>
      </c>
      <c r="E66" s="14" t="n">
        <v>3.58</v>
      </c>
      <c r="F66" s="5" t="n">
        <v>0.0273</v>
      </c>
      <c r="G66" s="5" t="n">
        <v>0.01120474634772495</v>
      </c>
      <c r="H66" s="5" t="n">
        <v>0.0498</v>
      </c>
      <c r="I66" s="15">
        <f>IFERROR(C66/D66,"")</f>
        <v/>
      </c>
      <c r="J66" s="9">
        <f>IFERROR(D66/C66,"")</f>
        <v/>
      </c>
      <c r="K66" s="9">
        <f>IFERROR(E66/C66,"")</f>
        <v/>
      </c>
      <c r="L66" s="9">
        <f>IFERROR(F66-G66,"")</f>
        <v/>
      </c>
      <c r="M66" s="9">
        <f>IFERROR(J66-F66,"")</f>
        <v/>
      </c>
      <c r="N66" s="9">
        <f>IFERROR(J66-L66,"")</f>
        <v/>
      </c>
      <c r="O66" s="9">
        <f>IFERROR(J66-H66,"")</f>
        <v/>
      </c>
      <c r="P66" s="9">
        <f>IFERROR(K66-F66,"")</f>
        <v/>
      </c>
      <c r="Q66" s="7" t="n">
        <v>0.08083832335329341</v>
      </c>
      <c r="R66" s="7" t="n">
        <v>0.1227544910179641</v>
      </c>
      <c r="S66" s="7" t="n">
        <v>0.0748502994011976</v>
      </c>
      <c r="T66" s="7" t="n">
        <v>0.1107784431137725</v>
      </c>
      <c r="U66" s="7" t="n">
        <v>0.344559585492228</v>
      </c>
      <c r="V66" s="7" t="n">
        <v>0.6191709844559585</v>
      </c>
      <c r="W66" s="7" t="n">
        <v>0.1030534351145038</v>
      </c>
      <c r="X66" s="7" t="n">
        <v>0.2080007945641311</v>
      </c>
      <c r="Y66" s="3">
        <f>IF(X66="","",IF(X66&gt;='Léeme'!$B$6,"barato",IF(X66&lt;'Léeme'!$B$7,"caro","medio")))</f>
        <v/>
      </c>
      <c r="Z66" s="11" t="n">
        <v>0.1835411706498673</v>
      </c>
      <c r="AA66" s="11" t="n">
        <v>0.1068226136772747</v>
      </c>
    </row>
    <row r="67">
      <c r="A67" s="3" t="inlineStr">
        <is>
          <t>2014-T2</t>
        </is>
      </c>
      <c r="B67" s="13" t="n">
        <v>41820</v>
      </c>
      <c r="C67" s="14" t="n">
        <v>64.40000000000001</v>
      </c>
      <c r="D67" s="14" t="n">
        <v>4.22</v>
      </c>
      <c r="E67" s="14" t="n">
        <v>3.6</v>
      </c>
      <c r="F67" s="5" t="n">
        <v>0.0253</v>
      </c>
      <c r="G67" s="5" t="n">
        <v>0.02166947687079812</v>
      </c>
      <c r="H67" s="5" t="n">
        <v>0.0474</v>
      </c>
      <c r="I67" s="15">
        <f>IFERROR(C67/D67,"")</f>
        <v/>
      </c>
      <c r="J67" s="9">
        <f>IFERROR(D67/C67,"")</f>
        <v/>
      </c>
      <c r="K67" s="9">
        <f>IFERROR(E67/C67,"")</f>
        <v/>
      </c>
      <c r="L67" s="9">
        <f>IFERROR(F67-G67,"")</f>
        <v/>
      </c>
      <c r="M67" s="9">
        <f>IFERROR(J67-F67,"")</f>
        <v/>
      </c>
      <c r="N67" s="9">
        <f>IFERROR(J67-L67,"")</f>
        <v/>
      </c>
      <c r="O67" s="9">
        <f>IFERROR(J67-H67,"")</f>
        <v/>
      </c>
      <c r="P67" s="9">
        <f>IFERROR(K67-F67,"")</f>
        <v/>
      </c>
      <c r="Q67" s="7" t="n">
        <v>0.07941176470588235</v>
      </c>
      <c r="R67" s="7" t="n">
        <v>0.1088235294117647</v>
      </c>
      <c r="S67" s="7" t="n">
        <v>0.1382352941176471</v>
      </c>
      <c r="T67" s="7" t="n">
        <v>0.09705882352941177</v>
      </c>
      <c r="U67" s="7" t="n">
        <v>0.211734693877551</v>
      </c>
      <c r="V67" s="7" t="n">
        <v>0.5739795918367347</v>
      </c>
      <c r="W67" s="7" t="n">
        <v>0.1082089552238806</v>
      </c>
      <c r="X67" s="7" t="n">
        <v>0.188207521814696</v>
      </c>
      <c r="Y67" s="3">
        <f>IF(X67="","",IF(X67&gt;='Léeme'!$B$6,"barato",IF(X67&lt;'Léeme'!$B$7,"caro","medio")))</f>
        <v/>
      </c>
      <c r="Z67" s="11" t="n">
        <v>-0.04152904246023437</v>
      </c>
      <c r="AA67" s="11" t="n">
        <v>0.09912343738465035</v>
      </c>
    </row>
    <row r="68">
      <c r="A68" s="3" t="inlineStr">
        <is>
          <t>2014-T3</t>
        </is>
      </c>
      <c r="B68" s="13" t="n">
        <v>41912</v>
      </c>
      <c r="C68" s="14" t="n">
        <v>63.77</v>
      </c>
      <c r="D68" s="14" t="n">
        <v>4.22</v>
      </c>
      <c r="E68" s="14" t="n">
        <v>3.76</v>
      </c>
      <c r="F68" s="5" t="n">
        <v>0.0252</v>
      </c>
      <c r="G68" s="5" t="n">
        <v>0.01715098348296906</v>
      </c>
      <c r="H68" s="5" t="n">
        <v>0.04769999999999999</v>
      </c>
      <c r="I68" s="15">
        <f>IFERROR(C68/D68,"")</f>
        <v/>
      </c>
      <c r="J68" s="9">
        <f>IFERROR(D68/C68,"")</f>
        <v/>
      </c>
      <c r="K68" s="9">
        <f>IFERROR(E68/C68,"")</f>
        <v/>
      </c>
      <c r="L68" s="9">
        <f>IFERROR(F68-G68,"")</f>
        <v/>
      </c>
      <c r="M68" s="9">
        <f>IFERROR(J68-F68,"")</f>
        <v/>
      </c>
      <c r="N68" s="9">
        <f>IFERROR(J68-L68,"")</f>
        <v/>
      </c>
      <c r="O68" s="9">
        <f>IFERROR(J68-H68,"")</f>
        <v/>
      </c>
      <c r="P68" s="9">
        <f>IFERROR(K68-F68,"")</f>
        <v/>
      </c>
      <c r="Q68" s="7" t="n">
        <v>0.0953757225433526</v>
      </c>
      <c r="R68" s="7" t="n">
        <v>0.1242774566473988</v>
      </c>
      <c r="S68" s="7" t="n">
        <v>0.1127167630057803</v>
      </c>
      <c r="T68" s="7" t="n">
        <v>0.1127167630057803</v>
      </c>
      <c r="U68" s="7" t="n">
        <v>0.3492462311557789</v>
      </c>
      <c r="V68" s="7" t="n">
        <v>0.6758793969849246</v>
      </c>
      <c r="W68" s="7" t="n">
        <v>0.1496350364963504</v>
      </c>
      <c r="X68" s="7" t="n">
        <v>0.2314067671199094</v>
      </c>
      <c r="Y68" s="3">
        <f>IF(X68="","",IF(X68&gt;='Léeme'!$B$6,"barato",IF(X68&lt;'Léeme'!$B$7,"caro","medio")))</f>
        <v/>
      </c>
      <c r="Z68" s="11" t="n">
        <v>-0.04898554552097201</v>
      </c>
      <c r="AA68" s="11" t="n">
        <v>0.1224399265609648</v>
      </c>
    </row>
    <row r="69">
      <c r="A69" s="3" t="inlineStr">
        <is>
          <t>2014-T4</t>
        </is>
      </c>
      <c r="B69" s="13" t="n">
        <v>42004</v>
      </c>
      <c r="C69" s="14" t="n">
        <v>70.100002</v>
      </c>
      <c r="D69" s="14" t="n">
        <v>4.22</v>
      </c>
      <c r="E69" s="14" t="n">
        <v>3.8</v>
      </c>
      <c r="F69" s="5" t="n">
        <v>0.0217</v>
      </c>
      <c r="G69" s="5" t="n">
        <v>0.01231524989320798</v>
      </c>
      <c r="H69" s="5" t="n">
        <v>0.0469</v>
      </c>
      <c r="I69" s="15">
        <f>IFERROR(C69/D69,"")</f>
        <v/>
      </c>
      <c r="J69" s="9">
        <f>IFERROR(D69/C69,"")</f>
        <v/>
      </c>
      <c r="K69" s="9">
        <f>IFERROR(E69/C69,"")</f>
        <v/>
      </c>
      <c r="L69" s="9">
        <f>IFERROR(F69-G69,"")</f>
        <v/>
      </c>
      <c r="M69" s="9">
        <f>IFERROR(J69-F69,"")</f>
        <v/>
      </c>
      <c r="N69" s="9">
        <f>IFERROR(J69-L69,"")</f>
        <v/>
      </c>
      <c r="O69" s="9">
        <f>IFERROR(J69-H69,"")</f>
        <v/>
      </c>
      <c r="P69" s="9">
        <f>IFERROR(K69-F69,"")</f>
        <v/>
      </c>
      <c r="Q69" s="7" t="n">
        <v>0.05965909090909091</v>
      </c>
      <c r="R69" s="7" t="n">
        <v>0.09943181818181818</v>
      </c>
      <c r="S69" s="7" t="n">
        <v>0.05397727272727273</v>
      </c>
      <c r="T69" s="7" t="n">
        <v>0.07102272727272728</v>
      </c>
      <c r="U69" s="7" t="n">
        <v>0.1608910891089109</v>
      </c>
      <c r="V69" s="7" t="n">
        <v>0.6361386138613861</v>
      </c>
      <c r="W69" s="7" t="n">
        <v>0.125</v>
      </c>
      <c r="X69" s="7" t="n">
        <v>0.1723029445801723</v>
      </c>
      <c r="Y69" s="3">
        <f>IF(X69="","",IF(X69&gt;='Léeme'!$B$6,"barato",IF(X69&lt;'Léeme'!$B$7,"caro","medio")))</f>
        <v/>
      </c>
      <c r="Z69" s="11" t="n">
        <v>-0.1150727542478491</v>
      </c>
      <c r="AA69" s="11" t="n">
        <v>0.07704271024712339</v>
      </c>
    </row>
    <row r="70">
      <c r="A70" s="3" t="inlineStr">
        <is>
          <t>2015-T1</t>
        </is>
      </c>
      <c r="B70" s="13" t="n">
        <v>42094</v>
      </c>
      <c r="C70" s="14" t="n">
        <v>68.000001</v>
      </c>
      <c r="D70" s="14" t="n">
        <v>4.81</v>
      </c>
      <c r="E70" s="14" t="n">
        <v>3.812</v>
      </c>
      <c r="F70" s="5" t="n">
        <v>0.0194</v>
      </c>
      <c r="G70" s="5" t="n">
        <v>-0.0008703146293520536</v>
      </c>
      <c r="H70" s="5" t="n">
        <v>0.0451</v>
      </c>
      <c r="I70" s="15">
        <f>IFERROR(C70/D70,"")</f>
        <v/>
      </c>
      <c r="J70" s="9">
        <f>IFERROR(D70/C70,"")</f>
        <v/>
      </c>
      <c r="K70" s="9">
        <f>IFERROR(E70/C70,"")</f>
        <v/>
      </c>
      <c r="L70" s="9">
        <f>IFERROR(F70-G70,"")</f>
        <v/>
      </c>
      <c r="M70" s="9">
        <f>IFERROR(J70-F70,"")</f>
        <v/>
      </c>
      <c r="N70" s="9">
        <f>IFERROR(J70-L70,"")</f>
        <v/>
      </c>
      <c r="O70" s="9">
        <f>IFERROR(J70-H70,"")</f>
        <v/>
      </c>
      <c r="P70" s="9">
        <f>IFERROR(K70-F70,"")</f>
        <v/>
      </c>
      <c r="Q70" s="7" t="n">
        <v>0.1424581005586592</v>
      </c>
      <c r="R70" s="7" t="n">
        <v>0.3491620111731844</v>
      </c>
      <c r="S70" s="7" t="n">
        <v>0.06424581005586592</v>
      </c>
      <c r="T70" s="7" t="n">
        <v>0.3100558659217877</v>
      </c>
      <c r="U70" s="7" t="n">
        <v>0.2463414634146341</v>
      </c>
      <c r="V70" s="7" t="n">
        <v>0.7585365853658537</v>
      </c>
      <c r="W70" s="7" t="n">
        <v>0.3111888111888112</v>
      </c>
      <c r="X70" s="7" t="n">
        <v>0.3117126639541137</v>
      </c>
      <c r="Y70" s="3">
        <f>IF(X70="","",IF(X70&gt;='Léeme'!$B$6,"barato",IF(X70&lt;'Léeme'!$B$7,"caro","medio")))</f>
        <v/>
      </c>
      <c r="Z70" s="11" t="n">
        <v>-0.03640634210027593</v>
      </c>
      <c r="AA70" s="11" t="n">
        <v>0.01684041781409396</v>
      </c>
    </row>
    <row r="71">
      <c r="A71" s="3" t="inlineStr">
        <is>
          <t>2015-T2</t>
        </is>
      </c>
      <c r="B71" s="13" t="n">
        <v>42185</v>
      </c>
      <c r="C71" s="14" t="n">
        <v>58.94</v>
      </c>
      <c r="D71" s="14" t="n">
        <v>4.81</v>
      </c>
      <c r="E71" s="14" t="n">
        <v>3.816</v>
      </c>
      <c r="F71" s="5" t="n">
        <v>0.0235</v>
      </c>
      <c r="G71" s="5" t="n">
        <v>0.0003503321824429584</v>
      </c>
      <c r="H71" s="5" t="n">
        <v>0.0517</v>
      </c>
      <c r="I71" s="15">
        <f>IFERROR(C71/D71,"")</f>
        <v/>
      </c>
      <c r="J71" s="9">
        <f>IFERROR(D71/C71,"")</f>
        <v/>
      </c>
      <c r="K71" s="9">
        <f>IFERROR(E71/C71,"")</f>
        <v/>
      </c>
      <c r="L71" s="9">
        <f>IFERROR(F71-G71,"")</f>
        <v/>
      </c>
      <c r="M71" s="9">
        <f>IFERROR(J71-F71,"")</f>
        <v/>
      </c>
      <c r="N71" s="9">
        <f>IFERROR(J71-L71,"")</f>
        <v/>
      </c>
      <c r="O71" s="9">
        <f>IFERROR(J71-H71,"")</f>
        <v/>
      </c>
      <c r="P71" s="9">
        <f>IFERROR(K71-F71,"")</f>
        <v/>
      </c>
      <c r="Q71" s="7" t="n">
        <v>0.1895604395604396</v>
      </c>
      <c r="R71" s="7" t="n">
        <v>0.5027472527472527</v>
      </c>
      <c r="S71" s="7" t="n">
        <v>0.1565934065934066</v>
      </c>
      <c r="T71" s="7" t="n">
        <v>0.4752747252747253</v>
      </c>
      <c r="U71" s="7" t="n">
        <v>0.4927884615384616</v>
      </c>
      <c r="V71" s="7" t="n">
        <v>0.9014423076923077</v>
      </c>
      <c r="W71" s="7" t="n">
        <v>0.708904109589041</v>
      </c>
      <c r="X71" s="7" t="n">
        <v>0.489615814713662</v>
      </c>
      <c r="Y71" s="3">
        <f>IF(X71="","",IF(X71&gt;='Léeme'!$B$6,"barato",IF(X71&lt;'Léeme'!$B$7,"caro","medio")))</f>
        <v/>
      </c>
      <c r="Z71" s="11" t="n">
        <v>0.238263302671166</v>
      </c>
      <c r="AA71" s="11" t="n">
        <v>0.07865922687371962</v>
      </c>
    </row>
    <row r="72">
      <c r="A72" s="3" t="inlineStr">
        <is>
          <t>2015-T3</t>
        </is>
      </c>
      <c r="B72" s="13" t="n">
        <v>42277</v>
      </c>
      <c r="C72" s="14" t="n">
        <v>57.81</v>
      </c>
      <c r="D72" s="14" t="n">
        <v>4.81</v>
      </c>
      <c r="E72" s="14" t="n">
        <v>3.819996</v>
      </c>
      <c r="F72" s="5" t="n">
        <v>0.0206</v>
      </c>
      <c r="G72" s="5" t="n">
        <v>0.002413037985344868</v>
      </c>
      <c r="H72" s="5" t="n">
        <v>0.05309999999999999</v>
      </c>
      <c r="I72" s="15">
        <f>IFERROR(C72/D72,"")</f>
        <v/>
      </c>
      <c r="J72" s="9">
        <f>IFERROR(D72/C72,"")</f>
        <v/>
      </c>
      <c r="K72" s="9">
        <f>IFERROR(E72/C72,"")</f>
        <v/>
      </c>
      <c r="L72" s="9">
        <f>IFERROR(F72-G72,"")</f>
        <v/>
      </c>
      <c r="M72" s="9">
        <f>IFERROR(J72-F72,"")</f>
        <v/>
      </c>
      <c r="N72" s="9">
        <f>IFERROR(J72-L72,"")</f>
        <v/>
      </c>
      <c r="O72" s="9">
        <f>IFERROR(J72-H72,"")</f>
        <v/>
      </c>
      <c r="P72" s="9">
        <f>IFERROR(K72-F72,"")</f>
        <v/>
      </c>
      <c r="Q72" s="7" t="n">
        <v>0.2135135135135135</v>
      </c>
      <c r="R72" s="7" t="n">
        <v>0.6297297297297297</v>
      </c>
      <c r="S72" s="7" t="n">
        <v>0.2243243243243243</v>
      </c>
      <c r="T72" s="7" t="n">
        <v>0.4837837837837838</v>
      </c>
      <c r="U72" s="7" t="n">
        <v>0.514218009478673</v>
      </c>
      <c r="V72" s="7" t="n">
        <v>0.9597156398104265</v>
      </c>
      <c r="W72" s="7" t="n">
        <v>0.7416107382550335</v>
      </c>
      <c r="X72" s="7" t="n">
        <v>0.5381279626993549</v>
      </c>
      <c r="Y72" s="3">
        <f>IF(X72="","",IF(X72&gt;='Léeme'!$B$6,"barato",IF(X72&lt;'Léeme'!$B$7,"caro","medio")))</f>
        <v/>
      </c>
      <c r="Z72" s="11" t="n">
        <v>0.1719635518948199</v>
      </c>
      <c r="AA72" s="11" t="n">
        <v>0.07462770263862373</v>
      </c>
    </row>
    <row r="73">
      <c r="A73" s="3" t="inlineStr">
        <is>
          <t>2015-T4</t>
        </is>
      </c>
      <c r="B73" s="13" t="n">
        <v>42369</v>
      </c>
      <c r="C73" s="14" t="n">
        <v>59</v>
      </c>
      <c r="D73" s="14" t="n">
        <v>4.81</v>
      </c>
      <c r="E73" s="14" t="n">
        <v>3.86</v>
      </c>
      <c r="F73" s="5" t="n">
        <v>0.0227</v>
      </c>
      <c r="G73" s="5" t="n">
        <v>0.004363182169185187</v>
      </c>
      <c r="H73" s="5" t="n">
        <v>0.0554</v>
      </c>
      <c r="I73" s="15">
        <f>IFERROR(C73/D73,"")</f>
        <v/>
      </c>
      <c r="J73" s="9">
        <f>IFERROR(D73/C73,"")</f>
        <v/>
      </c>
      <c r="K73" s="9">
        <f>IFERROR(E73/C73,"")</f>
        <v/>
      </c>
      <c r="L73" s="9">
        <f>IFERROR(F73-G73,"")</f>
        <v/>
      </c>
      <c r="M73" s="9">
        <f>IFERROR(J73-F73,"")</f>
        <v/>
      </c>
      <c r="N73" s="9">
        <f>IFERROR(J73-L73,"")</f>
        <v/>
      </c>
      <c r="O73" s="9">
        <f>IFERROR(J73-H73,"")</f>
        <v/>
      </c>
      <c r="P73" s="9">
        <f>IFERROR(K73-F73,"")</f>
        <v/>
      </c>
      <c r="Q73" s="7" t="n">
        <v>0.199468085106383</v>
      </c>
      <c r="R73" s="7" t="n">
        <v>0.550531914893617</v>
      </c>
      <c r="S73" s="7" t="n">
        <v>0.2207446808510638</v>
      </c>
      <c r="T73" s="7" t="n">
        <v>0.3484042553191489</v>
      </c>
      <c r="U73" s="7" t="n">
        <v>0.5116822429906542</v>
      </c>
      <c r="V73" s="7" t="n">
        <v>0.9228971962616822</v>
      </c>
      <c r="W73" s="7" t="n">
        <v>0.7532894736842105</v>
      </c>
      <c r="X73" s="7" t="n">
        <v>0.5010025498723942</v>
      </c>
      <c r="Y73" s="3">
        <f>IF(X73="","",IF(X73&gt;='Léeme'!$B$6,"barato",IF(X73&lt;'Léeme'!$B$7,"caro","medio")))</f>
        <v/>
      </c>
      <c r="Z73" s="11" t="n">
        <v>0.05237094484110627</v>
      </c>
      <c r="AA73" s="11" t="n">
        <v>0.08731595098874179</v>
      </c>
    </row>
    <row r="74">
      <c r="A74" s="3" t="inlineStr">
        <is>
          <t>2016-T1</t>
        </is>
      </c>
      <c r="B74" s="13" t="n">
        <v>42460</v>
      </c>
      <c r="C74" s="14" t="n">
        <v>62.239999</v>
      </c>
      <c r="D74" s="14" t="n">
        <v>4.99</v>
      </c>
      <c r="E74" s="14" t="n">
        <v>3.896</v>
      </c>
      <c r="F74" s="5" t="n">
        <v>0.0178</v>
      </c>
      <c r="G74" s="5" t="n">
        <v>0.008472775790126619</v>
      </c>
      <c r="H74" s="5" t="n">
        <v>0.04940000000000001</v>
      </c>
      <c r="I74" s="15">
        <f>IFERROR(C74/D74,"")</f>
        <v/>
      </c>
      <c r="J74" s="9">
        <f>IFERROR(D74/C74,"")</f>
        <v/>
      </c>
      <c r="K74" s="9">
        <f>IFERROR(E74/C74,"")</f>
        <v/>
      </c>
      <c r="L74" s="9">
        <f>IFERROR(F74-G74,"")</f>
        <v/>
      </c>
      <c r="M74" s="9">
        <f>IFERROR(J74-F74,"")</f>
        <v/>
      </c>
      <c r="N74" s="9">
        <f>IFERROR(J74-L74,"")</f>
        <v/>
      </c>
      <c r="O74" s="9">
        <f>IFERROR(J74-H74,"")</f>
        <v/>
      </c>
      <c r="P74" s="9">
        <f>IFERROR(K74-F74,"")</f>
        <v/>
      </c>
      <c r="Q74" s="7" t="n">
        <v>0.1910994764397906</v>
      </c>
      <c r="R74" s="7" t="n">
        <v>0.6256544502617801</v>
      </c>
      <c r="S74" s="7" t="n">
        <v>0.306282722513089</v>
      </c>
      <c r="T74" s="7" t="n">
        <v>0.5209424083769634</v>
      </c>
      <c r="U74" s="7" t="n">
        <v>0.4539170506912442</v>
      </c>
      <c r="V74" s="7" t="n">
        <v>0.9377880184331797</v>
      </c>
      <c r="W74" s="7" t="n">
        <v>0.7129032258064516</v>
      </c>
      <c r="X74" s="7" t="n">
        <v>0.5355124789317856</v>
      </c>
      <c r="Y74" s="3">
        <f>IF(X74="","",IF(X74&gt;='Léeme'!$B$6,"barato",IF(X74&lt;'Léeme'!$B$7,"caro","medio")))</f>
        <v/>
      </c>
      <c r="Z74" s="11" t="n">
        <v>0.05074042887390418</v>
      </c>
      <c r="AA74" s="11" t="n">
        <v>0.07614255819939886</v>
      </c>
    </row>
    <row r="75">
      <c r="A75" s="3" t="inlineStr">
        <is>
          <t>2016-T2</t>
        </is>
      </c>
      <c r="B75" s="13" t="n">
        <v>42551</v>
      </c>
      <c r="C75" s="14" t="n">
        <v>69.42</v>
      </c>
      <c r="D75" s="14" t="n">
        <v>4.99</v>
      </c>
      <c r="E75" s="14" t="n">
        <v>3.92</v>
      </c>
      <c r="F75" s="5" t="n">
        <v>0.0149</v>
      </c>
      <c r="G75" s="5" t="n">
        <v>0.01078476462124622</v>
      </c>
      <c r="H75" s="5" t="n">
        <v>0.044</v>
      </c>
      <c r="I75" s="15">
        <f>IFERROR(C75/D75,"")</f>
        <v/>
      </c>
      <c r="J75" s="9">
        <f>IFERROR(D75/C75,"")</f>
        <v/>
      </c>
      <c r="K75" s="9">
        <f>IFERROR(E75/C75,"")</f>
        <v/>
      </c>
      <c r="L75" s="9">
        <f>IFERROR(F75-G75,"")</f>
        <v/>
      </c>
      <c r="M75" s="9">
        <f>IFERROR(J75-F75,"")</f>
        <v/>
      </c>
      <c r="N75" s="9">
        <f>IFERROR(J75-L75,"")</f>
        <v/>
      </c>
      <c r="O75" s="9">
        <f>IFERROR(J75-H75,"")</f>
        <v/>
      </c>
      <c r="P75" s="9">
        <f>IFERROR(K75-F75,"")</f>
        <v/>
      </c>
      <c r="Q75" s="7" t="n">
        <v>0.1365979381443299</v>
      </c>
      <c r="R75" s="7" t="n">
        <v>0.4510309278350516</v>
      </c>
      <c r="S75" s="7" t="n">
        <v>0.2757731958762887</v>
      </c>
      <c r="T75" s="7" t="n">
        <v>0.3943298969072165</v>
      </c>
      <c r="U75" s="7" t="n">
        <v>0.2522727272727273</v>
      </c>
      <c r="V75" s="7" t="n">
        <v>0.8795454545454545</v>
      </c>
      <c r="W75" s="7" t="n">
        <v>0.4525316455696203</v>
      </c>
      <c r="X75" s="7" t="n">
        <v>0.4060116837358127</v>
      </c>
      <c r="Y75" s="3">
        <f>IF(X75="","",IF(X75&gt;='Léeme'!$B$6,"barato",IF(X75&lt;'Léeme'!$B$7,"caro","medio")))</f>
        <v/>
      </c>
      <c r="Z75" s="11" t="n">
        <v>-0.0001068289303225445</v>
      </c>
      <c r="AA75" s="11" t="n">
        <v>0.06406906026019965</v>
      </c>
    </row>
    <row r="76">
      <c r="A76" s="3" t="inlineStr">
        <is>
          <t>2016-T3</t>
        </is>
      </c>
      <c r="B76" s="13" t="n">
        <v>42643</v>
      </c>
      <c r="C76" s="14" t="n">
        <v>64.530001</v>
      </c>
      <c r="D76" s="14" t="n">
        <v>4.99</v>
      </c>
      <c r="E76" s="14" t="n">
        <v>3.94</v>
      </c>
      <c r="F76" s="5" t="n">
        <v>0.016</v>
      </c>
      <c r="G76" s="5" t="n">
        <v>0.01055315859565686</v>
      </c>
      <c r="H76" s="5" t="n">
        <v>0.0423</v>
      </c>
      <c r="I76" s="15">
        <f>IFERROR(C76/D76,"")</f>
        <v/>
      </c>
      <c r="J76" s="9">
        <f>IFERROR(D76/C76,"")</f>
        <v/>
      </c>
      <c r="K76" s="9">
        <f>IFERROR(E76/C76,"")</f>
        <v/>
      </c>
      <c r="L76" s="9">
        <f>IFERROR(F76-G76,"")</f>
        <v/>
      </c>
      <c r="M76" s="9">
        <f>IFERROR(J76-F76,"")</f>
        <v/>
      </c>
      <c r="N76" s="9">
        <f>IFERROR(J76-L76,"")</f>
        <v/>
      </c>
      <c r="O76" s="9">
        <f>IFERROR(J76-H76,"")</f>
        <v/>
      </c>
      <c r="P76" s="9">
        <f>IFERROR(K76-F76,"")</f>
        <v/>
      </c>
      <c r="Q76" s="7" t="n">
        <v>0.1700507614213198</v>
      </c>
      <c r="R76" s="7" t="n">
        <v>0.6015228426395939</v>
      </c>
      <c r="S76" s="7" t="n">
        <v>0.33248730964467</v>
      </c>
      <c r="T76" s="7" t="n">
        <v>0.6218274111675127</v>
      </c>
      <c r="U76" s="7" t="n">
        <v>0.4417040358744395</v>
      </c>
      <c r="V76" s="7" t="n">
        <v>0.9394618834080718</v>
      </c>
      <c r="W76" s="7" t="n">
        <v>0.6925465838509317</v>
      </c>
      <c r="X76" s="7" t="n">
        <v>0.5428001182866484</v>
      </c>
      <c r="Y76" s="3">
        <f>IF(X76="","",IF(X76&gt;='Léeme'!$B$6,"barato",IF(X76&lt;'Léeme'!$B$7,"caro","medio")))</f>
        <v/>
      </c>
      <c r="Z76" s="11" t="n">
        <v>0.09802106186877158</v>
      </c>
      <c r="AA76" s="11" t="n">
        <v>0.07497402119999919</v>
      </c>
    </row>
    <row r="77">
      <c r="A77" s="3" t="inlineStr">
        <is>
          <t>2016-T4</t>
        </is>
      </c>
      <c r="B77" s="13" t="n">
        <v>42734</v>
      </c>
      <c r="C77" s="14" t="n">
        <v>59.090001</v>
      </c>
      <c r="D77" s="14" t="n">
        <v>4.99</v>
      </c>
      <c r="E77" s="14" t="n">
        <v>3.96</v>
      </c>
      <c r="F77" s="5" t="n">
        <v>0.0245</v>
      </c>
      <c r="G77" s="5" t="n">
        <v>0.01684333471978894</v>
      </c>
      <c r="H77" s="5" t="n">
        <v>0.0476</v>
      </c>
      <c r="I77" s="15">
        <f>IFERROR(C77/D77,"")</f>
        <v/>
      </c>
      <c r="J77" s="9">
        <f>IFERROR(D77/C77,"")</f>
        <v/>
      </c>
      <c r="K77" s="9">
        <f>IFERROR(E77/C77,"")</f>
        <v/>
      </c>
      <c r="L77" s="9">
        <f>IFERROR(F77-G77,"")</f>
        <v/>
      </c>
      <c r="M77" s="9">
        <f>IFERROR(J77-F77,"")</f>
        <v/>
      </c>
      <c r="N77" s="9">
        <f>IFERROR(J77-L77,"")</f>
        <v/>
      </c>
      <c r="O77" s="9">
        <f>IFERROR(J77-H77,"")</f>
        <v/>
      </c>
      <c r="P77" s="9">
        <f>IFERROR(K77-F77,"")</f>
        <v/>
      </c>
      <c r="Q77" s="7" t="n">
        <v>0.2875</v>
      </c>
      <c r="R77" s="7" t="n">
        <v>0.5475</v>
      </c>
      <c r="S77" s="7" t="n">
        <v>0.4175</v>
      </c>
      <c r="T77" s="7" t="n">
        <v>0.6425</v>
      </c>
      <c r="U77" s="7" t="n">
        <v>0.5685840707964602</v>
      </c>
      <c r="V77" s="7" t="n">
        <v>0.8871681415929203</v>
      </c>
      <c r="W77" s="7" t="n">
        <v>0.8201219512195121</v>
      </c>
      <c r="X77" s="7" t="n">
        <v>0.5958391662298419</v>
      </c>
      <c r="Y77" s="3">
        <f>IF(X77="","",IF(X77&gt;='Léeme'!$B$6,"barato",IF(X77&lt;'Léeme'!$B$7,"caro","medio")))</f>
        <v/>
      </c>
      <c r="Z77" s="11" t="n">
        <v>0.2235507561307468</v>
      </c>
      <c r="AA77" s="11" t="n">
        <v>0.1189163588494946</v>
      </c>
    </row>
    <row r="78">
      <c r="A78" s="3" t="inlineStr">
        <is>
          <t>2017-T1</t>
        </is>
      </c>
      <c r="B78" s="13" t="n">
        <v>42825</v>
      </c>
      <c r="C78" s="14" t="n">
        <v>62.22</v>
      </c>
      <c r="D78" s="14" t="n">
        <v>5.12</v>
      </c>
      <c r="E78" s="14" t="n">
        <v>3.98</v>
      </c>
      <c r="F78" s="5" t="n">
        <v>0.024</v>
      </c>
      <c r="G78" s="5" t="n">
        <v>0.02810361681329421</v>
      </c>
      <c r="H78" s="5" t="n">
        <v>0.04650000000000001</v>
      </c>
      <c r="I78" s="15">
        <f>IFERROR(C78/D78,"")</f>
        <v/>
      </c>
      <c r="J78" s="9">
        <f>IFERROR(D78/C78,"")</f>
        <v/>
      </c>
      <c r="K78" s="9">
        <f>IFERROR(E78/C78,"")</f>
        <v/>
      </c>
      <c r="L78" s="9">
        <f>IFERROR(F78-G78,"")</f>
        <v/>
      </c>
      <c r="M78" s="9">
        <f>IFERROR(J78-F78,"")</f>
        <v/>
      </c>
      <c r="N78" s="9">
        <f>IFERROR(J78-L78,"")</f>
        <v/>
      </c>
      <c r="O78" s="9">
        <f>IFERROR(J78-H78,"")</f>
        <v/>
      </c>
      <c r="P78" s="9">
        <f>IFERROR(K78-F78,"")</f>
        <v/>
      </c>
      <c r="Q78" s="7" t="n">
        <v>0.2536945812807882</v>
      </c>
      <c r="R78" s="7" t="n">
        <v>0.5</v>
      </c>
      <c r="S78" s="7" t="n">
        <v>0.6231527093596059</v>
      </c>
      <c r="T78" s="7" t="n">
        <v>0.6280788177339901</v>
      </c>
      <c r="U78" s="7" t="n">
        <v>0.4781659388646288</v>
      </c>
      <c r="V78" s="7" t="n">
        <v>0.8231441048034934</v>
      </c>
      <c r="W78" s="7" t="n">
        <v>0.7994011976047904</v>
      </c>
      <c r="X78" s="7" t="n">
        <v>0.5865196213781854</v>
      </c>
      <c r="Y78" s="3">
        <f>IF(X78="","",IF(X78&gt;='Léeme'!$B$6,"barato",IF(X78&lt;'Léeme'!$B$7,"caro","medio")))</f>
        <v/>
      </c>
      <c r="Z78" s="11" t="n">
        <v>0.04562952339563453</v>
      </c>
      <c r="AA78" s="11" t="n">
        <v>0.103729425824479</v>
      </c>
    </row>
    <row r="79">
      <c r="A79" s="3" t="inlineStr">
        <is>
          <t>2017-T2</t>
        </is>
      </c>
      <c r="B79" s="13" t="n">
        <v>42916</v>
      </c>
      <c r="C79" s="14" t="n">
        <v>66.010004</v>
      </c>
      <c r="D79" s="14" t="n">
        <v>5.12</v>
      </c>
      <c r="E79" s="14" t="n">
        <v>4</v>
      </c>
      <c r="F79" s="5" t="n">
        <v>0.0231</v>
      </c>
      <c r="G79" s="5" t="n">
        <v>0.01856343166761976</v>
      </c>
      <c r="H79" s="5" t="n">
        <v>0.0438</v>
      </c>
      <c r="I79" s="15">
        <f>IFERROR(C79/D79,"")</f>
        <v/>
      </c>
      <c r="J79" s="9">
        <f>IFERROR(D79/C79,"")</f>
        <v/>
      </c>
      <c r="K79" s="9">
        <f>IFERROR(E79/C79,"")</f>
        <v/>
      </c>
      <c r="L79" s="9">
        <f>IFERROR(F79-G79,"")</f>
        <v/>
      </c>
      <c r="M79" s="9">
        <f>IFERROR(J79-F79,"")</f>
        <v/>
      </c>
      <c r="N79" s="9">
        <f>IFERROR(J79-L79,"")</f>
        <v/>
      </c>
      <c r="O79" s="9">
        <f>IFERROR(J79-H79,"")</f>
        <v/>
      </c>
      <c r="P79" s="9">
        <f>IFERROR(K79-F79,"")</f>
        <v/>
      </c>
      <c r="Q79" s="7" t="n">
        <v>0.1674757281553398</v>
      </c>
      <c r="R79" s="7" t="n">
        <v>0.3713592233009709</v>
      </c>
      <c r="S79" s="7" t="n">
        <v>0.3470873786407767</v>
      </c>
      <c r="T79" s="7" t="n">
        <v>0.5703883495145631</v>
      </c>
      <c r="U79" s="7" t="n">
        <v>0.4073275862068966</v>
      </c>
      <c r="V79" s="7" t="n">
        <v>0.6961206896551724</v>
      </c>
      <c r="W79" s="7" t="n">
        <v>0.6617647058823529</v>
      </c>
      <c r="X79" s="7" t="n">
        <v>0.4602176659080103</v>
      </c>
      <c r="Y79" s="3">
        <f>IF(X79="","",IF(X79&gt;='Léeme'!$B$6,"barato",IF(X79&lt;'Léeme'!$B$7,"caro","medio")))</f>
        <v/>
      </c>
      <c r="Z79" s="11" t="n">
        <v>0.05530229851734925</v>
      </c>
      <c r="AA79" s="11" t="n">
        <v>0.09574678281541438</v>
      </c>
    </row>
    <row r="80">
      <c r="A80" s="3" t="inlineStr">
        <is>
          <t>2017-T3</t>
        </is>
      </c>
      <c r="B80" s="13" t="n">
        <v>43007</v>
      </c>
      <c r="C80" s="14" t="n">
        <v>67.390004</v>
      </c>
      <c r="D80" s="14" t="n">
        <v>5.12</v>
      </c>
      <c r="E80" s="14" t="n">
        <v>4.02</v>
      </c>
      <c r="F80" s="5" t="n">
        <v>0.0233</v>
      </c>
      <c r="G80" s="5" t="n">
        <v>0.0192812155729698</v>
      </c>
      <c r="H80" s="5" t="n">
        <v>0.0436</v>
      </c>
      <c r="I80" s="15">
        <f>IFERROR(C80/D80,"")</f>
        <v/>
      </c>
      <c r="J80" s="9">
        <f>IFERROR(D80/C80,"")</f>
        <v/>
      </c>
      <c r="K80" s="9">
        <f>IFERROR(E80/C80,"")</f>
        <v/>
      </c>
      <c r="L80" s="9">
        <f>IFERROR(F80-G80,"")</f>
        <v/>
      </c>
      <c r="M80" s="9">
        <f>IFERROR(J80-F80,"")</f>
        <v/>
      </c>
      <c r="N80" s="9">
        <f>IFERROR(J80-L80,"")</f>
        <v/>
      </c>
      <c r="O80" s="9">
        <f>IFERROR(J80-H80,"")</f>
        <v/>
      </c>
      <c r="P80" s="9">
        <f>IFERROR(K80-F80,"")</f>
        <v/>
      </c>
      <c r="Q80" s="7" t="n">
        <v>0.1650717703349282</v>
      </c>
      <c r="R80" s="7" t="n">
        <v>0.3325358851674641</v>
      </c>
      <c r="S80" s="7" t="n">
        <v>0.3325358851674641</v>
      </c>
      <c r="T80" s="7" t="n">
        <v>0.5478468899521531</v>
      </c>
      <c r="U80" s="7" t="n">
        <v>0.3638297872340426</v>
      </c>
      <c r="V80" s="7" t="n">
        <v>0.6574468085106383</v>
      </c>
      <c r="W80" s="7" t="n">
        <v>0.6329479768786127</v>
      </c>
      <c r="X80" s="7" t="n">
        <v>0.4331735718921862</v>
      </c>
      <c r="Y80" s="3">
        <f>IF(X80="","",IF(X80&gt;='Léeme'!$B$6,"barato",IF(X80&lt;'Léeme'!$B$7,"caro","medio")))</f>
        <v/>
      </c>
      <c r="Z80" s="11" t="n">
        <v>0.002722167994330782</v>
      </c>
      <c r="AA80" s="11" t="n">
        <v>0.05137886285430615</v>
      </c>
    </row>
    <row r="81">
      <c r="A81" s="3" t="inlineStr">
        <is>
          <t>2017-T4</t>
        </is>
      </c>
      <c r="B81" s="13" t="n">
        <v>43098</v>
      </c>
      <c r="C81" s="14" t="n">
        <v>68.899997</v>
      </c>
      <c r="D81" s="14" t="n">
        <v>5.12</v>
      </c>
      <c r="E81" s="14" t="n">
        <v>4.04</v>
      </c>
      <c r="F81" s="5" t="n">
        <v>0.024</v>
      </c>
      <c r="G81" s="5" t="n">
        <v>0.02172493864295566</v>
      </c>
      <c r="H81" s="5" t="n">
        <v>0.04190000000000001</v>
      </c>
      <c r="I81" s="15">
        <f>IFERROR(C81/D81,"")</f>
        <v/>
      </c>
      <c r="J81" s="9">
        <f>IFERROR(D81/C81,"")</f>
        <v/>
      </c>
      <c r="K81" s="9">
        <f>IFERROR(E81/C81,"")</f>
        <v/>
      </c>
      <c r="L81" s="9">
        <f>IFERROR(F81-G81,"")</f>
        <v/>
      </c>
      <c r="M81" s="9">
        <f>IFERROR(J81-F81,"")</f>
        <v/>
      </c>
      <c r="N81" s="9">
        <f>IFERROR(J81-L81,"")</f>
        <v/>
      </c>
      <c r="O81" s="9">
        <f>IFERROR(J81-H81,"")</f>
        <v/>
      </c>
      <c r="P81" s="9">
        <f>IFERROR(K81-F81,"")</f>
        <v/>
      </c>
      <c r="Q81" s="7" t="n">
        <v>0.1391509433962264</v>
      </c>
      <c r="R81" s="7" t="n">
        <v>0.2900943396226415</v>
      </c>
      <c r="S81" s="7" t="n">
        <v>0.3419811320754717</v>
      </c>
      <c r="T81" s="7" t="n">
        <v>0.5542452830188679</v>
      </c>
      <c r="U81" s="7" t="n">
        <v>0.3214285714285715</v>
      </c>
      <c r="V81" s="7" t="n">
        <v>0.6113445378151261</v>
      </c>
      <c r="W81" s="7" t="n">
        <v>0.5767045454545454</v>
      </c>
      <c r="X81" s="7" t="n">
        <v>0.4049927646873501</v>
      </c>
      <c r="Y81" s="3">
        <f>IF(X81="","",IF(X81&gt;='Léeme'!$B$6,"barato",IF(X81&lt;'Léeme'!$B$7,"caro","medio")))</f>
        <v/>
      </c>
      <c r="Z81" s="11" t="n">
        <v>-0.004875999040778067</v>
      </c>
      <c r="AA81" s="11" t="n">
        <v>0.07457545652426179</v>
      </c>
    </row>
    <row r="82">
      <c r="A82" s="3" t="inlineStr">
        <is>
          <t>2018-T1</t>
        </is>
      </c>
      <c r="B82" s="13" t="n">
        <v>43188</v>
      </c>
      <c r="C82" s="14" t="n">
        <v>61.99</v>
      </c>
      <c r="D82" s="14" t="n">
        <v>5.3</v>
      </c>
      <c r="E82" s="14" t="n">
        <v>4.06</v>
      </c>
      <c r="F82" s="5" t="n">
        <v>0.0274</v>
      </c>
      <c r="G82" s="5" t="n">
        <v>0.02263468931091861</v>
      </c>
      <c r="H82" s="5" t="n">
        <v>0.0463</v>
      </c>
      <c r="I82" s="15">
        <f>IFERROR(C82/D82,"")</f>
        <v/>
      </c>
      <c r="J82" s="9">
        <f>IFERROR(D82/C82,"")</f>
        <v/>
      </c>
      <c r="K82" s="9">
        <f>IFERROR(E82/C82,"")</f>
        <v/>
      </c>
      <c r="L82" s="9">
        <f>IFERROR(F82-G82,"")</f>
        <v/>
      </c>
      <c r="M82" s="9">
        <f>IFERROR(J82-F82,"")</f>
        <v/>
      </c>
      <c r="N82" s="9">
        <f>IFERROR(J82-L82,"")</f>
        <v/>
      </c>
      <c r="O82" s="9">
        <f>IFERROR(J82-H82,"")</f>
        <v/>
      </c>
      <c r="P82" s="9">
        <f>IFERROR(K82-F82,"")</f>
        <v/>
      </c>
      <c r="Q82" s="7" t="n">
        <v>0.341860465116279</v>
      </c>
      <c r="R82" s="7" t="n">
        <v>0.5</v>
      </c>
      <c r="S82" s="7" t="n">
        <v>0.5232558139534884</v>
      </c>
      <c r="T82" s="7" t="n">
        <v>0.727906976744186</v>
      </c>
      <c r="U82" s="7" t="n">
        <v>0.5456431535269709</v>
      </c>
      <c r="V82" s="7" t="n">
        <v>0.7240663900414938</v>
      </c>
      <c r="W82" s="7" t="n">
        <v>0.8519553072625698</v>
      </c>
      <c r="X82" s="7" t="n">
        <v>0.6020983009492841</v>
      </c>
      <c r="Y82" s="3">
        <f>IF(X82="","",IF(X82&gt;='Léeme'!$B$6,"barato",IF(X82&lt;'Léeme'!$B$7,"caro","medio")))</f>
        <v/>
      </c>
      <c r="Z82" s="11" t="n">
        <v>0.3256825383891833</v>
      </c>
      <c r="AA82" s="11" t="n">
        <v>0.09393066838231401</v>
      </c>
    </row>
    <row r="83">
      <c r="A83" s="3" t="inlineStr">
        <is>
          <t>2018-T2</t>
        </is>
      </c>
      <c r="B83" s="13" t="n">
        <v>43280</v>
      </c>
      <c r="C83" s="14" t="n">
        <v>66.349997</v>
      </c>
      <c r="D83" s="14" t="n">
        <v>5.3</v>
      </c>
      <c r="E83" s="14" t="n">
        <v>4.08</v>
      </c>
      <c r="F83" s="5" t="n">
        <v>0.0285</v>
      </c>
      <c r="G83" s="5" t="n">
        <v>0.02781921607842497</v>
      </c>
      <c r="H83" s="5" t="n">
        <v>0.0484</v>
      </c>
      <c r="I83" s="15">
        <f>IFERROR(C83/D83,"")</f>
        <v/>
      </c>
      <c r="J83" s="9">
        <f>IFERROR(D83/C83,"")</f>
        <v/>
      </c>
      <c r="K83" s="9">
        <f>IFERROR(E83/C83,"")</f>
        <v/>
      </c>
      <c r="L83" s="9">
        <f>IFERROR(F83-G83,"")</f>
        <v/>
      </c>
      <c r="M83" s="9">
        <f>IFERROR(J83-F83,"")</f>
        <v/>
      </c>
      <c r="N83" s="9">
        <f>IFERROR(J83-L83,"")</f>
        <v/>
      </c>
      <c r="O83" s="9">
        <f>IFERROR(J83-H83,"")</f>
        <v/>
      </c>
      <c r="P83" s="9">
        <f>IFERROR(K83-F83,"")</f>
        <v/>
      </c>
      <c r="Q83" s="7" t="n">
        <v>0.2270642201834862</v>
      </c>
      <c r="R83" s="7" t="n">
        <v>0.3096330275229358</v>
      </c>
      <c r="S83" s="7" t="n">
        <v>0.5114678899082569</v>
      </c>
      <c r="T83" s="7" t="n">
        <v>0.5160550458715596</v>
      </c>
      <c r="U83" s="7" t="n">
        <v>0.4528688524590164</v>
      </c>
      <c r="V83" s="7" t="n">
        <v>0.5512295081967213</v>
      </c>
      <c r="W83" s="7" t="n">
        <v>0.728021978021978</v>
      </c>
      <c r="X83" s="7" t="n">
        <v>0.4709057888805649</v>
      </c>
      <c r="Y83" s="3">
        <f>IF(X83="","",IF(X83&gt;='Léeme'!$B$6,"barato",IF(X83&lt;'Léeme'!$B$7,"caro","medio")))</f>
        <v/>
      </c>
      <c r="Z83" s="11" t="n">
        <v>0.2808842840413814</v>
      </c>
      <c r="AA83" s="11" t="n">
        <v>0.05037265910519761</v>
      </c>
    </row>
    <row r="84">
      <c r="A84" s="3" t="inlineStr">
        <is>
          <t>2018-T3</t>
        </is>
      </c>
      <c r="B84" s="13" t="n">
        <v>43371</v>
      </c>
      <c r="C84" s="14" t="n">
        <v>64.309999</v>
      </c>
      <c r="D84" s="14" t="n">
        <v>5.3</v>
      </c>
      <c r="E84" s="14" t="n">
        <v>4.1</v>
      </c>
      <c r="F84" s="5" t="n">
        <v>0.0305</v>
      </c>
      <c r="G84" s="5" t="n">
        <v>0.02642923856874257</v>
      </c>
      <c r="H84" s="5" t="n">
        <v>0.0489</v>
      </c>
      <c r="I84" s="15">
        <f>IFERROR(C84/D84,"")</f>
        <v/>
      </c>
      <c r="J84" s="9">
        <f>IFERROR(D84/C84,"")</f>
        <v/>
      </c>
      <c r="K84" s="9">
        <f>IFERROR(E84/C84,"")</f>
        <v/>
      </c>
      <c r="L84" s="9">
        <f>IFERROR(F84-G84,"")</f>
        <v/>
      </c>
      <c r="M84" s="9">
        <f>IFERROR(J84-F84,"")</f>
        <v/>
      </c>
      <c r="N84" s="9">
        <f>IFERROR(J84-L84,"")</f>
        <v/>
      </c>
      <c r="O84" s="9">
        <f>IFERROR(J84-H84,"")</f>
        <v/>
      </c>
      <c r="P84" s="9">
        <f>IFERROR(K84-F84,"")</f>
        <v/>
      </c>
      <c r="Q84" s="7" t="n">
        <v>0.3009049773755656</v>
      </c>
      <c r="R84" s="7" t="n">
        <v>0.3371040723981901</v>
      </c>
      <c r="S84" s="7" t="n">
        <v>0.495475113122172</v>
      </c>
      <c r="T84" s="7" t="n">
        <v>0.5723981900452488</v>
      </c>
      <c r="U84" s="7" t="n">
        <v>0.4959514170040486</v>
      </c>
      <c r="V84" s="7" t="n">
        <v>0.5607287449392713</v>
      </c>
      <c r="W84" s="7" t="n">
        <v>0.7918918918918919</v>
      </c>
      <c r="X84" s="7" t="n">
        <v>0.5077792009680555</v>
      </c>
      <c r="Y84" s="3">
        <f>IF(X84="","",IF(X84&gt;='Léeme'!$B$6,"barato",IF(X84&lt;'Léeme'!$B$7,"caro","medio")))</f>
        <v/>
      </c>
      <c r="Z84" s="11" t="n">
        <v>0.4606140349586083</v>
      </c>
      <c r="AA84" s="11" t="n">
        <v>0.01378643592188733</v>
      </c>
    </row>
    <row r="85">
      <c r="A85" s="3" t="inlineStr">
        <is>
          <t>2018-T4</t>
        </is>
      </c>
      <c r="B85" s="13" t="n">
        <v>43465</v>
      </c>
      <c r="C85" s="14" t="n">
        <v>65.34</v>
      </c>
      <c r="D85" s="14" t="n">
        <v>5.3</v>
      </c>
      <c r="E85" s="14" t="n">
        <v>4.12</v>
      </c>
      <c r="F85" s="5" t="n">
        <v>0.0269</v>
      </c>
      <c r="G85" s="5" t="n">
        <v>0.02147328577667773</v>
      </c>
      <c r="H85" s="5" t="n">
        <v>0.0516</v>
      </c>
      <c r="I85" s="15">
        <f>IFERROR(C85/D85,"")</f>
        <v/>
      </c>
      <c r="J85" s="9">
        <f>IFERROR(D85/C85,"")</f>
        <v/>
      </c>
      <c r="K85" s="9">
        <f>IFERROR(E85/C85,"")</f>
        <v/>
      </c>
      <c r="L85" s="9">
        <f>IFERROR(F85-G85,"")</f>
        <v/>
      </c>
      <c r="M85" s="9">
        <f>IFERROR(J85-F85,"")</f>
        <v/>
      </c>
      <c r="N85" s="9">
        <f>IFERROR(J85-L85,"")</f>
        <v/>
      </c>
      <c r="O85" s="9">
        <f>IFERROR(J85-H85,"")</f>
        <v/>
      </c>
      <c r="P85" s="9">
        <f>IFERROR(K85-F85,"")</f>
        <v/>
      </c>
      <c r="Q85" s="7" t="n">
        <v>0.265625</v>
      </c>
      <c r="R85" s="7" t="n">
        <v>0.390625</v>
      </c>
      <c r="S85" s="7" t="n">
        <v>0.3950892857142857</v>
      </c>
      <c r="T85" s="7" t="n">
        <v>0.4174107142857143</v>
      </c>
      <c r="U85" s="7" t="n">
        <v>0.482</v>
      </c>
      <c r="V85" s="7" t="n">
        <v>0.666</v>
      </c>
      <c r="W85" s="7" t="n">
        <v>0.6781914893617021</v>
      </c>
      <c r="X85" s="7" t="n">
        <v>0.4707059270516717</v>
      </c>
      <c r="Y85" s="3">
        <f>IF(X85="","",IF(X85&gt;='Léeme'!$B$6,"barato",IF(X85&lt;'Léeme'!$B$7,"caro","medio")))</f>
        <v/>
      </c>
      <c r="Z85" s="11" t="n">
        <v>0.2752368857355201</v>
      </c>
      <c r="AA85" s="11" t="n">
        <v>0.0494174950059767</v>
      </c>
    </row>
    <row r="86">
      <c r="A86" s="3" t="inlineStr">
        <is>
          <t>2019-T1</t>
        </is>
      </c>
      <c r="B86" s="13" t="n">
        <v>43553</v>
      </c>
      <c r="C86" s="14" t="n">
        <v>78.33</v>
      </c>
      <c r="D86" s="14" t="n">
        <v>5.39</v>
      </c>
      <c r="E86" s="14" t="n">
        <v>4.128</v>
      </c>
      <c r="F86" s="5" t="n">
        <v>0.0241</v>
      </c>
      <c r="G86" s="5" t="n">
        <v>0.01518861535132188</v>
      </c>
      <c r="H86" s="5" t="n">
        <v>0.0466</v>
      </c>
      <c r="I86" s="15">
        <f>IFERROR(C86/D86,"")</f>
        <v/>
      </c>
      <c r="J86" s="9">
        <f>IFERROR(D86/C86,"")</f>
        <v/>
      </c>
      <c r="K86" s="9">
        <f>IFERROR(E86/C86,"")</f>
        <v/>
      </c>
      <c r="L86" s="9">
        <f>IFERROR(F86-G86,"")</f>
        <v/>
      </c>
      <c r="M86" s="9">
        <f>IFERROR(J86-F86,"")</f>
        <v/>
      </c>
      <c r="N86" s="9">
        <f>IFERROR(J86-L86,"")</f>
        <v/>
      </c>
      <c r="O86" s="9">
        <f>IFERROR(J86-H86,"")</f>
        <v/>
      </c>
      <c r="P86" s="9">
        <f>IFERROR(K86-F86,"")</f>
        <v/>
      </c>
      <c r="Q86" s="7" t="n">
        <v>0.1079295154185022</v>
      </c>
      <c r="R86" s="7" t="n">
        <v>0.1607929515418502</v>
      </c>
      <c r="S86" s="7" t="n">
        <v>0.1475770925110132</v>
      </c>
      <c r="T86" s="7" t="n">
        <v>0.1828193832599119</v>
      </c>
      <c r="U86" s="7" t="n">
        <v>0.08102766798418973</v>
      </c>
      <c r="V86" s="7" t="n">
        <v>0.4011857707509882</v>
      </c>
      <c r="W86" s="7" t="n">
        <v>0.2853403141361257</v>
      </c>
      <c r="X86" s="7" t="n">
        <v>0.1952389565146544</v>
      </c>
      <c r="Y86" s="3">
        <f>IF(X86="","",IF(X86&gt;='Léeme'!$B$6,"barato",IF(X86&lt;'Léeme'!$B$7,"caro","medio")))</f>
        <v/>
      </c>
      <c r="Z86" s="11" t="n">
        <v>-0.2064285970832118</v>
      </c>
      <c r="AA86" s="11" t="n">
        <v>-0.01520916575974218</v>
      </c>
    </row>
    <row r="87">
      <c r="A87" s="3" t="inlineStr">
        <is>
          <t>2019-T2</t>
        </is>
      </c>
      <c r="B87" s="13" t="n">
        <v>43644</v>
      </c>
      <c r="C87" s="14" t="n">
        <v>81.18000000000001</v>
      </c>
      <c r="D87" s="14" t="n">
        <v>5.39</v>
      </c>
      <c r="E87" s="14" t="n">
        <v>4.136</v>
      </c>
      <c r="F87" s="5" t="n">
        <v>0.02</v>
      </c>
      <c r="G87" s="5" t="n">
        <v>0.01795910555360614</v>
      </c>
      <c r="H87" s="5" t="n">
        <v>0.0432</v>
      </c>
      <c r="I87" s="15">
        <f>IFERROR(C87/D87,"")</f>
        <v/>
      </c>
      <c r="J87" s="9">
        <f>IFERROR(D87/C87,"")</f>
        <v/>
      </c>
      <c r="K87" s="9">
        <f>IFERROR(E87/C87,"")</f>
        <v/>
      </c>
      <c r="L87" s="9">
        <f>IFERROR(F87-G87,"")</f>
        <v/>
      </c>
      <c r="M87" s="9">
        <f>IFERROR(J87-F87,"")</f>
        <v/>
      </c>
      <c r="N87" s="9">
        <f>IFERROR(J87-L87,"")</f>
        <v/>
      </c>
      <c r="O87" s="9">
        <f>IFERROR(J87-H87,"")</f>
        <v/>
      </c>
      <c r="P87" s="9">
        <f>IFERROR(K87-F87,"")</f>
        <v/>
      </c>
      <c r="Q87" s="7" t="n">
        <v>0.1021739130434783</v>
      </c>
      <c r="R87" s="7" t="n">
        <v>0.2021739130434783</v>
      </c>
      <c r="S87" s="7" t="n">
        <v>0.2108695652173913</v>
      </c>
      <c r="T87" s="7" t="n">
        <v>0.2282608695652174</v>
      </c>
      <c r="U87" s="7" t="n">
        <v>0.072265625</v>
      </c>
      <c r="V87" s="7" t="n">
        <v>0.482421875</v>
      </c>
      <c r="W87" s="7" t="n">
        <v>0.2139175257731959</v>
      </c>
      <c r="X87" s="7" t="n">
        <v>0.216011898091823</v>
      </c>
      <c r="Y87" s="3">
        <f>IF(X87="","",IF(X87&gt;='Léeme'!$B$6,"barato",IF(X87&lt;'Léeme'!$B$7,"caro","medio")))</f>
        <v/>
      </c>
      <c r="Z87" s="11" t="n">
        <v>-0.1546704083291384</v>
      </c>
      <c r="AA87" s="11" t="n">
        <v>-0.02660939541487528</v>
      </c>
    </row>
    <row r="88">
      <c r="A88" s="3" t="inlineStr">
        <is>
          <t>2019-T3</t>
        </is>
      </c>
      <c r="B88" s="13" t="n">
        <v>43738</v>
      </c>
      <c r="C88" s="14" t="n">
        <v>89.499999</v>
      </c>
      <c r="D88" s="14" t="n">
        <v>5.39</v>
      </c>
      <c r="E88" s="14" t="n">
        <v>4.144</v>
      </c>
      <c r="F88" s="5" t="n">
        <v>0.0168</v>
      </c>
      <c r="G88" s="5" t="n">
        <v>0.01737641210666641</v>
      </c>
      <c r="H88" s="5" t="n">
        <v>0.0388</v>
      </c>
      <c r="I88" s="15">
        <f>IFERROR(C88/D88,"")</f>
        <v/>
      </c>
      <c r="J88" s="9">
        <f>IFERROR(D88/C88,"")</f>
        <v/>
      </c>
      <c r="K88" s="9">
        <f>IFERROR(E88/C88,"")</f>
        <v/>
      </c>
      <c r="L88" s="9">
        <f>IFERROR(F88-G88,"")</f>
        <v/>
      </c>
      <c r="M88" s="9">
        <f>IFERROR(J88-F88,"")</f>
        <v/>
      </c>
      <c r="N88" s="9">
        <f>IFERROR(J88-L88,"")</f>
        <v/>
      </c>
      <c r="O88" s="9">
        <f>IFERROR(J88-H88,"")</f>
        <v/>
      </c>
      <c r="P88" s="9">
        <f>IFERROR(K88-F88,"")</f>
        <v/>
      </c>
      <c r="Q88" s="7" t="n">
        <v>0.05793991416309013</v>
      </c>
      <c r="R88" s="7" t="n">
        <v>0.1437768240343348</v>
      </c>
      <c r="S88" s="7" t="n">
        <v>0.1566523605150215</v>
      </c>
      <c r="T88" s="7" t="n">
        <v>0.1609442060085837</v>
      </c>
      <c r="U88" s="7" t="n">
        <v>0.009652509652509652</v>
      </c>
      <c r="V88" s="7" t="n">
        <v>0.4343629343629344</v>
      </c>
      <c r="W88" s="7" t="n">
        <v>0.149746192893401</v>
      </c>
      <c r="X88" s="7" t="n">
        <v>0.159010705947125</v>
      </c>
      <c r="Y88" s="3">
        <f>IF(X88="","",IF(X88&gt;='Léeme'!$B$6,"barato",IF(X88&lt;'Léeme'!$B$7,"caro","medio")))</f>
        <v/>
      </c>
      <c r="Z88" s="11" t="n">
        <v>-0.2349994554104903</v>
      </c>
      <c r="AA88" s="11" t="n">
        <v>-0.02111170065764634</v>
      </c>
    </row>
    <row r="89">
      <c r="A89" s="3" t="inlineStr">
        <is>
          <t>2019-T4</t>
        </is>
      </c>
      <c r="B89" s="13" t="n">
        <v>43830</v>
      </c>
      <c r="C89" s="14" t="n">
        <v>80.039998</v>
      </c>
      <c r="D89" s="14" t="n">
        <v>5.39</v>
      </c>
      <c r="E89" s="14" t="n">
        <v>4.152</v>
      </c>
      <c r="F89" s="5" t="n">
        <v>0.0192</v>
      </c>
      <c r="G89" s="5" t="n">
        <v>0.02092290394862917</v>
      </c>
      <c r="H89" s="5" t="n">
        <v>0.0387</v>
      </c>
      <c r="I89" s="15">
        <f>IFERROR(C89/D89,"")</f>
        <v/>
      </c>
      <c r="J89" s="9">
        <f>IFERROR(D89/C89,"")</f>
        <v/>
      </c>
      <c r="K89" s="9">
        <f>IFERROR(E89/C89,"")</f>
        <v/>
      </c>
      <c r="L89" s="9">
        <f>IFERROR(F89-G89,"")</f>
        <v/>
      </c>
      <c r="M89" s="9">
        <f>IFERROR(J89-F89,"")</f>
        <v/>
      </c>
      <c r="N89" s="9">
        <f>IFERROR(J89-L89,"")</f>
        <v/>
      </c>
      <c r="O89" s="9">
        <f>IFERROR(J89-H89,"")</f>
        <v/>
      </c>
      <c r="P89" s="9">
        <f>IFERROR(K89-F89,"")</f>
        <v/>
      </c>
      <c r="Q89" s="7" t="n">
        <v>0.125</v>
      </c>
      <c r="R89" s="7" t="n">
        <v>0.2521186440677966</v>
      </c>
      <c r="S89" s="7" t="n">
        <v>0.3072033898305085</v>
      </c>
      <c r="T89" s="7" t="n">
        <v>0.413135593220339</v>
      </c>
      <c r="U89" s="7" t="n">
        <v>0.1011450381679389</v>
      </c>
      <c r="V89" s="7" t="n">
        <v>0.5553435114503816</v>
      </c>
      <c r="W89" s="7" t="n">
        <v>0.2725</v>
      </c>
      <c r="X89" s="7" t="n">
        <v>0.2894923109624235</v>
      </c>
      <c r="Y89" s="3">
        <f>IF(X89="","",IF(X89&gt;='Léeme'!$B$6,"barato",IF(X89&lt;'Léeme'!$B$7,"caro","medio")))</f>
        <v/>
      </c>
      <c r="Z89" s="11" t="n">
        <v>-0.07205607155597116</v>
      </c>
      <c r="AA89" s="11" t="n">
        <v>-0.02502505055957938</v>
      </c>
    </row>
    <row r="90">
      <c r="A90" s="3" t="inlineStr">
        <is>
          <t>2020-T1</t>
        </is>
      </c>
      <c r="B90" s="13" t="n">
        <v>43921</v>
      </c>
      <c r="C90" s="14" t="n">
        <v>58.08</v>
      </c>
      <c r="D90" s="14" t="n">
        <v>5.01</v>
      </c>
      <c r="E90" s="14" t="n">
        <v>4.16</v>
      </c>
      <c r="F90" s="5" t="n">
        <v>0.006999999999999999</v>
      </c>
      <c r="G90" s="5" t="n">
        <v>0.0234131667975952</v>
      </c>
      <c r="H90" s="5" t="n">
        <v>0.0459</v>
      </c>
      <c r="I90" s="15">
        <f>IFERROR(C90/D90,"")</f>
        <v/>
      </c>
      <c r="J90" s="9">
        <f>IFERROR(D90/C90,"")</f>
        <v/>
      </c>
      <c r="K90" s="9">
        <f>IFERROR(E90/C90,"")</f>
        <v/>
      </c>
      <c r="L90" s="9">
        <f>IFERROR(F90-G90,"")</f>
        <v/>
      </c>
      <c r="M90" s="9">
        <f>IFERROR(J90-F90,"")</f>
        <v/>
      </c>
      <c r="N90" s="9">
        <f>IFERROR(J90-L90,"")</f>
        <v/>
      </c>
      <c r="O90" s="9">
        <f>IFERROR(J90-H90,"")</f>
        <v/>
      </c>
      <c r="P90" s="9">
        <f>IFERROR(K90-F90,"")</f>
        <v/>
      </c>
      <c r="Q90" s="7" t="n">
        <v>0.4205020920502092</v>
      </c>
      <c r="R90" s="7" t="n">
        <v>0.8682008368200836</v>
      </c>
      <c r="S90" s="7" t="n">
        <v>0.8430962343096234</v>
      </c>
      <c r="T90" s="7" t="n">
        <v>0.7594142259414226</v>
      </c>
      <c r="U90" s="7" t="n">
        <v>0.7188679245283018</v>
      </c>
      <c r="V90" s="7" t="n">
        <v>0.9943396226415094</v>
      </c>
      <c r="W90" s="7" t="n">
        <v>0.8349753694581281</v>
      </c>
      <c r="X90" s="7" t="n">
        <v>0.7770566151070397</v>
      </c>
      <c r="Y90" s="3">
        <f>IF(X90="","",IF(X90&gt;='Léeme'!$B$6,"barato",IF(X90&lt;'Léeme'!$B$7,"caro","medio")))</f>
        <v/>
      </c>
      <c r="Z90" s="11" t="n">
        <v>0.2793193381998469</v>
      </c>
      <c r="AA90" s="11" t="n">
        <v>0.07000602862398986</v>
      </c>
    </row>
    <row r="91">
      <c r="A91" s="3" t="inlineStr">
        <is>
          <t>2020-T2</t>
        </is>
      </c>
      <c r="B91" s="13" t="n">
        <v>44012</v>
      </c>
      <c r="C91" s="14" t="n">
        <v>67.649998</v>
      </c>
      <c r="D91" s="14" t="n">
        <v>5.05</v>
      </c>
      <c r="E91" s="14" t="n">
        <v>4.168</v>
      </c>
      <c r="F91" s="5" t="n">
        <v>0.0066</v>
      </c>
      <c r="G91" s="5" t="n">
        <v>0.001982013035848551</v>
      </c>
      <c r="H91" s="5" t="n">
        <v>0.0358</v>
      </c>
      <c r="I91" s="15">
        <f>IFERROR(C91/D91,"")</f>
        <v/>
      </c>
      <c r="J91" s="9">
        <f>IFERROR(D91/C91,"")</f>
        <v/>
      </c>
      <c r="K91" s="9">
        <f>IFERROR(E91/C91,"")</f>
        <v/>
      </c>
      <c r="L91" s="9">
        <f>IFERROR(F91-G91,"")</f>
        <v/>
      </c>
      <c r="M91" s="9">
        <f>IFERROR(J91-F91,"")</f>
        <v/>
      </c>
      <c r="N91" s="9">
        <f>IFERROR(J91-L91,"")</f>
        <v/>
      </c>
      <c r="O91" s="9">
        <f>IFERROR(J91-H91,"")</f>
        <v/>
      </c>
      <c r="P91" s="9">
        <f>IFERROR(K91-F91,"")</f>
        <v/>
      </c>
      <c r="Q91" s="7" t="n">
        <v>0.1880165289256198</v>
      </c>
      <c r="R91" s="7" t="n">
        <v>0.7417355371900827</v>
      </c>
      <c r="S91" s="7" t="n">
        <v>0.3119834710743802</v>
      </c>
      <c r="T91" s="7" t="n">
        <v>0.7334710743801653</v>
      </c>
      <c r="U91" s="7" t="n">
        <v>0.4757462686567164</v>
      </c>
      <c r="V91" s="7" t="n">
        <v>0.9645522388059702</v>
      </c>
      <c r="W91" s="7" t="n">
        <v>0.4684466019417476</v>
      </c>
      <c r="X91" s="7" t="n">
        <v>0.5548502458535259</v>
      </c>
      <c r="Y91" s="3">
        <f>IF(X91="","",IF(X91&gt;='Léeme'!$B$6,"barato",IF(X91&lt;'Léeme'!$B$7,"caro","medio")))</f>
        <v/>
      </c>
      <c r="Z91" s="11" t="n">
        <v>0.1567533495467248</v>
      </c>
      <c r="AA91" s="11" t="n">
        <v>0.0352569067140045</v>
      </c>
    </row>
    <row r="92">
      <c r="A92" s="3" t="inlineStr">
        <is>
          <t>2020-T3</t>
        </is>
      </c>
      <c r="B92" s="13" t="n">
        <v>44104</v>
      </c>
      <c r="C92" s="14" t="n">
        <v>65.16000200000001</v>
      </c>
      <c r="D92" s="14" t="n">
        <v>4.97</v>
      </c>
      <c r="E92" s="14" t="n">
        <v>4.176</v>
      </c>
      <c r="F92" s="5" t="n">
        <v>0.0069</v>
      </c>
      <c r="G92" s="5" t="n">
        <v>0.01281069849552385</v>
      </c>
      <c r="H92" s="5" t="n">
        <v>0.034</v>
      </c>
      <c r="I92" s="15">
        <f>IFERROR(C92/D92,"")</f>
        <v/>
      </c>
      <c r="J92" s="9">
        <f>IFERROR(D92/C92,"")</f>
        <v/>
      </c>
      <c r="K92" s="9">
        <f>IFERROR(E92/C92,"")</f>
        <v/>
      </c>
      <c r="L92" s="9">
        <f>IFERROR(F92-G92,"")</f>
        <v/>
      </c>
      <c r="M92" s="9">
        <f>IFERROR(J92-F92,"")</f>
        <v/>
      </c>
      <c r="N92" s="9">
        <f>IFERROR(J92-L92,"")</f>
        <v/>
      </c>
      <c r="O92" s="9">
        <f>IFERROR(J92-H92,"")</f>
        <v/>
      </c>
      <c r="P92" s="9">
        <f>IFERROR(K92-F92,"")</f>
        <v/>
      </c>
      <c r="Q92" s="7" t="n">
        <v>0.2306122448979592</v>
      </c>
      <c r="R92" s="7" t="n">
        <v>0.7612244897959184</v>
      </c>
      <c r="S92" s="7" t="n">
        <v>0.5938775510204082</v>
      </c>
      <c r="T92" s="7" t="n">
        <v>0.7938775510204081</v>
      </c>
      <c r="U92" s="7" t="n">
        <v>0.5479704797047971</v>
      </c>
      <c r="V92" s="7" t="n">
        <v>0.9686346863468634</v>
      </c>
      <c r="W92" s="7" t="n">
        <v>0.5430622009569378</v>
      </c>
      <c r="X92" s="7" t="n">
        <v>0.6341798862490418</v>
      </c>
      <c r="Y92" s="3">
        <f>IF(X92="","",IF(X92&gt;='Léeme'!$B$6,"barato",IF(X92&lt;'Léeme'!$B$7,"caro","medio")))</f>
        <v/>
      </c>
      <c r="Z92" s="11" t="n">
        <v>0.1738532036063769</v>
      </c>
      <c r="AA92" s="11" t="n">
        <v>0.05942748828594158</v>
      </c>
    </row>
    <row r="93">
      <c r="A93" s="3" t="inlineStr">
        <is>
          <t>2020-T4</t>
        </is>
      </c>
      <c r="B93" s="13" t="n">
        <v>44196</v>
      </c>
      <c r="C93" s="14" t="n">
        <v>70.579998</v>
      </c>
      <c r="D93" s="14" t="n">
        <v>4.82</v>
      </c>
      <c r="E93" s="14" t="n">
        <v>4.184</v>
      </c>
      <c r="F93" s="5" t="n">
        <v>0.009300000000000001</v>
      </c>
      <c r="G93" s="5" t="n">
        <v>0.01175745213840584</v>
      </c>
      <c r="H93" s="5" t="n">
        <v>0.0313</v>
      </c>
      <c r="I93" s="15">
        <f>IFERROR(C93/D93,"")</f>
        <v/>
      </c>
      <c r="J93" s="9">
        <f>IFERROR(D93/C93,"")</f>
        <v/>
      </c>
      <c r="K93" s="9">
        <f>IFERROR(E93/C93,"")</f>
        <v/>
      </c>
      <c r="L93" s="9">
        <f>IFERROR(F93-G93,"")</f>
        <v/>
      </c>
      <c r="M93" s="9">
        <f>IFERROR(J93-F93,"")</f>
        <v/>
      </c>
      <c r="N93" s="9">
        <f>IFERROR(J93-L93,"")</f>
        <v/>
      </c>
      <c r="O93" s="9">
        <f>IFERROR(J93-H93,"")</f>
        <v/>
      </c>
      <c r="P93" s="9">
        <f>IFERROR(K93-F93,"")</f>
        <v/>
      </c>
      <c r="Q93" s="7" t="n">
        <v>0.1350806451612903</v>
      </c>
      <c r="R93" s="7" t="n">
        <v>0.5786290322580645</v>
      </c>
      <c r="S93" s="7" t="n">
        <v>0.3125</v>
      </c>
      <c r="T93" s="7" t="n">
        <v>0.6754032258064516</v>
      </c>
      <c r="U93" s="7" t="n">
        <v>0.3631386861313868</v>
      </c>
      <c r="V93" s="7" t="n">
        <v>0.9397810218978102</v>
      </c>
      <c r="W93" s="7" t="n">
        <v>0.3136792452830189</v>
      </c>
      <c r="X93" s="7" t="n">
        <v>0.4740302652197175</v>
      </c>
      <c r="Y93" s="3">
        <f>IF(X93="","",IF(X93&gt;='Léeme'!$B$6,"barato",IF(X93&lt;'Léeme'!$B$7,"caro","medio")))</f>
        <v/>
      </c>
      <c r="Z93" s="11" t="n">
        <v>0.215334559544035</v>
      </c>
      <c r="AA93" s="11" t="n">
        <v>0.03241572222888522</v>
      </c>
    </row>
    <row r="94">
      <c r="A94" s="3" t="inlineStr">
        <is>
          <t>2021-T1</t>
        </is>
      </c>
      <c r="B94" s="13" t="n">
        <v>44286</v>
      </c>
      <c r="C94" s="14" t="n">
        <v>70.76000000000001</v>
      </c>
      <c r="D94" s="14" t="n">
        <v>4.739999999999999</v>
      </c>
      <c r="E94" s="14" t="n">
        <v>4.192</v>
      </c>
      <c r="F94" s="5" t="n">
        <v>0.0174</v>
      </c>
      <c r="G94" s="5" t="n">
        <v>0.01669816779170685</v>
      </c>
      <c r="H94" s="5" t="n">
        <v>0.0377</v>
      </c>
      <c r="I94" s="15">
        <f>IFERROR(C94/D94,"")</f>
        <v/>
      </c>
      <c r="J94" s="9">
        <f>IFERROR(D94/C94,"")</f>
        <v/>
      </c>
      <c r="K94" s="9">
        <f>IFERROR(E94/C94,"")</f>
        <v/>
      </c>
      <c r="L94" s="9">
        <f>IFERROR(F94-G94,"")</f>
        <v/>
      </c>
      <c r="M94" s="9">
        <f>IFERROR(J94-F94,"")</f>
        <v/>
      </c>
      <c r="N94" s="9">
        <f>IFERROR(J94-L94,"")</f>
        <v/>
      </c>
      <c r="O94" s="9">
        <f>IFERROR(J94-H94,"")</f>
        <v/>
      </c>
      <c r="P94" s="9">
        <f>IFERROR(K94-F94,"")</f>
        <v/>
      </c>
      <c r="Q94" s="7" t="n">
        <v>0.1254980079681275</v>
      </c>
      <c r="R94" s="7" t="n">
        <v>0.2888446215139442</v>
      </c>
      <c r="S94" s="7" t="n">
        <v>0.2410358565737052</v>
      </c>
      <c r="T94" s="7" t="n">
        <v>0.4203187250996016</v>
      </c>
      <c r="U94" s="7" t="n">
        <v>0.3592057761732852</v>
      </c>
      <c r="V94" s="7" t="n">
        <v>0.8429602888086642</v>
      </c>
      <c r="W94" s="7" t="n">
        <v>0.2953488372093023</v>
      </c>
      <c r="X94" s="7" t="n">
        <v>0.3676017304780901</v>
      </c>
      <c r="Y94" s="3">
        <f>IF(X94="","",IF(X94&gt;='Léeme'!$B$6,"barato",IF(X94&lt;'Léeme'!$B$7,"caro","medio")))</f>
        <v/>
      </c>
      <c r="Z94" s="11" t="n">
        <v>0.1925030943147013</v>
      </c>
      <c r="AA94" s="11" t="n">
        <v>0.0429955661873398</v>
      </c>
    </row>
    <row r="95">
      <c r="A95" s="3" t="inlineStr">
        <is>
          <t>2021-T2</t>
        </is>
      </c>
      <c r="B95" s="13" t="n">
        <v>44377</v>
      </c>
      <c r="C95" s="14" t="n">
        <v>74.620002</v>
      </c>
      <c r="D95" s="14" t="n">
        <v>4.71</v>
      </c>
      <c r="E95" s="14" t="n">
        <v>4.2</v>
      </c>
      <c r="F95" s="5" t="n">
        <v>0.0145</v>
      </c>
      <c r="G95" s="5" t="n">
        <v>0.04918257089467626</v>
      </c>
      <c r="H95" s="5" t="n">
        <v>0.0336</v>
      </c>
      <c r="I95" s="15">
        <f>IFERROR(C95/D95,"")</f>
        <v/>
      </c>
      <c r="J95" s="9">
        <f>IFERROR(D95/C95,"")</f>
        <v/>
      </c>
      <c r="K95" s="9">
        <f>IFERROR(E95/C95,"")</f>
        <v/>
      </c>
      <c r="L95" s="9">
        <f>IFERROR(F95-G95,"")</f>
        <v/>
      </c>
      <c r="M95" s="9">
        <f>IFERROR(J95-F95,"")</f>
        <v/>
      </c>
      <c r="N95" s="9">
        <f>IFERROR(J95-L95,"")</f>
        <v/>
      </c>
      <c r="O95" s="9">
        <f>IFERROR(J95-H95,"")</f>
        <v/>
      </c>
      <c r="P95" s="9">
        <f>IFERROR(K95-F95,"")</f>
        <v/>
      </c>
      <c r="Q95" s="7" t="n">
        <v>0.09251968503937008</v>
      </c>
      <c r="R95" s="7" t="n">
        <v>0.2539370078740157</v>
      </c>
      <c r="S95" s="7" t="n">
        <v>0.8011811023622047</v>
      </c>
      <c r="T95" s="7" t="n">
        <v>0.4389763779527559</v>
      </c>
      <c r="U95" s="7" t="n">
        <v>0.2553571428571428</v>
      </c>
      <c r="V95" s="7" t="n">
        <v>0.8410714285714286</v>
      </c>
      <c r="W95" s="7" t="n">
        <v>0.231651376146789</v>
      </c>
      <c r="X95" s="7" t="n">
        <v>0.4163848744005296</v>
      </c>
      <c r="Y95" s="3">
        <f>IF(X95="","",IF(X95&gt;='Léeme'!$B$6,"barato",IF(X95&lt;'Léeme'!$B$7,"caro","medio")))</f>
        <v/>
      </c>
      <c r="Z95" s="11" t="n">
        <v>0.1578586540283329</v>
      </c>
      <c r="AA95" s="11" t="n">
        <v>0.04237762396380251</v>
      </c>
    </row>
    <row r="96">
      <c r="A96" s="3" t="inlineStr">
        <is>
          <t>2021-T3</t>
        </is>
      </c>
      <c r="B96" s="13" t="n">
        <v>44469</v>
      </c>
      <c r="C96" s="14" t="n">
        <v>73.039996</v>
      </c>
      <c r="D96" s="14" t="n">
        <v>4.84</v>
      </c>
      <c r="E96" s="14" t="n">
        <v>4.208</v>
      </c>
      <c r="F96" s="5" t="n">
        <v>0.0152</v>
      </c>
      <c r="G96" s="5" t="n">
        <v>0.05152015301793966</v>
      </c>
      <c r="H96" s="5" t="n">
        <v>0.0336</v>
      </c>
      <c r="I96" s="15">
        <f>IFERROR(C96/D96,"")</f>
        <v/>
      </c>
      <c r="J96" s="9">
        <f>IFERROR(D96/C96,"")</f>
        <v/>
      </c>
      <c r="K96" s="9">
        <f>IFERROR(E96/C96,"")</f>
        <v/>
      </c>
      <c r="L96" s="9">
        <f>IFERROR(F96-G96,"")</f>
        <v/>
      </c>
      <c r="M96" s="9">
        <f>IFERROR(J96-F96,"")</f>
        <v/>
      </c>
      <c r="N96" s="9">
        <f>IFERROR(J96-L96,"")</f>
        <v/>
      </c>
      <c r="O96" s="9">
        <f>IFERROR(J96-H96,"")</f>
        <v/>
      </c>
      <c r="P96" s="9">
        <f>IFERROR(K96-F96,"")</f>
        <v/>
      </c>
      <c r="Q96" s="7" t="n">
        <v>0.1342412451361868</v>
      </c>
      <c r="R96" s="7" t="n">
        <v>0.3326848249027237</v>
      </c>
      <c r="S96" s="7" t="n">
        <v>0.8501945525291829</v>
      </c>
      <c r="T96" s="7" t="n">
        <v>0.5739299610894941</v>
      </c>
      <c r="U96" s="7" t="n">
        <v>0.3127208480565371</v>
      </c>
      <c r="V96" s="7" t="n">
        <v>0.8639575971731449</v>
      </c>
      <c r="W96" s="7" t="n">
        <v>0.332579185520362</v>
      </c>
      <c r="X96" s="7" t="n">
        <v>0.4857583163439473</v>
      </c>
      <c r="Y96" s="3">
        <f>IF(X96="","",IF(X96&gt;='Léeme'!$B$6,"barato",IF(X96&lt;'Léeme'!$B$7,"caro","medio")))</f>
        <v/>
      </c>
      <c r="Z96" s="11" t="n">
        <v>-0.00259069865526329</v>
      </c>
      <c r="AA96" s="11" t="n"/>
    </row>
    <row r="97">
      <c r="A97" s="3" t="inlineStr">
        <is>
          <t>2021-T4</t>
        </is>
      </c>
      <c r="B97" s="13" t="n">
        <v>44561</v>
      </c>
      <c r="C97" s="14" t="n">
        <v>82.049999</v>
      </c>
      <c r="D97" s="14" t="n">
        <v>4.93</v>
      </c>
      <c r="E97" s="14" t="n">
        <v>4.22</v>
      </c>
      <c r="F97" s="5" t="n">
        <v>0.0152</v>
      </c>
      <c r="G97" s="5" t="n">
        <v>0.06901970403700863</v>
      </c>
      <c r="H97" s="5" t="n">
        <v>0.0337</v>
      </c>
      <c r="I97" s="15">
        <f>IFERROR(C97/D97,"")</f>
        <v/>
      </c>
      <c r="J97" s="9">
        <f>IFERROR(D97/C97,"")</f>
        <v/>
      </c>
      <c r="K97" s="9">
        <f>IFERROR(E97/C97,"")</f>
        <v/>
      </c>
      <c r="L97" s="9">
        <f>IFERROR(F97-G97,"")</f>
        <v/>
      </c>
      <c r="M97" s="9">
        <f>IFERROR(J97-F97,"")</f>
        <v/>
      </c>
      <c r="N97" s="9">
        <f>IFERROR(J97-L97,"")</f>
        <v/>
      </c>
      <c r="O97" s="9">
        <f>IFERROR(J97-H97,"")</f>
        <v/>
      </c>
      <c r="P97" s="9">
        <f>IFERROR(K97-F97,"")</f>
        <v/>
      </c>
      <c r="Q97" s="7" t="n">
        <v>0.05576923076923077</v>
      </c>
      <c r="R97" s="7" t="n">
        <v>0.1634615384615385</v>
      </c>
      <c r="S97" s="7" t="n">
        <v>0.9326923076923077</v>
      </c>
      <c r="T97" s="7" t="n">
        <v>0.3096153846153846</v>
      </c>
      <c r="U97" s="7" t="n">
        <v>0.09265734265734266</v>
      </c>
      <c r="V97" s="7" t="n">
        <v>0.6311188811188811</v>
      </c>
      <c r="W97" s="7" t="n">
        <v>0.1763392857142857</v>
      </c>
      <c r="X97" s="7" t="n">
        <v>0.3373791387184245</v>
      </c>
      <c r="Y97" s="3">
        <f>IF(X97="","",IF(X97&gt;='Léeme'!$B$6,"barato",IF(X97&lt;'Léeme'!$B$7,"caro","medio")))</f>
        <v/>
      </c>
      <c r="Z97" s="11" t="n">
        <v>-0.005348885971378392</v>
      </c>
      <c r="AA97" s="11" t="n"/>
    </row>
    <row r="98">
      <c r="A98" s="3" t="inlineStr">
        <is>
          <t>2022-T1</t>
        </is>
      </c>
      <c r="B98" s="13" t="n">
        <v>44651</v>
      </c>
      <c r="C98" s="14" t="n">
        <v>80.83999900000001</v>
      </c>
      <c r="D98" s="14" t="n">
        <v>5.03</v>
      </c>
      <c r="E98" s="14" t="n">
        <v>4.228</v>
      </c>
      <c r="F98" s="5" t="n">
        <v>0.0232</v>
      </c>
      <c r="G98" s="5" t="n">
        <v>0.07937278766517819</v>
      </c>
      <c r="H98" s="5" t="n">
        <v>0.0428</v>
      </c>
      <c r="I98" s="15">
        <f>IFERROR(C98/D98,"")</f>
        <v/>
      </c>
      <c r="J98" s="9">
        <f>IFERROR(D98/C98,"")</f>
        <v/>
      </c>
      <c r="K98" s="9">
        <f>IFERROR(E98/C98,"")</f>
        <v/>
      </c>
      <c r="L98" s="9">
        <f>IFERROR(F98-G98,"")</f>
        <v/>
      </c>
      <c r="M98" s="9">
        <f>IFERROR(J98-F98,"")</f>
        <v/>
      </c>
      <c r="N98" s="9">
        <f>IFERROR(J98-L98,"")</f>
        <v/>
      </c>
      <c r="O98" s="9">
        <f>IFERROR(J98-H98,"")</f>
        <v/>
      </c>
      <c r="P98" s="9">
        <f>IFERROR(K98-F98,"")</f>
        <v/>
      </c>
      <c r="Q98" s="7" t="n">
        <v>0.0817490494296578</v>
      </c>
      <c r="R98" s="7" t="n">
        <v>0.0817490494296578</v>
      </c>
      <c r="S98" s="7" t="n">
        <v>0.94106463878327</v>
      </c>
      <c r="T98" s="7" t="n">
        <v>0.1045627376425856</v>
      </c>
      <c r="U98" s="7" t="n">
        <v>0.1124567474048443</v>
      </c>
      <c r="V98" s="7" t="n">
        <v>0.3858131487889274</v>
      </c>
      <c r="W98" s="7" t="n">
        <v>0.2841409691629956</v>
      </c>
      <c r="X98" s="7" t="n">
        <v>0.2845051915202769</v>
      </c>
      <c r="Y98" s="3">
        <f>IF(X98="","",IF(X98&gt;='Léeme'!$B$6,"barato",IF(X98&lt;'Léeme'!$B$7,"caro","medio")))</f>
        <v/>
      </c>
      <c r="Z98" s="11" t="n">
        <v>0.001277932354148525</v>
      </c>
      <c r="AA98" s="11" t="n"/>
    </row>
    <row r="99">
      <c r="A99" s="3" t="inlineStr">
        <is>
          <t>2022-T2</t>
        </is>
      </c>
      <c r="B99" s="13" t="n">
        <v>44742</v>
      </c>
      <c r="C99" s="14" t="n">
        <v>82.86000199999999</v>
      </c>
      <c r="D99" s="14" t="n">
        <v>5.16</v>
      </c>
      <c r="E99" s="14" t="n">
        <v>4.236</v>
      </c>
      <c r="F99" s="5" t="n">
        <v>0.0298</v>
      </c>
      <c r="G99" s="5" t="n">
        <v>0.08538171195642064</v>
      </c>
      <c r="H99" s="5" t="n">
        <v>0.0534</v>
      </c>
      <c r="I99" s="15">
        <f>IFERROR(C99/D99,"")</f>
        <v/>
      </c>
      <c r="J99" s="9">
        <f>IFERROR(D99/C99,"")</f>
        <v/>
      </c>
      <c r="K99" s="9">
        <f>IFERROR(E99/C99,"")</f>
        <v/>
      </c>
      <c r="L99" s="9">
        <f>IFERROR(F99-G99,"")</f>
        <v/>
      </c>
      <c r="M99" s="9">
        <f>IFERROR(J99-F99,"")</f>
        <v/>
      </c>
      <c r="N99" s="9">
        <f>IFERROR(J99-L99,"")</f>
        <v/>
      </c>
      <c r="O99" s="9">
        <f>IFERROR(J99-H99,"")</f>
        <v/>
      </c>
      <c r="P99" s="9">
        <f>IFERROR(K99-F99,"")</f>
        <v/>
      </c>
      <c r="Q99" s="7" t="n">
        <v>0.08834586466165413</v>
      </c>
      <c r="R99" s="7" t="n">
        <v>0.03195488721804511</v>
      </c>
      <c r="S99" s="7" t="n">
        <v>0.9304511278195489</v>
      </c>
      <c r="T99" s="7" t="n">
        <v>0.03947368421052631</v>
      </c>
      <c r="U99" s="7" t="n">
        <v>0.09417808219178082</v>
      </c>
      <c r="V99" s="7" t="n">
        <v>0.1660958904109589</v>
      </c>
      <c r="W99" s="7" t="n">
        <v>0.3673913043478261</v>
      </c>
      <c r="X99" s="7" t="n">
        <v>0.2454129772657629</v>
      </c>
      <c r="Y99" s="3">
        <f>IF(X99="","",IF(X99&gt;='Léeme'!$B$6,"barato",IF(X99&lt;'Léeme'!$B$7,"caro","medio")))</f>
        <v/>
      </c>
      <c r="Z99" s="11" t="n">
        <v>-0.145706382441621</v>
      </c>
      <c r="AA99" s="11" t="n"/>
    </row>
    <row r="100">
      <c r="A100" s="3" t="inlineStr">
        <is>
          <t>2022-T3</t>
        </is>
      </c>
      <c r="B100" s="13" t="n">
        <v>44834</v>
      </c>
      <c r="C100" s="14" t="n">
        <v>69.80000099999999</v>
      </c>
      <c r="D100" s="14" t="n">
        <v>5.2</v>
      </c>
      <c r="E100" s="14" t="n">
        <v>4.244</v>
      </c>
      <c r="F100" s="5" t="n">
        <v>0.0383</v>
      </c>
      <c r="G100" s="5" t="n">
        <v>0.08222579178218825</v>
      </c>
      <c r="H100" s="5" t="n">
        <v>0.0603</v>
      </c>
      <c r="I100" s="15">
        <f>IFERROR(C100/D100,"")</f>
        <v/>
      </c>
      <c r="J100" s="9">
        <f>IFERROR(D100/C100,"")</f>
        <v/>
      </c>
      <c r="K100" s="9">
        <f>IFERROR(E100/C100,"")</f>
        <v/>
      </c>
      <c r="L100" s="9">
        <f>IFERROR(F100-G100,"")</f>
        <v/>
      </c>
      <c r="M100" s="9">
        <f>IFERROR(J100-F100,"")</f>
        <v/>
      </c>
      <c r="N100" s="9">
        <f>IFERROR(J100-L100,"")</f>
        <v/>
      </c>
      <c r="O100" s="9">
        <f>IFERROR(J100-H100,"")</f>
        <v/>
      </c>
      <c r="P100" s="9">
        <f>IFERROR(K100-F100,"")</f>
        <v/>
      </c>
      <c r="Q100" s="7" t="n">
        <v>0.258364312267658</v>
      </c>
      <c r="R100" s="7" t="n">
        <v>0.05762081784386617</v>
      </c>
      <c r="S100" s="7" t="n">
        <v>0.9349442379182156</v>
      </c>
      <c r="T100" s="7" t="n">
        <v>0.06505576208178439</v>
      </c>
      <c r="U100" s="7" t="n">
        <v>0.476271186440678</v>
      </c>
      <c r="V100" s="7" t="n">
        <v>0.2016949152542373</v>
      </c>
      <c r="W100" s="7" t="n">
        <v>0.8347639484978541</v>
      </c>
      <c r="X100" s="7" t="n">
        <v>0.4041021686148991</v>
      </c>
      <c r="Y100" s="3">
        <f>IF(X100="","",IF(X100&gt;='Léeme'!$B$6,"barato",IF(X100&lt;'Léeme'!$B$7,"caro","medio")))</f>
        <v/>
      </c>
      <c r="Z100" s="11" t="n">
        <v>-0.1855422442289625</v>
      </c>
      <c r="AA100" s="11" t="n"/>
    </row>
    <row r="101">
      <c r="A101" s="3" t="inlineStr">
        <is>
          <t>2022-T4</t>
        </is>
      </c>
      <c r="B101" s="13" t="n">
        <v>44925</v>
      </c>
      <c r="C101" s="14" t="n">
        <v>78.149997</v>
      </c>
      <c r="D101" s="14" t="n">
        <v>5.32</v>
      </c>
      <c r="E101" s="14" t="n">
        <v>4.26</v>
      </c>
      <c r="F101" s="5" t="n">
        <v>0.0388</v>
      </c>
      <c r="G101" s="5" t="n">
        <v>0.07122856456533988</v>
      </c>
      <c r="H101" s="5" t="n">
        <v>0.0584</v>
      </c>
      <c r="I101" s="15">
        <f>IFERROR(C101/D101,"")</f>
        <v/>
      </c>
      <c r="J101" s="9">
        <f>IFERROR(D101/C101,"")</f>
        <v/>
      </c>
      <c r="K101" s="9">
        <f>IFERROR(E101/C101,"")</f>
        <v/>
      </c>
      <c r="L101" s="9">
        <f>IFERROR(F101-G101,"")</f>
        <v/>
      </c>
      <c r="M101" s="9">
        <f>IFERROR(J101-F101,"")</f>
        <v/>
      </c>
      <c r="N101" s="9">
        <f>IFERROR(J101-L101,"")</f>
        <v/>
      </c>
      <c r="O101" s="9">
        <f>IFERROR(J101-H101,"")</f>
        <v/>
      </c>
      <c r="P101" s="9">
        <f>IFERROR(K101-F101,"")</f>
        <v/>
      </c>
      <c r="Q101" s="7" t="n">
        <v>0.1930147058823529</v>
      </c>
      <c r="R101" s="7" t="n">
        <v>0.009191176470588236</v>
      </c>
      <c r="S101" s="7" t="n">
        <v>0.7702205882352942</v>
      </c>
      <c r="T101" s="7" t="n">
        <v>0.06066176470588235</v>
      </c>
      <c r="U101" s="7" t="n">
        <v>0.1996644295302013</v>
      </c>
      <c r="V101" s="7" t="n">
        <v>0.09899328859060402</v>
      </c>
      <c r="W101" s="7" t="n">
        <v>0.6334745762711864</v>
      </c>
      <c r="X101" s="7" t="n">
        <v>0.2807457899551585</v>
      </c>
      <c r="Y101" s="3">
        <f>IF(X101="","",IF(X101&gt;='Léeme'!$B$6,"barato",IF(X101&lt;'Léeme'!$B$7,"caro","medio")))</f>
        <v/>
      </c>
      <c r="Z101" s="11" t="n">
        <v>-0.1102617141531026</v>
      </c>
      <c r="AA101" s="11" t="n"/>
    </row>
    <row r="102">
      <c r="A102" s="3" t="inlineStr">
        <is>
          <t>2023-T1</t>
        </is>
      </c>
      <c r="B102" s="13" t="n">
        <v>45016</v>
      </c>
      <c r="C102" s="14" t="n">
        <v>77.44999900000001</v>
      </c>
      <c r="D102" s="14" t="n">
        <v>5.31</v>
      </c>
      <c r="E102" s="14" t="n">
        <v>4.268</v>
      </c>
      <c r="F102" s="5" t="n">
        <v>0.0348</v>
      </c>
      <c r="G102" s="5" t="n">
        <v>0.05957820738137087</v>
      </c>
      <c r="H102" s="5" t="n">
        <v>0.0566</v>
      </c>
      <c r="I102" s="15">
        <f>IFERROR(C102/D102,"")</f>
        <v/>
      </c>
      <c r="J102" s="9">
        <f>IFERROR(D102/C102,"")</f>
        <v/>
      </c>
      <c r="K102" s="9">
        <f>IFERROR(E102/C102,"")</f>
        <v/>
      </c>
      <c r="L102" s="9">
        <f>IFERROR(F102-G102,"")</f>
        <v/>
      </c>
      <c r="M102" s="9">
        <f>IFERROR(J102-F102,"")</f>
        <v/>
      </c>
      <c r="N102" s="9">
        <f>IFERROR(J102-L102,"")</f>
        <v/>
      </c>
      <c r="O102" s="9">
        <f>IFERROR(J102-H102,"")</f>
        <v/>
      </c>
      <c r="P102" s="9">
        <f>IFERROR(K102-F102,"")</f>
        <v/>
      </c>
      <c r="Q102" s="7" t="n">
        <v>0.2090909090909091</v>
      </c>
      <c r="R102" s="7" t="n">
        <v>0.06727272727272728</v>
      </c>
      <c r="S102" s="7" t="n">
        <v>0.7254545454545455</v>
      </c>
      <c r="T102" s="7" t="n">
        <v>0.07454545454545454</v>
      </c>
      <c r="U102" s="7" t="n">
        <v>0.2441860465116279</v>
      </c>
      <c r="V102" s="7" t="n">
        <v>0.181063122923588</v>
      </c>
      <c r="W102" s="7" t="n">
        <v>0.6799163179916318</v>
      </c>
      <c r="X102" s="7" t="n">
        <v>0.3116470176843548</v>
      </c>
      <c r="Y102" s="3">
        <f>IF(X102="","",IF(X102&gt;='Léeme'!$B$6,"barato",IF(X102&lt;'Léeme'!$B$7,"caro","medio")))</f>
        <v/>
      </c>
      <c r="Z102" s="11" t="n">
        <v>-0.2171661225246287</v>
      </c>
      <c r="AA102" s="11" t="n"/>
    </row>
    <row r="103">
      <c r="A103" s="3" t="inlineStr">
        <is>
          <t>2023-T2</t>
        </is>
      </c>
      <c r="B103" s="13" t="n">
        <v>45107</v>
      </c>
      <c r="C103" s="14" t="n">
        <v>67.559997</v>
      </c>
      <c r="D103" s="14" t="n">
        <v>5.27</v>
      </c>
      <c r="E103" s="14" t="n">
        <v>4.276</v>
      </c>
      <c r="F103" s="5" t="n">
        <v>0.0381</v>
      </c>
      <c r="G103" s="5" t="n">
        <v>0.04131851231385042</v>
      </c>
      <c r="H103" s="5" t="n">
        <v>0.05769999999999999</v>
      </c>
      <c r="I103" s="15">
        <f>IFERROR(C103/D103,"")</f>
        <v/>
      </c>
      <c r="J103" s="9">
        <f>IFERROR(D103/C103,"")</f>
        <v/>
      </c>
      <c r="K103" s="9">
        <f>IFERROR(E103/C103,"")</f>
        <v/>
      </c>
      <c r="L103" s="9">
        <f>IFERROR(F103-G103,"")</f>
        <v/>
      </c>
      <c r="M103" s="9">
        <f>IFERROR(J103-F103,"")</f>
        <v/>
      </c>
      <c r="N103" s="9">
        <f>IFERROR(J103-L103,"")</f>
        <v/>
      </c>
      <c r="O103" s="9">
        <f>IFERROR(J103-H103,"")</f>
        <v/>
      </c>
      <c r="P103" s="9">
        <f>IFERROR(K103-F103,"")</f>
        <v/>
      </c>
      <c r="Q103" s="7" t="n">
        <v>0.3399280575539568</v>
      </c>
      <c r="R103" s="7" t="n">
        <v>0.131294964028777</v>
      </c>
      <c r="S103" s="7" t="n">
        <v>0.5269784172661871</v>
      </c>
      <c r="T103" s="7" t="n">
        <v>0.170863309352518</v>
      </c>
      <c r="U103" s="7" t="n">
        <v>0.5674342105263158</v>
      </c>
      <c r="V103" s="7" t="n">
        <v>0.28125</v>
      </c>
      <c r="W103" s="7" t="n">
        <v>0.8946280991735537</v>
      </c>
      <c r="X103" s="7" t="n">
        <v>0.4160538654144726</v>
      </c>
      <c r="Y103" s="3">
        <f>IF(X103="","",IF(X103&gt;='Léeme'!$B$6,"barato",IF(X103&lt;'Léeme'!$B$7,"caro","medio")))</f>
        <v/>
      </c>
      <c r="Z103" s="11" t="n">
        <v>-0.1246850454612008</v>
      </c>
      <c r="AA103" s="11" t="n"/>
    </row>
    <row r="104">
      <c r="A104" s="3" t="inlineStr">
        <is>
          <t>2023-T3</t>
        </is>
      </c>
      <c r="B104" s="13" t="n">
        <v>45198</v>
      </c>
      <c r="C104" s="14" t="n">
        <v>54.079999</v>
      </c>
      <c r="D104" s="14" t="n">
        <v>5.32</v>
      </c>
      <c r="E104" s="14" t="n">
        <v>4.284</v>
      </c>
      <c r="F104" s="5" t="n">
        <v>0.0459</v>
      </c>
      <c r="G104" s="5" t="n">
        <v>0.03722504803505289</v>
      </c>
      <c r="H104" s="5" t="n">
        <v>0.0639</v>
      </c>
      <c r="I104" s="15">
        <f>IFERROR(C104/D104,"")</f>
        <v/>
      </c>
      <c r="J104" s="9">
        <f>IFERROR(D104/C104,"")</f>
        <v/>
      </c>
      <c r="K104" s="9">
        <f>IFERROR(E104/C104,"")</f>
        <v/>
      </c>
      <c r="L104" s="9">
        <f>IFERROR(F104-G104,"")</f>
        <v/>
      </c>
      <c r="M104" s="9">
        <f>IFERROR(J104-F104,"")</f>
        <v/>
      </c>
      <c r="N104" s="9">
        <f>IFERROR(J104-L104,"")</f>
        <v/>
      </c>
      <c r="O104" s="9">
        <f>IFERROR(J104-H104,"")</f>
        <v/>
      </c>
      <c r="P104" s="9">
        <f>IFERROR(K104-F104,"")</f>
        <v/>
      </c>
      <c r="Q104" s="7" t="n">
        <v>0.6601423487544484</v>
      </c>
      <c r="R104" s="7" t="n">
        <v>0.4395017793594306</v>
      </c>
      <c r="S104" s="7" t="n">
        <v>0.6814946619217082</v>
      </c>
      <c r="T104" s="7" t="n">
        <v>0.6459074733096085</v>
      </c>
      <c r="U104" s="7" t="n">
        <v>0.8452768729641694</v>
      </c>
      <c r="V104" s="7" t="n">
        <v>0.5586319218241043</v>
      </c>
      <c r="W104" s="7" t="n">
        <v>0.9816326530612245</v>
      </c>
      <c r="X104" s="7" t="n">
        <v>0.6875125301706706</v>
      </c>
      <c r="Y104" s="3">
        <f>IF(X104="","",IF(X104&gt;='Léeme'!$B$6,"barato",IF(X104&lt;'Léeme'!$B$7,"caro","medio")))</f>
        <v/>
      </c>
      <c r="Z104" s="11" t="n">
        <v>0.2270214692360752</v>
      </c>
      <c r="AA104" s="11" t="n"/>
    </row>
    <row r="105">
      <c r="A105" s="3" t="inlineStr">
        <is>
          <t>2023-T4</t>
        </is>
      </c>
      <c r="B105" s="13" t="n">
        <v>45289</v>
      </c>
      <c r="C105" s="14" t="n">
        <v>64.80999799999999</v>
      </c>
      <c r="D105" s="14" t="n">
        <v>5.28</v>
      </c>
      <c r="E105" s="14" t="n">
        <v>3.44</v>
      </c>
      <c r="F105" s="5" t="n">
        <v>0.0388</v>
      </c>
      <c r="G105" s="5" t="n">
        <v>0.03133346274591187</v>
      </c>
      <c r="H105" s="5" t="n">
        <v>0.0546</v>
      </c>
      <c r="I105" s="15">
        <f>IFERROR(C105/D105,"")</f>
        <v/>
      </c>
      <c r="J105" s="9">
        <f>IFERROR(D105/C105,"")</f>
        <v/>
      </c>
      <c r="K105" s="9">
        <f>IFERROR(E105/C105,"")</f>
        <v/>
      </c>
      <c r="L105" s="9">
        <f>IFERROR(F105-G105,"")</f>
        <v/>
      </c>
      <c r="M105" s="9">
        <f>IFERROR(J105-F105,"")</f>
        <v/>
      </c>
      <c r="N105" s="9">
        <f>IFERROR(J105-L105,"")</f>
        <v/>
      </c>
      <c r="O105" s="9">
        <f>IFERROR(J105-H105,"")</f>
        <v/>
      </c>
      <c r="P105" s="9">
        <f>IFERROR(K105-F105,"")</f>
        <v/>
      </c>
      <c r="Q105" s="7" t="n">
        <v>0.4031690140845071</v>
      </c>
      <c r="R105" s="7" t="n">
        <v>0.1813380281690141</v>
      </c>
      <c r="S105" s="7" t="n">
        <v>0.3785211267605634</v>
      </c>
      <c r="T105" s="7" t="n">
        <v>0.3785211267605634</v>
      </c>
      <c r="U105" s="7" t="n">
        <v>0.15</v>
      </c>
      <c r="V105" s="7" t="n">
        <v>0.07580645161290323</v>
      </c>
      <c r="W105" s="7" t="n">
        <v>0.9173387096774194</v>
      </c>
      <c r="X105" s="7" t="n">
        <v>0.3549563510092815</v>
      </c>
      <c r="Y105" s="3">
        <f>IF(X105="","",IF(X105&gt;='Léeme'!$B$6,"barato",IF(X105&lt;'Léeme'!$B$7,"caro","medio")))</f>
        <v/>
      </c>
      <c r="Z105" s="11" t="n">
        <v>-0.1280739742650088</v>
      </c>
      <c r="AA105" s="11" t="n"/>
    </row>
    <row r="106">
      <c r="A106" s="3" t="inlineStr">
        <is>
          <t>2024-T1</t>
        </is>
      </c>
      <c r="B106" s="13" t="n">
        <v>45379</v>
      </c>
      <c r="C106" s="14" t="n">
        <v>56.439999</v>
      </c>
      <c r="D106" s="14" t="n">
        <v>5.18</v>
      </c>
      <c r="E106" s="14" t="n">
        <v>3.46</v>
      </c>
      <c r="F106" s="5" t="n">
        <v>0.042</v>
      </c>
      <c r="G106" s="5" t="n">
        <v>0.03157074141648697</v>
      </c>
      <c r="H106" s="5" t="n">
        <v>0.0574</v>
      </c>
      <c r="I106" s="15">
        <f>IFERROR(C106/D106,"")</f>
        <v/>
      </c>
      <c r="J106" s="9">
        <f>IFERROR(D106/C106,"")</f>
        <v/>
      </c>
      <c r="K106" s="9">
        <f>IFERROR(E106/C106,"")</f>
        <v/>
      </c>
      <c r="L106" s="9">
        <f>IFERROR(F106-G106,"")</f>
        <v/>
      </c>
      <c r="M106" s="9">
        <f>IFERROR(J106-F106,"")</f>
        <v/>
      </c>
      <c r="N106" s="9">
        <f>IFERROR(J106-L106,"")</f>
        <v/>
      </c>
      <c r="O106" s="9">
        <f>IFERROR(J106-H106,"")</f>
        <v/>
      </c>
      <c r="P106" s="9">
        <f>IFERROR(K106-F106,"")</f>
        <v/>
      </c>
      <c r="Q106" s="7" t="n">
        <v>0.5627177700348432</v>
      </c>
      <c r="R106" s="7" t="n">
        <v>0.367595818815331</v>
      </c>
      <c r="S106" s="7" t="n">
        <v>0.5418118466898955</v>
      </c>
      <c r="T106" s="7" t="n">
        <v>0.6463414634146342</v>
      </c>
      <c r="U106" s="7" t="n">
        <v>0.5063897763578274</v>
      </c>
      <c r="V106" s="7" t="n">
        <v>0.1677316293929713</v>
      </c>
      <c r="W106" s="7" t="n">
        <v>0.954183266932271</v>
      </c>
      <c r="X106" s="7" t="n">
        <v>0.535253081662539</v>
      </c>
      <c r="Y106" s="3">
        <f>IF(X106="","",IF(X106&gt;='Léeme'!$B$6,"barato",IF(X106&lt;'Léeme'!$B$7,"caro","medio")))</f>
        <v/>
      </c>
      <c r="Z106" s="11" t="n">
        <v>0.1522998851829505</v>
      </c>
      <c r="AA106" s="11" t="n"/>
    </row>
    <row r="107">
      <c r="A107" s="3" t="inlineStr">
        <is>
          <t>2024-T2</t>
        </is>
      </c>
      <c r="B107" s="13" t="n">
        <v>45471</v>
      </c>
      <c r="C107" s="14" t="n">
        <v>55.049999</v>
      </c>
      <c r="D107" s="14" t="n">
        <v>5.01</v>
      </c>
      <c r="E107" s="14" t="n">
        <v>3.48</v>
      </c>
      <c r="F107" s="5" t="n">
        <v>0.0436</v>
      </c>
      <c r="G107" s="5" t="n">
        <v>0.03244278584003113</v>
      </c>
      <c r="H107" s="5" t="n">
        <v>0.0584</v>
      </c>
      <c r="I107" s="15">
        <f>IFERROR(C107/D107,"")</f>
        <v/>
      </c>
      <c r="J107" s="9">
        <f>IFERROR(D107/C107,"")</f>
        <v/>
      </c>
      <c r="K107" s="9">
        <f>IFERROR(E107/C107,"")</f>
        <v/>
      </c>
      <c r="L107" s="9">
        <f>IFERROR(F107-G107,"")</f>
        <v/>
      </c>
      <c r="M107" s="9">
        <f>IFERROR(J107-F107,"")</f>
        <v/>
      </c>
      <c r="N107" s="9">
        <f>IFERROR(J107-L107,"")</f>
        <v/>
      </c>
      <c r="O107" s="9">
        <f>IFERROR(J107-H107,"")</f>
        <v/>
      </c>
      <c r="P107" s="9">
        <f>IFERROR(K107-F107,"")</f>
        <v/>
      </c>
      <c r="Q107" s="7" t="n">
        <v>0.55</v>
      </c>
      <c r="R107" s="7" t="n">
        <v>0.2879310344827586</v>
      </c>
      <c r="S107" s="7" t="n">
        <v>0.5189655172413793</v>
      </c>
      <c r="T107" s="7" t="n">
        <v>0.6086206896551725</v>
      </c>
      <c r="U107" s="7" t="n">
        <v>0.5585443037974683</v>
      </c>
      <c r="V107" s="7" t="n">
        <v>0.185126582278481</v>
      </c>
      <c r="W107" s="7" t="n">
        <v>0.9389763779527559</v>
      </c>
      <c r="X107" s="7" t="n">
        <v>0.5211663579154308</v>
      </c>
      <c r="Y107" s="3">
        <f>IF(X107="","",IF(X107&gt;='Léeme'!$B$6,"barato",IF(X107&lt;'Léeme'!$B$7,"caro","medio")))</f>
        <v/>
      </c>
      <c r="Z107" s="11" t="n">
        <v>0.1830060029640208</v>
      </c>
      <c r="AA107" s="11" t="n"/>
    </row>
    <row r="108">
      <c r="A108" s="3" t="inlineStr">
        <is>
          <t>2024-T3</t>
        </is>
      </c>
      <c r="B108" s="13" t="n">
        <v>45565</v>
      </c>
      <c r="C108" s="14" t="n">
        <v>62.299999</v>
      </c>
      <c r="D108" s="14" t="n">
        <v>4.819999999999999</v>
      </c>
      <c r="E108" s="14" t="n">
        <v>3.5</v>
      </c>
      <c r="F108" s="5" t="n">
        <v>0.0381</v>
      </c>
      <c r="G108" s="5" t="n">
        <v>0.02607144490692037</v>
      </c>
      <c r="H108" s="5" t="n">
        <v>0.0541</v>
      </c>
      <c r="I108" s="15">
        <f>IFERROR(C108/D108,"")</f>
        <v/>
      </c>
      <c r="J108" s="9">
        <f>IFERROR(D108/C108,"")</f>
        <v/>
      </c>
      <c r="K108" s="9">
        <f>IFERROR(E108/C108,"")</f>
        <v/>
      </c>
      <c r="L108" s="9">
        <f>IFERROR(F108-G108,"")</f>
        <v/>
      </c>
      <c r="M108" s="9">
        <f>IFERROR(J108-F108,"")</f>
        <v/>
      </c>
      <c r="N108" s="9">
        <f>IFERROR(J108-L108,"")</f>
        <v/>
      </c>
      <c r="O108" s="9">
        <f>IFERROR(J108-H108,"")</f>
        <v/>
      </c>
      <c r="P108" s="9">
        <f>IFERROR(K108-F108,"")</f>
        <v/>
      </c>
      <c r="Q108" s="7" t="n">
        <v>0.3122866894197952</v>
      </c>
      <c r="R108" s="7" t="n">
        <v>0.1245733788395904</v>
      </c>
      <c r="S108" s="7" t="n">
        <v>0.1996587030716724</v>
      </c>
      <c r="T108" s="7" t="n">
        <v>0.257679180887372</v>
      </c>
      <c r="U108" s="7" t="n">
        <v>0.2836990595611285</v>
      </c>
      <c r="V108" s="7" t="n">
        <v>0.1489028213166144</v>
      </c>
      <c r="W108" s="7" t="n">
        <v>0.8190661478599222</v>
      </c>
      <c r="X108" s="7" t="n">
        <v>0.3065522829937278</v>
      </c>
      <c r="Y108" s="3">
        <f>IF(X108="","",IF(X108&gt;='Léeme'!$B$6,"barato",IF(X108&lt;'Léeme'!$B$7,"caro","medio")))</f>
        <v/>
      </c>
      <c r="Z108" s="11" t="n">
        <v>0.1359317611580262</v>
      </c>
      <c r="AA108" s="11" t="n"/>
    </row>
    <row r="109">
      <c r="A109" s="3" t="inlineStr">
        <is>
          <t>2024-T4</t>
        </is>
      </c>
      <c r="B109" s="13" t="n">
        <v>45657</v>
      </c>
      <c r="C109" s="14" t="n">
        <v>54.48</v>
      </c>
      <c r="D109" s="14" t="n">
        <v>4.68</v>
      </c>
      <c r="E109" s="14" t="n">
        <v>3.52</v>
      </c>
      <c r="F109" s="5" t="n">
        <v>0.0458</v>
      </c>
      <c r="G109" s="5" t="n">
        <v>0.02719472461284833</v>
      </c>
      <c r="H109" s="5" t="n">
        <v>0.05980000000000001</v>
      </c>
      <c r="I109" s="15">
        <f>IFERROR(C109/D109,"")</f>
        <v/>
      </c>
      <c r="J109" s="9">
        <f>IFERROR(D109/C109,"")</f>
        <v/>
      </c>
      <c r="K109" s="9">
        <f>IFERROR(E109/C109,"")</f>
        <v/>
      </c>
      <c r="L109" s="9">
        <f>IFERROR(F109-G109,"")</f>
        <v/>
      </c>
      <c r="M109" s="9">
        <f>IFERROR(J109-F109,"")</f>
        <v/>
      </c>
      <c r="N109" s="9">
        <f>IFERROR(J109-L109,"")</f>
        <v/>
      </c>
      <c r="O109" s="9">
        <f>IFERROR(J109-H109,"")</f>
        <v/>
      </c>
      <c r="P109" s="9">
        <f>IFERROR(K109-F109,"")</f>
        <v/>
      </c>
      <c r="Q109" s="7" t="n">
        <v>0.4983108108108108</v>
      </c>
      <c r="R109" s="7" t="n">
        <v>0.1368243243243243</v>
      </c>
      <c r="S109" s="7" t="n">
        <v>0.2280405405405405</v>
      </c>
      <c r="T109" s="7" t="n">
        <v>0.339527027027027</v>
      </c>
      <c r="U109" s="7" t="n">
        <v>0.6164596273291926</v>
      </c>
      <c r="V109" s="7" t="n">
        <v>0.156832298136646</v>
      </c>
      <c r="W109" s="7" t="n">
        <v>0.9057692307692308</v>
      </c>
      <c r="X109" s="7" t="n">
        <v>0.4116805512768246</v>
      </c>
      <c r="Y109" s="3">
        <f>IF(X109="","",IF(X109&gt;='Léeme'!$B$6,"barato",IF(X109&lt;'Léeme'!$B$7,"caro","medio")))</f>
        <v/>
      </c>
      <c r="Z109" s="11" t="n">
        <v>0.235456606770974</v>
      </c>
      <c r="AA109" s="11" t="n"/>
    </row>
    <row r="110">
      <c r="A110" s="3" t="inlineStr">
        <is>
          <t>2025-T1</t>
        </is>
      </c>
      <c r="B110" s="13" t="n">
        <v>45747</v>
      </c>
      <c r="C110" s="14" t="n">
        <v>63.110001</v>
      </c>
      <c r="D110" s="14" t="n">
        <v>4.699999999999999</v>
      </c>
      <c r="E110" s="14" t="n">
        <v>3.56</v>
      </c>
      <c r="F110" s="5" t="n">
        <v>0.0423</v>
      </c>
      <c r="G110" s="5" t="n">
        <v>0.02801583447761335</v>
      </c>
      <c r="H110" s="5" t="n">
        <v>0.06</v>
      </c>
      <c r="I110" s="15">
        <f>IFERROR(C110/D110,"")</f>
        <v/>
      </c>
      <c r="J110" s="9">
        <f>IFERROR(D110/C110,"")</f>
        <v/>
      </c>
      <c r="K110" s="9">
        <f>IFERROR(E110/C110,"")</f>
        <v/>
      </c>
      <c r="L110" s="9">
        <f>IFERROR(F110-G110,"")</f>
        <v/>
      </c>
      <c r="M110" s="9">
        <f>IFERROR(J110-F110,"")</f>
        <v/>
      </c>
      <c r="N110" s="9">
        <f>IFERROR(J110-L110,"")</f>
        <v/>
      </c>
      <c r="O110" s="9">
        <f>IFERROR(J110-H110,"")</f>
        <v/>
      </c>
      <c r="P110" s="9">
        <f>IFERROR(K110-F110,"")</f>
        <v/>
      </c>
      <c r="Q110" s="7" t="n">
        <v>0.2591973244147157</v>
      </c>
      <c r="R110" s="7" t="n">
        <v>0.05183946488294314</v>
      </c>
      <c r="S110" s="7" t="n">
        <v>0.1220735785953177</v>
      </c>
      <c r="T110" s="7" t="n">
        <v>0.08193979933110368</v>
      </c>
      <c r="U110" s="7" t="n">
        <v>0.2969230769230769</v>
      </c>
      <c r="V110" s="7" t="n">
        <v>0.07538461538461538</v>
      </c>
      <c r="W110" s="7" t="n">
        <v>0.6520912547528517</v>
      </c>
      <c r="X110" s="7" t="n">
        <v>0.2199213020406606</v>
      </c>
      <c r="Y110" s="3">
        <f>IF(X110="","",IF(X110&gt;='Léeme'!$B$6,"barato",IF(X110&lt;'Léeme'!$B$7,"caro","medio")))</f>
        <v/>
      </c>
      <c r="Z110" s="11" t="n">
        <v>0.1257971707983936</v>
      </c>
      <c r="AA110" s="11" t="n"/>
    </row>
    <row r="111">
      <c r="A111" s="3" t="inlineStr">
        <is>
          <t>2025-T2</t>
        </is>
      </c>
      <c r="B111" s="13" t="n">
        <v>45838</v>
      </c>
      <c r="C111" s="14" t="n">
        <v>62.380001</v>
      </c>
      <c r="D111" s="14" t="n">
        <v>4.73</v>
      </c>
      <c r="E111" s="14" t="n">
        <v>3.6</v>
      </c>
      <c r="F111" s="5" t="n">
        <v>0.0424</v>
      </c>
      <c r="G111" s="5" t="n">
        <v>0.02377265107368087</v>
      </c>
      <c r="H111" s="5" t="n">
        <v>0.0608</v>
      </c>
      <c r="I111" s="15">
        <f>IFERROR(C111/D111,"")</f>
        <v/>
      </c>
      <c r="J111" s="9">
        <f>IFERROR(D111/C111,"")</f>
        <v/>
      </c>
      <c r="K111" s="9">
        <f>IFERROR(E111/C111,"")</f>
        <v/>
      </c>
      <c r="L111" s="9">
        <f>IFERROR(F111-G111,"")</f>
        <v/>
      </c>
      <c r="M111" s="9">
        <f>IFERROR(J111-F111,"")</f>
        <v/>
      </c>
      <c r="N111" s="9">
        <f>IFERROR(J111-L111,"")</f>
        <v/>
      </c>
      <c r="O111" s="9">
        <f>IFERROR(J111-H111,"")</f>
        <v/>
      </c>
      <c r="P111" s="9">
        <f>IFERROR(K111-F111,"")</f>
        <v/>
      </c>
      <c r="Q111" s="7" t="n">
        <v>0.2897350993377483</v>
      </c>
      <c r="R111" s="7" t="n">
        <v>0.07119205298013245</v>
      </c>
      <c r="S111" s="7" t="n">
        <v>0.09105960264900662</v>
      </c>
      <c r="T111" s="7" t="n">
        <v>0.1009933774834437</v>
      </c>
      <c r="U111" s="7" t="n">
        <v>0.3490853658536585</v>
      </c>
      <c r="V111" s="7" t="n">
        <v>0.1021341463414634</v>
      </c>
      <c r="W111" s="7" t="n">
        <v>0.693609022556391</v>
      </c>
      <c r="X111" s="7" t="n">
        <v>0.2425440953145491</v>
      </c>
      <c r="Y111" s="3">
        <f>IF(X111="","",IF(X111&gt;='Léeme'!$B$6,"barato",IF(X111&lt;'Léeme'!$B$7,"caro","medio")))</f>
        <v/>
      </c>
      <c r="Z111" s="11" t="n">
        <v>0.1970863626405268</v>
      </c>
      <c r="AA111" s="11" t="n"/>
    </row>
    <row r="112">
      <c r="A112" s="3" t="inlineStr">
        <is>
          <t>2025-T3</t>
        </is>
      </c>
      <c r="B112" s="13" t="n">
        <v>45930</v>
      </c>
      <c r="C112" s="14" t="n">
        <v>67.56999999999999</v>
      </c>
      <c r="D112" s="14" t="n">
        <v>4.84</v>
      </c>
      <c r="E112" s="14" t="n">
        <v>3.64</v>
      </c>
      <c r="F112" s="5" t="n">
        <v>0.0416</v>
      </c>
      <c r="G112" s="5" t="n">
        <v>0.02938591743031616</v>
      </c>
      <c r="H112" s="5" t="n">
        <v>0.0579</v>
      </c>
      <c r="I112" s="15">
        <f>IFERROR(C112/D112,"")</f>
        <v/>
      </c>
      <c r="J112" s="9">
        <f>IFERROR(D112/C112,"")</f>
        <v/>
      </c>
      <c r="K112" s="9">
        <f>IFERROR(E112/C112,"")</f>
        <v/>
      </c>
      <c r="L112" s="9">
        <f>IFERROR(F112-G112,"")</f>
        <v/>
      </c>
      <c r="M112" s="9">
        <f>IFERROR(J112-F112,"")</f>
        <v/>
      </c>
      <c r="N112" s="9">
        <f>IFERROR(J112-L112,"")</f>
        <v/>
      </c>
      <c r="O112" s="9">
        <f>IFERROR(J112-H112,"")</f>
        <v/>
      </c>
      <c r="P112" s="9">
        <f>IFERROR(K112-F112,"")</f>
        <v/>
      </c>
      <c r="Q112" s="7" t="n">
        <v>0.2278688524590164</v>
      </c>
      <c r="R112" s="7" t="n">
        <v>0.02459016393442623</v>
      </c>
      <c r="S112" s="7" t="n">
        <v>0.1327868852459016</v>
      </c>
      <c r="T112" s="7" t="n">
        <v>0.08360655737704918</v>
      </c>
      <c r="U112" s="7" t="n">
        <v>0.1706948640483384</v>
      </c>
      <c r="V112" s="7" t="n">
        <v>0.04984894259818731</v>
      </c>
      <c r="W112" s="7" t="n">
        <v>0.5148698884758365</v>
      </c>
      <c r="X112" s="7" t="n">
        <v>0.1720380220198222</v>
      </c>
      <c r="Y112" s="3">
        <f>IF(X112="","",IF(X112&gt;='Léeme'!$B$6,"barato",IF(X112&lt;'Léeme'!$B$7,"caro","medio")))</f>
        <v/>
      </c>
      <c r="Z112" s="11" t="n"/>
      <c r="AA112" s="11" t="n"/>
    </row>
    <row r="113">
      <c r="A113" s="3" t="inlineStr">
        <is>
          <t>2025-T4</t>
        </is>
      </c>
      <c r="B113" s="13" t="n">
        <v>46022</v>
      </c>
      <c r="C113" s="14" t="n">
        <v>64.360001</v>
      </c>
      <c r="D113" s="14" t="n">
        <v>4.91</v>
      </c>
      <c r="E113" s="14" t="n">
        <v>3.68</v>
      </c>
      <c r="F113" s="5" t="n">
        <v>0.0418</v>
      </c>
      <c r="G113" s="5" t="n">
        <v>0.02696443916493951</v>
      </c>
      <c r="H113" s="5" t="n">
        <v>0.05889999999999999</v>
      </c>
      <c r="I113" s="15">
        <f>IFERROR(C113/D113,"")</f>
        <v/>
      </c>
      <c r="J113" s="9">
        <f>IFERROR(D113/C113,"")</f>
        <v/>
      </c>
      <c r="K113" s="9">
        <f>IFERROR(E113/C113,"")</f>
        <v/>
      </c>
      <c r="L113" s="9">
        <f>IFERROR(F113-G113,"")</f>
        <v/>
      </c>
      <c r="M113" s="9">
        <f>IFERROR(J113-F113,"")</f>
        <v/>
      </c>
      <c r="N113" s="9">
        <f>IFERROR(J113-L113,"")</f>
        <v/>
      </c>
      <c r="O113" s="9">
        <f>IFERROR(J113-H113,"")</f>
        <v/>
      </c>
      <c r="P113" s="9">
        <f>IFERROR(K113-F113,"")</f>
        <v/>
      </c>
      <c r="Q113" s="7" t="n">
        <v>0.3198051948051948</v>
      </c>
      <c r="R113" s="7" t="n">
        <v>0.09902597402597403</v>
      </c>
      <c r="S113" s="7" t="n">
        <v>0.163961038961039</v>
      </c>
      <c r="T113" s="7" t="n">
        <v>0.1412337662337662</v>
      </c>
      <c r="U113" s="7" t="n">
        <v>0.342814371257485</v>
      </c>
      <c r="V113" s="7" t="n">
        <v>0.124251497005988</v>
      </c>
      <c r="W113" s="7" t="n">
        <v>0.6819852941176471</v>
      </c>
      <c r="X113" s="7" t="n">
        <v>0.2675824480581563</v>
      </c>
      <c r="Y113" s="3">
        <f>IF(X113="","",IF(X113&gt;='Léeme'!$B$6,"barato",IF(X113&lt;'Léeme'!$B$7,"caro","medio")))</f>
        <v/>
      </c>
      <c r="Z113" s="11" t="n"/>
      <c r="AA113" s="11" t="n"/>
    </row>
    <row r="114">
      <c r="A114" s="3" t="inlineStr">
        <is>
          <t>2026-T1</t>
        </is>
      </c>
      <c r="B114" s="13" t="n">
        <v>46112</v>
      </c>
      <c r="C114" s="14" t="n">
        <v>67.959999</v>
      </c>
      <c r="D114" s="14" t="n">
        <v>4.970000000000001</v>
      </c>
      <c r="E114" s="14" t="n">
        <v>3.72</v>
      </c>
      <c r="F114" s="5" t="n">
        <v>0.043</v>
      </c>
      <c r="G114" s="5" t="n">
        <v>0.02434004110373222</v>
      </c>
      <c r="H114" s="5" t="n">
        <v>0.0614</v>
      </c>
      <c r="I114" s="15">
        <f>IFERROR(C114/D114,"")</f>
        <v/>
      </c>
      <c r="J114" s="9">
        <f>IFERROR(D114/C114,"")</f>
        <v/>
      </c>
      <c r="K114" s="9">
        <f>IFERROR(E114/C114,"")</f>
        <v/>
      </c>
      <c r="L114" s="9">
        <f>IFERROR(F114-G114,"")</f>
        <v/>
      </c>
      <c r="M114" s="9">
        <f>IFERROR(J114-F114,"")</f>
        <v/>
      </c>
      <c r="N114" s="9">
        <f>IFERROR(J114-L114,"")</f>
        <v/>
      </c>
      <c r="O114" s="9">
        <f>IFERROR(J114-H114,"")</f>
        <v/>
      </c>
      <c r="P114" s="9">
        <f>IFERROR(K114-F114,"")</f>
        <v/>
      </c>
      <c r="Q114" s="7" t="n">
        <v>0.2556270096463023</v>
      </c>
      <c r="R114" s="7" t="n">
        <v>0.03376205787781351</v>
      </c>
      <c r="S114" s="7" t="n">
        <v>0.06913183279742766</v>
      </c>
      <c r="T114" s="7" t="n">
        <v>0.07234726688102894</v>
      </c>
      <c r="U114" s="7" t="n">
        <v>0.2181008902077151</v>
      </c>
      <c r="V114" s="7" t="n">
        <v>0.05192878338278932</v>
      </c>
      <c r="W114" s="7" t="n">
        <v>0.5727272727272728</v>
      </c>
      <c r="X114" s="7" t="n">
        <v>0.1819464447886214</v>
      </c>
      <c r="Y114" s="3">
        <f>IF(X114="","",IF(X114&gt;='Léeme'!$B$6,"barato",IF(X114&lt;'Léeme'!$B$7,"caro","medio")))</f>
        <v/>
      </c>
      <c r="Z114" s="11" t="n"/>
      <c r="AA114" s="11" t="n"/>
    </row>
    <row r="115">
      <c r="A115" s="3" t="inlineStr">
        <is>
          <t>2026-T2</t>
        </is>
      </c>
      <c r="B115" s="13" t="n">
        <v>46203</v>
      </c>
      <c r="C115" s="14" t="n">
        <v>71.5</v>
      </c>
      <c r="D115" s="14" t="n">
        <v>5.100000000000001</v>
      </c>
      <c r="E115" s="14" t="n">
        <v>3.76</v>
      </c>
      <c r="F115" s="5" t="n">
        <v>0.0444</v>
      </c>
      <c r="G115" s="5" t="n">
        <v>0.04166614684049641</v>
      </c>
      <c r="H115" s="5" t="n">
        <v>0.0593</v>
      </c>
      <c r="I115" s="15">
        <f>IFERROR(C115/D115,"")</f>
        <v/>
      </c>
      <c r="J115" s="9">
        <f>IFERROR(D115/C115,"")</f>
        <v/>
      </c>
      <c r="K115" s="9">
        <f>IFERROR(E115/C115,"")</f>
        <v/>
      </c>
      <c r="L115" s="9">
        <f>IFERROR(F115-G115,"")</f>
        <v/>
      </c>
      <c r="M115" s="9">
        <f>IFERROR(J115-F115,"")</f>
        <v/>
      </c>
      <c r="N115" s="9">
        <f>IFERROR(J115-L115,"")</f>
        <v/>
      </c>
      <c r="O115" s="9">
        <f>IFERROR(J115-H115,"")</f>
        <v/>
      </c>
      <c r="P115" s="9">
        <f>IFERROR(K115-F115,"")</f>
        <v/>
      </c>
      <c r="Q115" s="7" t="n">
        <v>0.2340764331210191</v>
      </c>
      <c r="R115" s="7" t="n">
        <v>0.0143312101910828</v>
      </c>
      <c r="S115" s="7" t="n">
        <v>0.3009554140127388</v>
      </c>
      <c r="T115" s="7" t="n">
        <v>0.08439490445859872</v>
      </c>
      <c r="U115" s="7" t="n">
        <v>0.1279411764705882</v>
      </c>
      <c r="V115" s="7" t="n">
        <v>0.0161764705882353</v>
      </c>
      <c r="W115" s="7" t="n">
        <v>0.4874100719424461</v>
      </c>
      <c r="X115" s="7" t="n">
        <v>0.1807550972549584</v>
      </c>
      <c r="Y115" s="3">
        <f>IF(X115="","",IF(X115&gt;='Léeme'!$B$6,"barato",IF(X115&lt;'Léeme'!$B$7,"caro","medio")))</f>
        <v/>
      </c>
      <c r="Z115" s="11" t="n"/>
      <c r="AA115" s="11" t="n"/>
    </row>
    <row r="116">
      <c r="A116" s="3" t="inlineStr">
        <is>
          <t>2026-T3</t>
        </is>
      </c>
      <c r="B116" s="13" t="n">
        <v>46293</v>
      </c>
      <c r="C116" s="14" t="n">
        <v>65.81999999999999</v>
      </c>
      <c r="D116" s="14" t="n">
        <v>5.16</v>
      </c>
      <c r="E116" s="14" t="n">
        <v>3.76</v>
      </c>
      <c r="F116" s="5" t="n">
        <v>0.0524</v>
      </c>
      <c r="G116" s="5" t="n">
        <v>0.03353016322755642</v>
      </c>
      <c r="H116" s="5" t="n">
        <v>0.0663</v>
      </c>
      <c r="I116" s="15">
        <f>IFERROR(C116/D116,"")</f>
        <v/>
      </c>
      <c r="J116" s="9">
        <f>IFERROR(D116/C116,"")</f>
        <v/>
      </c>
      <c r="K116" s="9">
        <f>IFERROR(E116/C116,"")</f>
        <v/>
      </c>
      <c r="L116" s="9">
        <f>IFERROR(F116-G116,"")</f>
        <v/>
      </c>
      <c r="M116" s="9">
        <f>IFERROR(J116-F116,"")</f>
        <v/>
      </c>
      <c r="N116" s="9">
        <f>IFERROR(J116-L116,"")</f>
        <v/>
      </c>
      <c r="O116" s="9">
        <f>IFERROR(J116-H116,"")</f>
        <v/>
      </c>
      <c r="P116" s="9">
        <f>IFERROR(K116-F116,"")</f>
        <v/>
      </c>
      <c r="Q116" s="7" t="n">
        <v>0.3675078864353312</v>
      </c>
      <c r="R116" s="7" t="n">
        <v>0.0110410094637224</v>
      </c>
      <c r="S116" s="7" t="n">
        <v>0.1498422712933754</v>
      </c>
      <c r="T116" s="7" t="n">
        <v>0.09305993690851735</v>
      </c>
      <c r="U116" s="7" t="n">
        <v>0.3571428571428572</v>
      </c>
      <c r="V116" s="7" t="n">
        <v>0.004373177842565598</v>
      </c>
      <c r="W116" s="7" t="n">
        <v>0.7384341637010676</v>
      </c>
      <c r="X116" s="7" t="n">
        <v>0.2459144718267767</v>
      </c>
      <c r="Y116" s="3">
        <f>IF(X116="","",IF(X116&gt;='Léeme'!$B$6,"barato",IF(X116&lt;'Léeme'!$B$7,"caro","medio")))</f>
        <v/>
      </c>
      <c r="Z116" s="11" t="n"/>
      <c r="AA116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2" t="inlineStr">
        <is>
          <t>Trimestre</t>
        </is>
      </c>
      <c r="B1" s="2" t="inlineStr">
        <is>
          <t>Fecha</t>
        </is>
      </c>
      <c r="C1" s="2" t="inlineStr">
        <is>
          <t>Precio</t>
        </is>
      </c>
      <c r="D1" s="2" t="inlineStr">
        <is>
          <t>Dividendo anualizado</t>
        </is>
      </c>
      <c r="E1" s="2" t="inlineStr">
        <is>
          <t>Flujo por acción, 12 meses</t>
        </is>
      </c>
      <c r="F1" s="2" t="inlineStr">
        <is>
          <t>Treasury 10 años</t>
        </is>
      </c>
      <c r="G1" s="2" t="inlineStr">
        <is>
          <t>Crecimiento del dividendo, 5 años</t>
        </is>
      </c>
      <c r="H1" s="2" t="inlineStr">
        <is>
          <t>Crecimiento del flujo, 5 años (sin acotar)</t>
        </is>
      </c>
      <c r="I1" s="2" t="inlineStr">
        <is>
          <t>NOI anualizado (USD)</t>
        </is>
      </c>
      <c r="J1" s="2" t="inlineStr">
        <is>
          <t>Deuda neta (USD)</t>
        </is>
      </c>
      <c r="K1" s="2" t="inlineStr">
        <is>
          <t>Preferentes (USD)</t>
        </is>
      </c>
      <c r="L1" s="2" t="inlineStr">
        <is>
          <t>Acciones</t>
        </is>
      </c>
      <c r="M1" s="2" t="inlineStr">
        <is>
          <t>Cap rate de compras</t>
        </is>
      </c>
      <c r="N1" s="2" t="inlineStr">
        <is>
          <t>Tasa de descuento r</t>
        </is>
      </c>
      <c r="O1" s="2" t="inlineStr">
        <is>
          <t>g del DDM</t>
        </is>
      </c>
      <c r="P1" s="2" t="inlineStr">
        <is>
          <t>Valor DDM</t>
        </is>
      </c>
      <c r="Q1" s="2" t="inlineStr">
        <is>
          <t>g de los 5 años del DCF</t>
        </is>
      </c>
      <c r="R1" s="2" t="inlineStr">
        <is>
          <t>g perpetuo del DCF</t>
        </is>
      </c>
      <c r="S1" s="2" t="inlineStr">
        <is>
          <t>Valor DCF</t>
        </is>
      </c>
      <c r="T1" s="2" t="inlineStr">
        <is>
          <t>g implícito en el precio</t>
        </is>
      </c>
      <c r="U1" s="2" t="inlineStr">
        <is>
          <t>Entregado − implícito</t>
        </is>
      </c>
      <c r="V1" s="2" t="inlineStr">
        <is>
          <t>NAV por acción</t>
        </is>
      </c>
      <c r="W1" s="2" t="inlineStr">
        <is>
          <t>DDM ÷ precio − 1</t>
        </is>
      </c>
      <c r="X1" s="2" t="inlineStr">
        <is>
          <t>DCF ÷ precio − 1</t>
        </is>
      </c>
      <c r="Y1" s="2" t="inlineStr">
        <is>
          <t>NAV ÷ precio − 1</t>
        </is>
      </c>
      <c r="Z1" s="2" t="inlineStr">
        <is>
          <t>Señal DDM</t>
        </is>
      </c>
      <c r="AA1" s="2" t="inlineStr">
        <is>
          <t>Señal DCF</t>
        </is>
      </c>
      <c r="AB1" s="2" t="inlineStr">
        <is>
          <t>Señal crecimiento</t>
        </is>
      </c>
      <c r="AC1" s="2" t="inlineStr">
        <is>
          <t>Señal NAV</t>
        </is>
      </c>
      <c r="AD1" s="2" t="inlineStr">
        <is>
          <t>Percentil: DDM (Gordon sobre el dividendo)</t>
        </is>
      </c>
      <c r="AE1" s="2" t="inlineStr">
        <is>
          <t>Percentil: DCF del flujo en dos etapas</t>
        </is>
      </c>
      <c r="AF1" s="2" t="inlineStr">
        <is>
          <t>Percentil: Crecimiento entregado contra implícito</t>
        </is>
      </c>
      <c r="AG1" s="2" t="inlineStr">
        <is>
          <t>Percentil: NAV aproximado</t>
        </is>
      </c>
    </row>
    <row r="2">
      <c r="A2" s="3" t="inlineStr">
        <is>
          <t>1992-T1</t>
        </is>
      </c>
      <c r="B2" s="13" t="n">
        <v>33694</v>
      </c>
      <c r="C2" s="14" t="n">
        <v>9.875</v>
      </c>
      <c r="D2" s="14" t="n">
        <v>1.08</v>
      </c>
      <c r="F2" s="5" t="n">
        <v>0.07539999999999999</v>
      </c>
      <c r="N2" s="9">
        <f>IF(F2="","",F2+'Léeme'!$B$10)</f>
        <v/>
      </c>
      <c r="O2" s="9">
        <f>IF(OR(G2="",N2=""),"",MIN(MAX(G2,'Léeme'!$B$11),'Léeme'!$B$12,N2-'Léeme'!$B$16))</f>
        <v/>
      </c>
      <c r="P2" s="16">
        <f>IF(OR(D2="",O2=""),"",IFERROR(IF(D2&lt;=0,"",D2*(1+O2)/(N2-O2)),""))</f>
        <v/>
      </c>
      <c r="Q2" s="9">
        <f>IF(H2="","",MIN(MAX(H2,'Léeme'!$B$13),'Léeme'!$B$14))</f>
        <v/>
      </c>
      <c r="R2" s="9">
        <f>IF(N2="","",MIN('Léeme'!$B$15,N2-'Léeme'!$B$16))</f>
        <v/>
      </c>
      <c r="S2" s="16">
        <f>IF(OR(E2="",Q2=""),"",IFERROR(IF(E2&lt;=0,"",E2*(((1+Q2)/(1+N2))+((1+Q2)/(1+N2))^2+((1+Q2)/(1+N2))^3+((1+Q2)/(1+N2))^4+((1+Q2)/(1+N2))^5)+E2*(1+Q2)^5*(1+R2)/((N2-R2)*(1+N2)^5)),""))</f>
        <v/>
      </c>
      <c r="T2" s="9">
        <f>IF(OR(E2="",N2=""),"",IFERROR((C2*N2-E2)/(C2+E2),""))</f>
        <v/>
      </c>
      <c r="U2" s="9">
        <f>IF(OR(H2="",T2=""),"",IFERROR(MIN(MAX(H2,'Léeme'!$B$17),'Léeme'!$B$18)-T2,""))</f>
        <v/>
      </c>
      <c r="V2" s="16">
        <f>IF(OR(I2="",M2="",L2=""),"",IFERROR((I2/M2-J2-K2)/L2,""))</f>
        <v/>
      </c>
      <c r="W2" s="11">
        <f>IFERROR(P2/C2-1,"")</f>
        <v/>
      </c>
      <c r="X2" s="11">
        <f>IFERROR(S2/C2-1,"")</f>
        <v/>
      </c>
      <c r="Y2" s="11">
        <f>IFERROR(V2/C2-1,"")</f>
        <v/>
      </c>
      <c r="Z2" s="3">
        <f>IF(OR(W2="",ISTEXT(W2)),"sin dato",IF(W2&gt;='Léeme'!$B$19,"barato",IF(W2&lt;=-'Léeme'!$B$19,"caro","medio")))</f>
        <v/>
      </c>
      <c r="AA2" s="3">
        <f>IF(OR(X2="",ISTEXT(X2)),"sin dato",IF(X2&gt;='Léeme'!$B$19,"barato",IF(X2&lt;=-'Léeme'!$B$19,"caro","medio")))</f>
        <v/>
      </c>
      <c r="AB2" s="3">
        <f>IF(OR(U2="",ISTEXT(U2)),"sin dato",IF(U2&gt;='Léeme'!$B$20,"barato",IF(U2&lt;=-'Léeme'!$B$20,"caro","medio")))</f>
        <v/>
      </c>
      <c r="AC2" s="3">
        <f>IF(OR(Y2="",ISTEXT(Y2)),"sin dato",IF(Y2&gt;='Léeme'!$B$19,"barato",IF(Y2&lt;=-'Léeme'!$B$19,"caro","medio")))</f>
        <v/>
      </c>
      <c r="AD2" s="7" t="n"/>
      <c r="AE2" s="7" t="n"/>
      <c r="AF2" s="7" t="n"/>
      <c r="AG2" s="7" t="n"/>
    </row>
    <row r="3">
      <c r="A3" s="3" t="inlineStr">
        <is>
          <t>1992-T2</t>
        </is>
      </c>
      <c r="B3" s="13" t="n">
        <v>33785</v>
      </c>
      <c r="C3" s="14" t="n">
        <v>10</v>
      </c>
      <c r="D3" s="14" t="n">
        <v>1.08</v>
      </c>
      <c r="F3" s="5" t="n">
        <v>0.07139999999999999</v>
      </c>
      <c r="N3" s="9">
        <f>IF(F3="","",F3+'Léeme'!$B$10)</f>
        <v/>
      </c>
      <c r="O3" s="9">
        <f>IF(OR(G3="",N3=""),"",MIN(MAX(G3,'Léeme'!$B$11),'Léeme'!$B$12,N3-'Léeme'!$B$16))</f>
        <v/>
      </c>
      <c r="P3" s="16">
        <f>IF(OR(D3="",O3=""),"",IFERROR(IF(D3&lt;=0,"",D3*(1+O3)/(N3-O3)),""))</f>
        <v/>
      </c>
      <c r="Q3" s="9">
        <f>IF(H3="","",MIN(MAX(H3,'Léeme'!$B$13),'Léeme'!$B$14))</f>
        <v/>
      </c>
      <c r="R3" s="9">
        <f>IF(N3="","",MIN('Léeme'!$B$15,N3-'Léeme'!$B$16))</f>
        <v/>
      </c>
      <c r="S3" s="16">
        <f>IF(OR(E3="",Q3=""),"",IFERROR(IF(E3&lt;=0,"",E3*(((1+Q3)/(1+N3))+((1+Q3)/(1+N3))^2+((1+Q3)/(1+N3))^3+((1+Q3)/(1+N3))^4+((1+Q3)/(1+N3))^5)+E3*(1+Q3)^5*(1+R3)/((N3-R3)*(1+N3)^5)),""))</f>
        <v/>
      </c>
      <c r="T3" s="9">
        <f>IF(OR(E3="",N3=""),"",IFERROR((C3*N3-E3)/(C3+E3),""))</f>
        <v/>
      </c>
      <c r="U3" s="9">
        <f>IF(OR(H3="",T3=""),"",IFERROR(MIN(MAX(H3,'Léeme'!$B$17),'Léeme'!$B$18)-T3,""))</f>
        <v/>
      </c>
      <c r="V3" s="16">
        <f>IF(OR(I3="",M3="",L3=""),"",IFERROR((I3/M3-J3-K3)/L3,""))</f>
        <v/>
      </c>
      <c r="W3" s="11">
        <f>IFERROR(P3/C3-1,"")</f>
        <v/>
      </c>
      <c r="X3" s="11">
        <f>IFERROR(S3/C3-1,"")</f>
        <v/>
      </c>
      <c r="Y3" s="11">
        <f>IFERROR(V3/C3-1,"")</f>
        <v/>
      </c>
      <c r="Z3" s="3">
        <f>IF(OR(W3="",ISTEXT(W3)),"sin dato",IF(W3&gt;='Léeme'!$B$19,"barato",IF(W3&lt;=-'Léeme'!$B$19,"caro","medio")))</f>
        <v/>
      </c>
      <c r="AA3" s="3">
        <f>IF(OR(X3="",ISTEXT(X3)),"sin dato",IF(X3&gt;='Léeme'!$B$19,"barato",IF(X3&lt;=-'Léeme'!$B$19,"caro","medio")))</f>
        <v/>
      </c>
      <c r="AB3" s="3">
        <f>IF(OR(U3="",ISTEXT(U3)),"sin dato",IF(U3&gt;='Léeme'!$B$20,"barato",IF(U3&lt;=-'Léeme'!$B$20,"caro","medio")))</f>
        <v/>
      </c>
      <c r="AC3" s="3">
        <f>IF(OR(Y3="",ISTEXT(Y3)),"sin dato",IF(Y3&gt;='Léeme'!$B$19,"barato",IF(Y3&lt;=-'Léeme'!$B$19,"caro","medio")))</f>
        <v/>
      </c>
      <c r="AD3" s="7" t="n"/>
      <c r="AE3" s="7" t="n"/>
      <c r="AF3" s="7" t="n"/>
      <c r="AG3" s="7" t="n"/>
    </row>
    <row r="4">
      <c r="A4" s="3" t="inlineStr">
        <is>
          <t>1992-T3</t>
        </is>
      </c>
      <c r="B4" s="13" t="n">
        <v>33877</v>
      </c>
      <c r="C4" s="14" t="n">
        <v>11.625</v>
      </c>
      <c r="D4" s="14" t="n">
        <v>1.08</v>
      </c>
      <c r="F4" s="5" t="n">
        <v>0.06370000000000001</v>
      </c>
      <c r="N4" s="9">
        <f>IF(F4="","",F4+'Léeme'!$B$10)</f>
        <v/>
      </c>
      <c r="O4" s="9">
        <f>IF(OR(G4="",N4=""),"",MIN(MAX(G4,'Léeme'!$B$11),'Léeme'!$B$12,N4-'Léeme'!$B$16))</f>
        <v/>
      </c>
      <c r="P4" s="16">
        <f>IF(OR(D4="",O4=""),"",IFERROR(IF(D4&lt;=0,"",D4*(1+O4)/(N4-O4)),""))</f>
        <v/>
      </c>
      <c r="Q4" s="9">
        <f>IF(H4="","",MIN(MAX(H4,'Léeme'!$B$13),'Léeme'!$B$14))</f>
        <v/>
      </c>
      <c r="R4" s="9">
        <f>IF(N4="","",MIN('Léeme'!$B$15,N4-'Léeme'!$B$16))</f>
        <v/>
      </c>
      <c r="S4" s="16">
        <f>IF(OR(E4="",Q4=""),"",IFERROR(IF(E4&lt;=0,"",E4*(((1+Q4)/(1+N4))+((1+Q4)/(1+N4))^2+((1+Q4)/(1+N4))^3+((1+Q4)/(1+N4))^4+((1+Q4)/(1+N4))^5)+E4*(1+Q4)^5*(1+R4)/((N4-R4)*(1+N4)^5)),""))</f>
        <v/>
      </c>
      <c r="T4" s="9">
        <f>IF(OR(E4="",N4=""),"",IFERROR((C4*N4-E4)/(C4+E4),""))</f>
        <v/>
      </c>
      <c r="U4" s="9">
        <f>IF(OR(H4="",T4=""),"",IFERROR(MIN(MAX(H4,'Léeme'!$B$17),'Léeme'!$B$18)-T4,""))</f>
        <v/>
      </c>
      <c r="V4" s="16">
        <f>IF(OR(I4="",M4="",L4=""),"",IFERROR((I4/M4-J4-K4)/L4,""))</f>
        <v/>
      </c>
      <c r="W4" s="11">
        <f>IFERROR(P4/C4-1,"")</f>
        <v/>
      </c>
      <c r="X4" s="11">
        <f>IFERROR(S4/C4-1,"")</f>
        <v/>
      </c>
      <c r="Y4" s="11">
        <f>IFERROR(V4/C4-1,"")</f>
        <v/>
      </c>
      <c r="Z4" s="3">
        <f>IF(OR(W4="",ISTEXT(W4)),"sin dato",IF(W4&gt;='Léeme'!$B$19,"barato",IF(W4&lt;=-'Léeme'!$B$19,"caro","medio")))</f>
        <v/>
      </c>
      <c r="AA4" s="3">
        <f>IF(OR(X4="",ISTEXT(X4)),"sin dato",IF(X4&gt;='Léeme'!$B$19,"barato",IF(X4&lt;=-'Léeme'!$B$19,"caro","medio")))</f>
        <v/>
      </c>
      <c r="AB4" s="3">
        <f>IF(OR(U4="",ISTEXT(U4)),"sin dato",IF(U4&gt;='Léeme'!$B$20,"barato",IF(U4&lt;=-'Léeme'!$B$20,"caro","medio")))</f>
        <v/>
      </c>
      <c r="AC4" s="3">
        <f>IF(OR(Y4="",ISTEXT(Y4)),"sin dato",IF(Y4&gt;='Léeme'!$B$19,"barato",IF(Y4&lt;=-'Léeme'!$B$19,"caro","medio")))</f>
        <v/>
      </c>
      <c r="AD4" s="7" t="n"/>
      <c r="AE4" s="7" t="n"/>
      <c r="AF4" s="7" t="n"/>
      <c r="AG4" s="7" t="n"/>
    </row>
    <row r="5">
      <c r="A5" s="3" t="inlineStr">
        <is>
          <t>1992-T4</t>
        </is>
      </c>
      <c r="B5" s="13" t="n">
        <v>33969</v>
      </c>
      <c r="C5" s="14" t="n">
        <v>12.125</v>
      </c>
      <c r="D5" s="14" t="n">
        <v>1.08</v>
      </c>
      <c r="F5" s="5" t="n">
        <v>0.067</v>
      </c>
      <c r="N5" s="9">
        <f>IF(F5="","",F5+'Léeme'!$B$10)</f>
        <v/>
      </c>
      <c r="O5" s="9">
        <f>IF(OR(G5="",N5=""),"",MIN(MAX(G5,'Léeme'!$B$11),'Léeme'!$B$12,N5-'Léeme'!$B$16))</f>
        <v/>
      </c>
      <c r="P5" s="16">
        <f>IF(OR(D5="",O5=""),"",IFERROR(IF(D5&lt;=0,"",D5*(1+O5)/(N5-O5)),""))</f>
        <v/>
      </c>
      <c r="Q5" s="9">
        <f>IF(H5="","",MIN(MAX(H5,'Léeme'!$B$13),'Léeme'!$B$14))</f>
        <v/>
      </c>
      <c r="R5" s="9">
        <f>IF(N5="","",MIN('Léeme'!$B$15,N5-'Léeme'!$B$16))</f>
        <v/>
      </c>
      <c r="S5" s="16">
        <f>IF(OR(E5="",Q5=""),"",IFERROR(IF(E5&lt;=0,"",E5*(((1+Q5)/(1+N5))+((1+Q5)/(1+N5))^2+((1+Q5)/(1+N5))^3+((1+Q5)/(1+N5))^4+((1+Q5)/(1+N5))^5)+E5*(1+Q5)^5*(1+R5)/((N5-R5)*(1+N5)^5)),""))</f>
        <v/>
      </c>
      <c r="T5" s="9">
        <f>IF(OR(E5="",N5=""),"",IFERROR((C5*N5-E5)/(C5+E5),""))</f>
        <v/>
      </c>
      <c r="U5" s="9">
        <f>IF(OR(H5="",T5=""),"",IFERROR(MIN(MAX(H5,'Léeme'!$B$17),'Léeme'!$B$18)-T5,""))</f>
        <v/>
      </c>
      <c r="V5" s="16">
        <f>IF(OR(I5="",M5="",L5=""),"",IFERROR((I5/M5-J5-K5)/L5,""))</f>
        <v/>
      </c>
      <c r="W5" s="11">
        <f>IFERROR(P5/C5-1,"")</f>
        <v/>
      </c>
      <c r="X5" s="11">
        <f>IFERROR(S5/C5-1,"")</f>
        <v/>
      </c>
      <c r="Y5" s="11">
        <f>IFERROR(V5/C5-1,"")</f>
        <v/>
      </c>
      <c r="Z5" s="3">
        <f>IF(OR(W5="",ISTEXT(W5)),"sin dato",IF(W5&gt;='Léeme'!$B$19,"barato",IF(W5&lt;=-'Léeme'!$B$19,"caro","medio")))</f>
        <v/>
      </c>
      <c r="AA5" s="3">
        <f>IF(OR(X5="",ISTEXT(X5)),"sin dato",IF(X5&gt;='Léeme'!$B$19,"barato",IF(X5&lt;=-'Léeme'!$B$19,"caro","medio")))</f>
        <v/>
      </c>
      <c r="AB5" s="3">
        <f>IF(OR(U5="",ISTEXT(U5)),"sin dato",IF(U5&gt;='Léeme'!$B$20,"barato",IF(U5&lt;=-'Léeme'!$B$20,"caro","medio")))</f>
        <v/>
      </c>
      <c r="AC5" s="3">
        <f>IF(OR(Y5="",ISTEXT(Y5)),"sin dato",IF(Y5&gt;='Léeme'!$B$19,"barato",IF(Y5&lt;=-'Léeme'!$B$19,"caro","medio")))</f>
        <v/>
      </c>
      <c r="AD5" s="7" t="n"/>
      <c r="AE5" s="7" t="n"/>
      <c r="AF5" s="7" t="n"/>
      <c r="AG5" s="7" t="n"/>
    </row>
    <row r="6">
      <c r="A6" s="3" t="inlineStr">
        <is>
          <t>1993-T1</t>
        </is>
      </c>
      <c r="B6" s="13" t="n">
        <v>34059</v>
      </c>
      <c r="C6" s="14" t="n">
        <v>13.875</v>
      </c>
      <c r="D6" s="14" t="n">
        <v>1.08</v>
      </c>
      <c r="E6" s="14" t="n">
        <v>1.15</v>
      </c>
      <c r="F6" s="5" t="n">
        <v>0.0603</v>
      </c>
      <c r="N6" s="9">
        <f>IF(F6="","",F6+'Léeme'!$B$10)</f>
        <v/>
      </c>
      <c r="O6" s="9">
        <f>IF(OR(G6="",N6=""),"",MIN(MAX(G6,'Léeme'!$B$11),'Léeme'!$B$12,N6-'Léeme'!$B$16))</f>
        <v/>
      </c>
      <c r="P6" s="16">
        <f>IF(OR(D6="",O6=""),"",IFERROR(IF(D6&lt;=0,"",D6*(1+O6)/(N6-O6)),""))</f>
        <v/>
      </c>
      <c r="Q6" s="9">
        <f>IF(H6="","",MIN(MAX(H6,'Léeme'!$B$13),'Léeme'!$B$14))</f>
        <v/>
      </c>
      <c r="R6" s="9">
        <f>IF(N6="","",MIN('Léeme'!$B$15,N6-'Léeme'!$B$16))</f>
        <v/>
      </c>
      <c r="S6" s="16">
        <f>IF(OR(E6="",Q6=""),"",IFERROR(IF(E6&lt;=0,"",E6*(((1+Q6)/(1+N6))+((1+Q6)/(1+N6))^2+((1+Q6)/(1+N6))^3+((1+Q6)/(1+N6))^4+((1+Q6)/(1+N6))^5)+E6*(1+Q6)^5*(1+R6)/((N6-R6)*(1+N6)^5)),""))</f>
        <v/>
      </c>
      <c r="T6" s="9">
        <f>IF(OR(E6="",N6=""),"",IFERROR((C6*N6-E6)/(C6+E6),""))</f>
        <v/>
      </c>
      <c r="U6" s="9">
        <f>IF(OR(H6="",T6=""),"",IFERROR(MIN(MAX(H6,'Léeme'!$B$17),'Léeme'!$B$18)-T6,""))</f>
        <v/>
      </c>
      <c r="V6" s="16">
        <f>IF(OR(I6="",M6="",L6=""),"",IFERROR((I6/M6-J6-K6)/L6,""))</f>
        <v/>
      </c>
      <c r="W6" s="11">
        <f>IFERROR(P6/C6-1,"")</f>
        <v/>
      </c>
      <c r="X6" s="11">
        <f>IFERROR(S6/C6-1,"")</f>
        <v/>
      </c>
      <c r="Y6" s="11">
        <f>IFERROR(V6/C6-1,"")</f>
        <v/>
      </c>
      <c r="Z6" s="3">
        <f>IF(OR(W6="",ISTEXT(W6)),"sin dato",IF(W6&gt;='Léeme'!$B$19,"barato",IF(W6&lt;=-'Léeme'!$B$19,"caro","medio")))</f>
        <v/>
      </c>
      <c r="AA6" s="3">
        <f>IF(OR(X6="",ISTEXT(X6)),"sin dato",IF(X6&gt;='Léeme'!$B$19,"barato",IF(X6&lt;=-'Léeme'!$B$19,"caro","medio")))</f>
        <v/>
      </c>
      <c r="AB6" s="3">
        <f>IF(OR(U6="",ISTEXT(U6)),"sin dato",IF(U6&gt;='Léeme'!$B$20,"barato",IF(U6&lt;=-'Léeme'!$B$20,"caro","medio")))</f>
        <v/>
      </c>
      <c r="AC6" s="3">
        <f>IF(OR(Y6="",ISTEXT(Y6)),"sin dato",IF(Y6&gt;='Léeme'!$B$19,"barato",IF(Y6&lt;=-'Léeme'!$B$19,"caro","medio")))</f>
        <v/>
      </c>
      <c r="AD6" s="7" t="n"/>
      <c r="AE6" s="7" t="n"/>
      <c r="AF6" s="7" t="n"/>
      <c r="AG6" s="7" t="n"/>
    </row>
    <row r="7">
      <c r="A7" s="3" t="inlineStr">
        <is>
          <t>1993-T2</t>
        </is>
      </c>
      <c r="B7" s="13" t="n">
        <v>34150</v>
      </c>
      <c r="C7" s="14" t="n">
        <v>13.5</v>
      </c>
      <c r="D7" s="14" t="n">
        <v>1.08</v>
      </c>
      <c r="E7" s="14" t="n">
        <v>1.15</v>
      </c>
      <c r="F7" s="5" t="n">
        <v>0.058</v>
      </c>
      <c r="N7" s="9">
        <f>IF(F7="","",F7+'Léeme'!$B$10)</f>
        <v/>
      </c>
      <c r="O7" s="9">
        <f>IF(OR(G7="",N7=""),"",MIN(MAX(G7,'Léeme'!$B$11),'Léeme'!$B$12,N7-'Léeme'!$B$16))</f>
        <v/>
      </c>
      <c r="P7" s="16">
        <f>IF(OR(D7="",O7=""),"",IFERROR(IF(D7&lt;=0,"",D7*(1+O7)/(N7-O7)),""))</f>
        <v/>
      </c>
      <c r="Q7" s="9">
        <f>IF(H7="","",MIN(MAX(H7,'Léeme'!$B$13),'Léeme'!$B$14))</f>
        <v/>
      </c>
      <c r="R7" s="9">
        <f>IF(N7="","",MIN('Léeme'!$B$15,N7-'Léeme'!$B$16))</f>
        <v/>
      </c>
      <c r="S7" s="16">
        <f>IF(OR(E7="",Q7=""),"",IFERROR(IF(E7&lt;=0,"",E7*(((1+Q7)/(1+N7))+((1+Q7)/(1+N7))^2+((1+Q7)/(1+N7))^3+((1+Q7)/(1+N7))^4+((1+Q7)/(1+N7))^5)+E7*(1+Q7)^5*(1+R7)/((N7-R7)*(1+N7)^5)),""))</f>
        <v/>
      </c>
      <c r="T7" s="9">
        <f>IF(OR(E7="",N7=""),"",IFERROR((C7*N7-E7)/(C7+E7),""))</f>
        <v/>
      </c>
      <c r="U7" s="9">
        <f>IF(OR(H7="",T7=""),"",IFERROR(MIN(MAX(H7,'Léeme'!$B$17),'Léeme'!$B$18)-T7,""))</f>
        <v/>
      </c>
      <c r="V7" s="16">
        <f>IF(OR(I7="",M7="",L7=""),"",IFERROR((I7/M7-J7-K7)/L7,""))</f>
        <v/>
      </c>
      <c r="W7" s="11">
        <f>IFERROR(P7/C7-1,"")</f>
        <v/>
      </c>
      <c r="X7" s="11">
        <f>IFERROR(S7/C7-1,"")</f>
        <v/>
      </c>
      <c r="Y7" s="11">
        <f>IFERROR(V7/C7-1,"")</f>
        <v/>
      </c>
      <c r="Z7" s="3">
        <f>IF(OR(W7="",ISTEXT(W7)),"sin dato",IF(W7&gt;='Léeme'!$B$19,"barato",IF(W7&lt;=-'Léeme'!$B$19,"caro","medio")))</f>
        <v/>
      </c>
      <c r="AA7" s="3">
        <f>IF(OR(X7="",ISTEXT(X7)),"sin dato",IF(X7&gt;='Léeme'!$B$19,"barato",IF(X7&lt;=-'Léeme'!$B$19,"caro","medio")))</f>
        <v/>
      </c>
      <c r="AB7" s="3">
        <f>IF(OR(U7="",ISTEXT(U7)),"sin dato",IF(U7&gt;='Léeme'!$B$20,"barato",IF(U7&lt;=-'Léeme'!$B$20,"caro","medio")))</f>
        <v/>
      </c>
      <c r="AC7" s="3">
        <f>IF(OR(Y7="",ISTEXT(Y7)),"sin dato",IF(Y7&gt;='Léeme'!$B$19,"barato",IF(Y7&lt;=-'Léeme'!$B$19,"caro","medio")))</f>
        <v/>
      </c>
      <c r="AD7" s="7" t="n"/>
      <c r="AE7" s="7" t="n"/>
      <c r="AF7" s="7" t="n"/>
      <c r="AG7" s="7" t="n"/>
    </row>
    <row r="8">
      <c r="A8" s="3" t="inlineStr">
        <is>
          <t>1993-T3</t>
        </is>
      </c>
      <c r="B8" s="13" t="n">
        <v>34242</v>
      </c>
      <c r="C8" s="14" t="n">
        <v>14</v>
      </c>
      <c r="D8" s="14" t="n">
        <v>1.12</v>
      </c>
      <c r="E8" s="14" t="n">
        <v>1.15</v>
      </c>
      <c r="F8" s="5" t="n">
        <v>0.05400000000000001</v>
      </c>
      <c r="N8" s="9">
        <f>IF(F8="","",F8+'Léeme'!$B$10)</f>
        <v/>
      </c>
      <c r="O8" s="9">
        <f>IF(OR(G8="",N8=""),"",MIN(MAX(G8,'Léeme'!$B$11),'Léeme'!$B$12,N8-'Léeme'!$B$16))</f>
        <v/>
      </c>
      <c r="P8" s="16">
        <f>IF(OR(D8="",O8=""),"",IFERROR(IF(D8&lt;=0,"",D8*(1+O8)/(N8-O8)),""))</f>
        <v/>
      </c>
      <c r="Q8" s="9">
        <f>IF(H8="","",MIN(MAX(H8,'Léeme'!$B$13),'Léeme'!$B$14))</f>
        <v/>
      </c>
      <c r="R8" s="9">
        <f>IF(N8="","",MIN('Léeme'!$B$15,N8-'Léeme'!$B$16))</f>
        <v/>
      </c>
      <c r="S8" s="16">
        <f>IF(OR(E8="",Q8=""),"",IFERROR(IF(E8&lt;=0,"",E8*(((1+Q8)/(1+N8))+((1+Q8)/(1+N8))^2+((1+Q8)/(1+N8))^3+((1+Q8)/(1+N8))^4+((1+Q8)/(1+N8))^5)+E8*(1+Q8)^5*(1+R8)/((N8-R8)*(1+N8)^5)),""))</f>
        <v/>
      </c>
      <c r="T8" s="9">
        <f>IF(OR(E8="",N8=""),"",IFERROR((C8*N8-E8)/(C8+E8),""))</f>
        <v/>
      </c>
      <c r="U8" s="9">
        <f>IF(OR(H8="",T8=""),"",IFERROR(MIN(MAX(H8,'Léeme'!$B$17),'Léeme'!$B$18)-T8,""))</f>
        <v/>
      </c>
      <c r="V8" s="16">
        <f>IF(OR(I8="",M8="",L8=""),"",IFERROR((I8/M8-J8-K8)/L8,""))</f>
        <v/>
      </c>
      <c r="W8" s="11">
        <f>IFERROR(P8/C8-1,"")</f>
        <v/>
      </c>
      <c r="X8" s="11">
        <f>IFERROR(S8/C8-1,"")</f>
        <v/>
      </c>
      <c r="Y8" s="11">
        <f>IFERROR(V8/C8-1,"")</f>
        <v/>
      </c>
      <c r="Z8" s="3">
        <f>IF(OR(W8="",ISTEXT(W8)),"sin dato",IF(W8&gt;='Léeme'!$B$19,"barato",IF(W8&lt;=-'Léeme'!$B$19,"caro","medio")))</f>
        <v/>
      </c>
      <c r="AA8" s="3">
        <f>IF(OR(X8="",ISTEXT(X8)),"sin dato",IF(X8&gt;='Léeme'!$B$19,"barato",IF(X8&lt;=-'Léeme'!$B$19,"caro","medio")))</f>
        <v/>
      </c>
      <c r="AB8" s="3">
        <f>IF(OR(U8="",ISTEXT(U8)),"sin dato",IF(U8&gt;='Léeme'!$B$20,"barato",IF(U8&lt;=-'Léeme'!$B$20,"caro","medio")))</f>
        <v/>
      </c>
      <c r="AC8" s="3">
        <f>IF(OR(Y8="",ISTEXT(Y8)),"sin dato",IF(Y8&gt;='Léeme'!$B$19,"barato",IF(Y8&lt;=-'Léeme'!$B$19,"caro","medio")))</f>
        <v/>
      </c>
      <c r="AD8" s="7" t="n"/>
      <c r="AE8" s="7" t="n"/>
      <c r="AF8" s="7" t="n"/>
      <c r="AG8" s="7" t="n"/>
    </row>
    <row r="9">
      <c r="A9" s="3" t="inlineStr">
        <is>
          <t>1993-T4</t>
        </is>
      </c>
      <c r="B9" s="13" t="n">
        <v>34334</v>
      </c>
      <c r="C9" s="14" t="n">
        <v>13.75</v>
      </c>
      <c r="D9" s="14" t="n">
        <v>1.12</v>
      </c>
      <c r="E9" s="14" t="n">
        <v>1.15</v>
      </c>
      <c r="F9" s="5" t="n">
        <v>0.0583</v>
      </c>
      <c r="N9" s="9">
        <f>IF(F9="","",F9+'Léeme'!$B$10)</f>
        <v/>
      </c>
      <c r="O9" s="9">
        <f>IF(OR(G9="",N9=""),"",MIN(MAX(G9,'Léeme'!$B$11),'Léeme'!$B$12,N9-'Léeme'!$B$16))</f>
        <v/>
      </c>
      <c r="P9" s="16">
        <f>IF(OR(D9="",O9=""),"",IFERROR(IF(D9&lt;=0,"",D9*(1+O9)/(N9-O9)),""))</f>
        <v/>
      </c>
      <c r="Q9" s="9">
        <f>IF(H9="","",MIN(MAX(H9,'Léeme'!$B$13),'Léeme'!$B$14))</f>
        <v/>
      </c>
      <c r="R9" s="9">
        <f>IF(N9="","",MIN('Léeme'!$B$15,N9-'Léeme'!$B$16))</f>
        <v/>
      </c>
      <c r="S9" s="16">
        <f>IF(OR(E9="",Q9=""),"",IFERROR(IF(E9&lt;=0,"",E9*(((1+Q9)/(1+N9))+((1+Q9)/(1+N9))^2+((1+Q9)/(1+N9))^3+((1+Q9)/(1+N9))^4+((1+Q9)/(1+N9))^5)+E9*(1+Q9)^5*(1+R9)/((N9-R9)*(1+N9)^5)),""))</f>
        <v/>
      </c>
      <c r="T9" s="9">
        <f>IF(OR(E9="",N9=""),"",IFERROR((C9*N9-E9)/(C9+E9),""))</f>
        <v/>
      </c>
      <c r="U9" s="9">
        <f>IF(OR(H9="",T9=""),"",IFERROR(MIN(MAX(H9,'Léeme'!$B$17),'Léeme'!$B$18)-T9,""))</f>
        <v/>
      </c>
      <c r="V9" s="16">
        <f>IF(OR(I9="",M9="",L9=""),"",IFERROR((I9/M9-J9-K9)/L9,""))</f>
        <v/>
      </c>
      <c r="W9" s="11">
        <f>IFERROR(P9/C9-1,"")</f>
        <v/>
      </c>
      <c r="X9" s="11">
        <f>IFERROR(S9/C9-1,"")</f>
        <v/>
      </c>
      <c r="Y9" s="11">
        <f>IFERROR(V9/C9-1,"")</f>
        <v/>
      </c>
      <c r="Z9" s="3">
        <f>IF(OR(W9="",ISTEXT(W9)),"sin dato",IF(W9&gt;='Léeme'!$B$19,"barato",IF(W9&lt;=-'Léeme'!$B$19,"caro","medio")))</f>
        <v/>
      </c>
      <c r="AA9" s="3">
        <f>IF(OR(X9="",ISTEXT(X9)),"sin dato",IF(X9&gt;='Léeme'!$B$19,"barato",IF(X9&lt;=-'Léeme'!$B$19,"caro","medio")))</f>
        <v/>
      </c>
      <c r="AB9" s="3">
        <f>IF(OR(U9="",ISTEXT(U9)),"sin dato",IF(U9&gt;='Léeme'!$B$20,"barato",IF(U9&lt;=-'Léeme'!$B$20,"caro","medio")))</f>
        <v/>
      </c>
      <c r="AC9" s="3">
        <f>IF(OR(Y9="",ISTEXT(Y9)),"sin dato",IF(Y9&gt;='Léeme'!$B$19,"barato",IF(Y9&lt;=-'Léeme'!$B$19,"caro","medio")))</f>
        <v/>
      </c>
      <c r="AD9" s="7" t="n"/>
      <c r="AE9" s="7" t="n"/>
      <c r="AF9" s="7" t="n"/>
      <c r="AG9" s="7" t="n"/>
    </row>
    <row r="10">
      <c r="A10" s="3" t="inlineStr">
        <is>
          <t>1994-T1</t>
        </is>
      </c>
      <c r="B10" s="13" t="n">
        <v>34424</v>
      </c>
      <c r="C10" s="14" t="n">
        <v>13.875</v>
      </c>
      <c r="D10" s="14" t="n">
        <v>1.12</v>
      </c>
      <c r="E10" s="14" t="n">
        <v>1.05</v>
      </c>
      <c r="F10" s="5" t="n">
        <v>0.0677</v>
      </c>
      <c r="N10" s="9">
        <f>IF(F10="","",F10+'Léeme'!$B$10)</f>
        <v/>
      </c>
      <c r="O10" s="9">
        <f>IF(OR(G10="",N10=""),"",MIN(MAX(G10,'Léeme'!$B$11),'Léeme'!$B$12,N10-'Léeme'!$B$16))</f>
        <v/>
      </c>
      <c r="P10" s="16">
        <f>IF(OR(D10="",O10=""),"",IFERROR(IF(D10&lt;=0,"",D10*(1+O10)/(N10-O10)),""))</f>
        <v/>
      </c>
      <c r="Q10" s="9">
        <f>IF(H10="","",MIN(MAX(H10,'Léeme'!$B$13),'Léeme'!$B$14))</f>
        <v/>
      </c>
      <c r="R10" s="9">
        <f>IF(N10="","",MIN('Léeme'!$B$15,N10-'Léeme'!$B$16))</f>
        <v/>
      </c>
      <c r="S10" s="16">
        <f>IF(OR(E10="",Q10=""),"",IFERROR(IF(E10&lt;=0,"",E10*(((1+Q10)/(1+N10))+((1+Q10)/(1+N10))^2+((1+Q10)/(1+N10))^3+((1+Q10)/(1+N10))^4+((1+Q10)/(1+N10))^5)+E10*(1+Q10)^5*(1+R10)/((N10-R10)*(1+N10)^5)),""))</f>
        <v/>
      </c>
      <c r="T10" s="9">
        <f>IF(OR(E10="",N10=""),"",IFERROR((C10*N10-E10)/(C10+E10),""))</f>
        <v/>
      </c>
      <c r="U10" s="9">
        <f>IF(OR(H10="",T10=""),"",IFERROR(MIN(MAX(H10,'Léeme'!$B$17),'Léeme'!$B$18)-T10,""))</f>
        <v/>
      </c>
      <c r="V10" s="16">
        <f>IF(OR(I10="",M10="",L10=""),"",IFERROR((I10/M10-J10-K10)/L10,""))</f>
        <v/>
      </c>
      <c r="W10" s="11">
        <f>IFERROR(P10/C10-1,"")</f>
        <v/>
      </c>
      <c r="X10" s="11">
        <f>IFERROR(S10/C10-1,"")</f>
        <v/>
      </c>
      <c r="Y10" s="11">
        <f>IFERROR(V10/C10-1,"")</f>
        <v/>
      </c>
      <c r="Z10" s="3">
        <f>IF(OR(W10="",ISTEXT(W10)),"sin dato",IF(W10&gt;='Léeme'!$B$19,"barato",IF(W10&lt;=-'Léeme'!$B$19,"caro","medio")))</f>
        <v/>
      </c>
      <c r="AA10" s="3">
        <f>IF(OR(X10="",ISTEXT(X10)),"sin dato",IF(X10&gt;='Léeme'!$B$19,"barato",IF(X10&lt;=-'Léeme'!$B$19,"caro","medio")))</f>
        <v/>
      </c>
      <c r="AB10" s="3">
        <f>IF(OR(U10="",ISTEXT(U10)),"sin dato",IF(U10&gt;='Léeme'!$B$20,"barato",IF(U10&lt;=-'Léeme'!$B$20,"caro","medio")))</f>
        <v/>
      </c>
      <c r="AC10" s="3">
        <f>IF(OR(Y10="",ISTEXT(Y10)),"sin dato",IF(Y10&gt;='Léeme'!$B$19,"barato",IF(Y10&lt;=-'Léeme'!$B$19,"caro","medio")))</f>
        <v/>
      </c>
      <c r="AD10" s="7" t="n"/>
      <c r="AE10" s="7" t="n"/>
      <c r="AF10" s="7" t="n"/>
      <c r="AG10" s="7" t="n"/>
    </row>
    <row r="11">
      <c r="A11" s="3" t="inlineStr">
        <is>
          <t>1994-T2</t>
        </is>
      </c>
      <c r="B11" s="13" t="n">
        <v>34515</v>
      </c>
      <c r="C11" s="14" t="n">
        <v>13.625</v>
      </c>
      <c r="D11" s="14" t="n">
        <v>1.12</v>
      </c>
      <c r="E11" s="14" t="n">
        <v>1.05</v>
      </c>
      <c r="F11" s="5" t="n">
        <v>0.07339999999999999</v>
      </c>
      <c r="N11" s="9">
        <f>IF(F11="","",F11+'Léeme'!$B$10)</f>
        <v/>
      </c>
      <c r="O11" s="9">
        <f>IF(OR(G11="",N11=""),"",MIN(MAX(G11,'Léeme'!$B$11),'Léeme'!$B$12,N11-'Léeme'!$B$16))</f>
        <v/>
      </c>
      <c r="P11" s="16">
        <f>IF(OR(D11="",O11=""),"",IFERROR(IF(D11&lt;=0,"",D11*(1+O11)/(N11-O11)),""))</f>
        <v/>
      </c>
      <c r="Q11" s="9">
        <f>IF(H11="","",MIN(MAX(H11,'Léeme'!$B$13),'Léeme'!$B$14))</f>
        <v/>
      </c>
      <c r="R11" s="9">
        <f>IF(N11="","",MIN('Léeme'!$B$15,N11-'Léeme'!$B$16))</f>
        <v/>
      </c>
      <c r="S11" s="16">
        <f>IF(OR(E11="",Q11=""),"",IFERROR(IF(E11&lt;=0,"",E11*(((1+Q11)/(1+N11))+((1+Q11)/(1+N11))^2+((1+Q11)/(1+N11))^3+((1+Q11)/(1+N11))^4+((1+Q11)/(1+N11))^5)+E11*(1+Q11)^5*(1+R11)/((N11-R11)*(1+N11)^5)),""))</f>
        <v/>
      </c>
      <c r="T11" s="9">
        <f>IF(OR(E11="",N11=""),"",IFERROR((C11*N11-E11)/(C11+E11),""))</f>
        <v/>
      </c>
      <c r="U11" s="9">
        <f>IF(OR(H11="",T11=""),"",IFERROR(MIN(MAX(H11,'Léeme'!$B$17),'Léeme'!$B$18)-T11,""))</f>
        <v/>
      </c>
      <c r="V11" s="16">
        <f>IF(OR(I11="",M11="",L11=""),"",IFERROR((I11/M11-J11-K11)/L11,""))</f>
        <v/>
      </c>
      <c r="W11" s="11">
        <f>IFERROR(P11/C11-1,"")</f>
        <v/>
      </c>
      <c r="X11" s="11">
        <f>IFERROR(S11/C11-1,"")</f>
        <v/>
      </c>
      <c r="Y11" s="11">
        <f>IFERROR(V11/C11-1,"")</f>
        <v/>
      </c>
      <c r="Z11" s="3">
        <f>IF(OR(W11="",ISTEXT(W11)),"sin dato",IF(W11&gt;='Léeme'!$B$19,"barato",IF(W11&lt;=-'Léeme'!$B$19,"caro","medio")))</f>
        <v/>
      </c>
      <c r="AA11" s="3">
        <f>IF(OR(X11="",ISTEXT(X11)),"sin dato",IF(X11&gt;='Léeme'!$B$19,"barato",IF(X11&lt;=-'Léeme'!$B$19,"caro","medio")))</f>
        <v/>
      </c>
      <c r="AB11" s="3">
        <f>IF(OR(U11="",ISTEXT(U11)),"sin dato",IF(U11&gt;='Léeme'!$B$20,"barato",IF(U11&lt;=-'Léeme'!$B$20,"caro","medio")))</f>
        <v/>
      </c>
      <c r="AC11" s="3">
        <f>IF(OR(Y11="",ISTEXT(Y11)),"sin dato",IF(Y11&gt;='Léeme'!$B$19,"barato",IF(Y11&lt;=-'Léeme'!$B$19,"caro","medio")))</f>
        <v/>
      </c>
      <c r="AD11" s="7" t="n"/>
      <c r="AE11" s="7" t="n"/>
      <c r="AF11" s="7" t="n"/>
      <c r="AG11" s="7" t="n"/>
    </row>
    <row r="12">
      <c r="A12" s="3" t="inlineStr">
        <is>
          <t>1994-T3</t>
        </is>
      </c>
      <c r="B12" s="13" t="n">
        <v>34607</v>
      </c>
      <c r="C12" s="14" t="n">
        <v>12.25</v>
      </c>
      <c r="D12" s="14" t="n">
        <v>1.16</v>
      </c>
      <c r="E12" s="14" t="n">
        <v>1.05</v>
      </c>
      <c r="F12" s="5" t="n">
        <v>0.0762</v>
      </c>
      <c r="N12" s="9">
        <f>IF(F12="","",F12+'Léeme'!$B$10)</f>
        <v/>
      </c>
      <c r="O12" s="9">
        <f>IF(OR(G12="",N12=""),"",MIN(MAX(G12,'Léeme'!$B$11),'Léeme'!$B$12,N12-'Léeme'!$B$16))</f>
        <v/>
      </c>
      <c r="P12" s="16">
        <f>IF(OR(D12="",O12=""),"",IFERROR(IF(D12&lt;=0,"",D12*(1+O12)/(N12-O12)),""))</f>
        <v/>
      </c>
      <c r="Q12" s="9">
        <f>IF(H12="","",MIN(MAX(H12,'Léeme'!$B$13),'Léeme'!$B$14))</f>
        <v/>
      </c>
      <c r="R12" s="9">
        <f>IF(N12="","",MIN('Léeme'!$B$15,N12-'Léeme'!$B$16))</f>
        <v/>
      </c>
      <c r="S12" s="16">
        <f>IF(OR(E12="",Q12=""),"",IFERROR(IF(E12&lt;=0,"",E12*(((1+Q12)/(1+N12))+((1+Q12)/(1+N12))^2+((1+Q12)/(1+N12))^3+((1+Q12)/(1+N12))^4+((1+Q12)/(1+N12))^5)+E12*(1+Q12)^5*(1+R12)/((N12-R12)*(1+N12)^5)),""))</f>
        <v/>
      </c>
      <c r="T12" s="9">
        <f>IF(OR(E12="",N12=""),"",IFERROR((C12*N12-E12)/(C12+E12),""))</f>
        <v/>
      </c>
      <c r="U12" s="9">
        <f>IF(OR(H12="",T12=""),"",IFERROR(MIN(MAX(H12,'Léeme'!$B$17),'Léeme'!$B$18)-T12,""))</f>
        <v/>
      </c>
      <c r="V12" s="16">
        <f>IF(OR(I12="",M12="",L12=""),"",IFERROR((I12/M12-J12-K12)/L12,""))</f>
        <v/>
      </c>
      <c r="W12" s="11">
        <f>IFERROR(P12/C12-1,"")</f>
        <v/>
      </c>
      <c r="X12" s="11">
        <f>IFERROR(S12/C12-1,"")</f>
        <v/>
      </c>
      <c r="Y12" s="11">
        <f>IFERROR(V12/C12-1,"")</f>
        <v/>
      </c>
      <c r="Z12" s="3">
        <f>IF(OR(W12="",ISTEXT(W12)),"sin dato",IF(W12&gt;='Léeme'!$B$19,"barato",IF(W12&lt;=-'Léeme'!$B$19,"caro","medio")))</f>
        <v/>
      </c>
      <c r="AA12" s="3">
        <f>IF(OR(X12="",ISTEXT(X12)),"sin dato",IF(X12&gt;='Léeme'!$B$19,"barato",IF(X12&lt;=-'Léeme'!$B$19,"caro","medio")))</f>
        <v/>
      </c>
      <c r="AB12" s="3">
        <f>IF(OR(U12="",ISTEXT(U12)),"sin dato",IF(U12&gt;='Léeme'!$B$20,"barato",IF(U12&lt;=-'Léeme'!$B$20,"caro","medio")))</f>
        <v/>
      </c>
      <c r="AC12" s="3">
        <f>IF(OR(Y12="",ISTEXT(Y12)),"sin dato",IF(Y12&gt;='Léeme'!$B$19,"barato",IF(Y12&lt;=-'Léeme'!$B$19,"caro","medio")))</f>
        <v/>
      </c>
      <c r="AD12" s="7" t="n"/>
      <c r="AE12" s="7" t="n"/>
      <c r="AF12" s="7" t="n"/>
      <c r="AG12" s="7" t="n"/>
    </row>
    <row r="13">
      <c r="A13" s="3" t="inlineStr">
        <is>
          <t>1994-T4</t>
        </is>
      </c>
      <c r="B13" s="13" t="n">
        <v>34698</v>
      </c>
      <c r="C13" s="14" t="n">
        <v>12.25</v>
      </c>
      <c r="D13" s="14" t="n">
        <v>1.16</v>
      </c>
      <c r="E13" s="14" t="n">
        <v>1.05</v>
      </c>
      <c r="F13" s="5" t="n">
        <v>0.0784</v>
      </c>
      <c r="N13" s="9">
        <f>IF(F13="","",F13+'Léeme'!$B$10)</f>
        <v/>
      </c>
      <c r="O13" s="9">
        <f>IF(OR(G13="",N13=""),"",MIN(MAX(G13,'Léeme'!$B$11),'Léeme'!$B$12,N13-'Léeme'!$B$16))</f>
        <v/>
      </c>
      <c r="P13" s="16">
        <f>IF(OR(D13="",O13=""),"",IFERROR(IF(D13&lt;=0,"",D13*(1+O13)/(N13-O13)),""))</f>
        <v/>
      </c>
      <c r="Q13" s="9">
        <f>IF(H13="","",MIN(MAX(H13,'Léeme'!$B$13),'Léeme'!$B$14))</f>
        <v/>
      </c>
      <c r="R13" s="9">
        <f>IF(N13="","",MIN('Léeme'!$B$15,N13-'Léeme'!$B$16))</f>
        <v/>
      </c>
      <c r="S13" s="16">
        <f>IF(OR(E13="",Q13=""),"",IFERROR(IF(E13&lt;=0,"",E13*(((1+Q13)/(1+N13))+((1+Q13)/(1+N13))^2+((1+Q13)/(1+N13))^3+((1+Q13)/(1+N13))^4+((1+Q13)/(1+N13))^5)+E13*(1+Q13)^5*(1+R13)/((N13-R13)*(1+N13)^5)),""))</f>
        <v/>
      </c>
      <c r="T13" s="9">
        <f>IF(OR(E13="",N13=""),"",IFERROR((C13*N13-E13)/(C13+E13),""))</f>
        <v/>
      </c>
      <c r="U13" s="9">
        <f>IF(OR(H13="",T13=""),"",IFERROR(MIN(MAX(H13,'Léeme'!$B$17),'Léeme'!$B$18)-T13,""))</f>
        <v/>
      </c>
      <c r="V13" s="16">
        <f>IF(OR(I13="",M13="",L13=""),"",IFERROR((I13/M13-J13-K13)/L13,""))</f>
        <v/>
      </c>
      <c r="W13" s="11">
        <f>IFERROR(P13/C13-1,"")</f>
        <v/>
      </c>
      <c r="X13" s="11">
        <f>IFERROR(S13/C13-1,"")</f>
        <v/>
      </c>
      <c r="Y13" s="11">
        <f>IFERROR(V13/C13-1,"")</f>
        <v/>
      </c>
      <c r="Z13" s="3">
        <f>IF(OR(W13="",ISTEXT(W13)),"sin dato",IF(W13&gt;='Léeme'!$B$19,"barato",IF(W13&lt;=-'Léeme'!$B$19,"caro","medio")))</f>
        <v/>
      </c>
      <c r="AA13" s="3">
        <f>IF(OR(X13="",ISTEXT(X13)),"sin dato",IF(X13&gt;='Léeme'!$B$19,"barato",IF(X13&lt;=-'Léeme'!$B$19,"caro","medio")))</f>
        <v/>
      </c>
      <c r="AB13" s="3">
        <f>IF(OR(U13="",ISTEXT(U13)),"sin dato",IF(U13&gt;='Léeme'!$B$20,"barato",IF(U13&lt;=-'Léeme'!$B$20,"caro","medio")))</f>
        <v/>
      </c>
      <c r="AC13" s="3">
        <f>IF(OR(Y13="",ISTEXT(Y13)),"sin dato",IF(Y13&gt;='Léeme'!$B$19,"barato",IF(Y13&lt;=-'Léeme'!$B$19,"caro","medio")))</f>
        <v/>
      </c>
      <c r="AD13" s="7" t="n"/>
      <c r="AE13" s="7" t="n"/>
      <c r="AF13" s="7" t="n"/>
      <c r="AG13" s="7" t="n"/>
    </row>
    <row r="14">
      <c r="A14" s="3" t="inlineStr">
        <is>
          <t>1995-T1</t>
        </is>
      </c>
      <c r="B14" s="13" t="n">
        <v>34789</v>
      </c>
      <c r="C14" s="14" t="n">
        <v>12.125</v>
      </c>
      <c r="D14" s="14" t="n">
        <v>1.16</v>
      </c>
      <c r="E14" s="14" t="n">
        <v>1.16</v>
      </c>
      <c r="F14" s="5" t="n">
        <v>0.07200000000000001</v>
      </c>
      <c r="N14" s="9">
        <f>IF(F14="","",F14+'Léeme'!$B$10)</f>
        <v/>
      </c>
      <c r="O14" s="9">
        <f>IF(OR(G14="",N14=""),"",MIN(MAX(G14,'Léeme'!$B$11),'Léeme'!$B$12,N14-'Léeme'!$B$16))</f>
        <v/>
      </c>
      <c r="P14" s="16">
        <f>IF(OR(D14="",O14=""),"",IFERROR(IF(D14&lt;=0,"",D14*(1+O14)/(N14-O14)),""))</f>
        <v/>
      </c>
      <c r="Q14" s="9">
        <f>IF(H14="","",MIN(MAX(H14,'Léeme'!$B$13),'Léeme'!$B$14))</f>
        <v/>
      </c>
      <c r="R14" s="9">
        <f>IF(N14="","",MIN('Léeme'!$B$15,N14-'Léeme'!$B$16))</f>
        <v/>
      </c>
      <c r="S14" s="16">
        <f>IF(OR(E14="",Q14=""),"",IFERROR(IF(E14&lt;=0,"",E14*(((1+Q14)/(1+N14))+((1+Q14)/(1+N14))^2+((1+Q14)/(1+N14))^3+((1+Q14)/(1+N14))^4+((1+Q14)/(1+N14))^5)+E14*(1+Q14)^5*(1+R14)/((N14-R14)*(1+N14)^5)),""))</f>
        <v/>
      </c>
      <c r="T14" s="9">
        <f>IF(OR(E14="",N14=""),"",IFERROR((C14*N14-E14)/(C14+E14),""))</f>
        <v/>
      </c>
      <c r="U14" s="9">
        <f>IF(OR(H14="",T14=""),"",IFERROR(MIN(MAX(H14,'Léeme'!$B$17),'Léeme'!$B$18)-T14,""))</f>
        <v/>
      </c>
      <c r="V14" s="16">
        <f>IF(OR(I14="",M14="",L14=""),"",IFERROR((I14/M14-J14-K14)/L14,""))</f>
        <v/>
      </c>
      <c r="W14" s="11">
        <f>IFERROR(P14/C14-1,"")</f>
        <v/>
      </c>
      <c r="X14" s="11">
        <f>IFERROR(S14/C14-1,"")</f>
        <v/>
      </c>
      <c r="Y14" s="11">
        <f>IFERROR(V14/C14-1,"")</f>
        <v/>
      </c>
      <c r="Z14" s="3">
        <f>IF(OR(W14="",ISTEXT(W14)),"sin dato",IF(W14&gt;='Léeme'!$B$19,"barato",IF(W14&lt;=-'Léeme'!$B$19,"caro","medio")))</f>
        <v/>
      </c>
      <c r="AA14" s="3">
        <f>IF(OR(X14="",ISTEXT(X14)),"sin dato",IF(X14&gt;='Léeme'!$B$19,"barato",IF(X14&lt;=-'Léeme'!$B$19,"caro","medio")))</f>
        <v/>
      </c>
      <c r="AB14" s="3">
        <f>IF(OR(U14="",ISTEXT(U14)),"sin dato",IF(U14&gt;='Léeme'!$B$20,"barato",IF(U14&lt;=-'Léeme'!$B$20,"caro","medio")))</f>
        <v/>
      </c>
      <c r="AC14" s="3">
        <f>IF(OR(Y14="",ISTEXT(Y14)),"sin dato",IF(Y14&gt;='Léeme'!$B$19,"barato",IF(Y14&lt;=-'Léeme'!$B$19,"caro","medio")))</f>
        <v/>
      </c>
      <c r="AD14" s="7" t="n"/>
      <c r="AE14" s="7" t="n"/>
      <c r="AF14" s="7" t="n"/>
      <c r="AG14" s="7" t="n"/>
    </row>
    <row r="15">
      <c r="A15" s="3" t="inlineStr">
        <is>
          <t>1995-T2</t>
        </is>
      </c>
      <c r="B15" s="13" t="n">
        <v>34880</v>
      </c>
      <c r="C15" s="14" t="n">
        <v>13.125</v>
      </c>
      <c r="D15" s="14" t="n">
        <v>1.16</v>
      </c>
      <c r="E15" s="14" t="n">
        <v>1.16</v>
      </c>
      <c r="F15" s="5" t="n">
        <v>0.0621</v>
      </c>
      <c r="N15" s="9">
        <f>IF(F15="","",F15+'Léeme'!$B$10)</f>
        <v/>
      </c>
      <c r="O15" s="9">
        <f>IF(OR(G15="",N15=""),"",MIN(MAX(G15,'Léeme'!$B$11),'Léeme'!$B$12,N15-'Léeme'!$B$16))</f>
        <v/>
      </c>
      <c r="P15" s="16">
        <f>IF(OR(D15="",O15=""),"",IFERROR(IF(D15&lt;=0,"",D15*(1+O15)/(N15-O15)),""))</f>
        <v/>
      </c>
      <c r="Q15" s="9">
        <f>IF(H15="","",MIN(MAX(H15,'Léeme'!$B$13),'Léeme'!$B$14))</f>
        <v/>
      </c>
      <c r="R15" s="9">
        <f>IF(N15="","",MIN('Léeme'!$B$15,N15-'Léeme'!$B$16))</f>
        <v/>
      </c>
      <c r="S15" s="16">
        <f>IF(OR(E15="",Q15=""),"",IFERROR(IF(E15&lt;=0,"",E15*(((1+Q15)/(1+N15))+((1+Q15)/(1+N15))^2+((1+Q15)/(1+N15))^3+((1+Q15)/(1+N15))^4+((1+Q15)/(1+N15))^5)+E15*(1+Q15)^5*(1+R15)/((N15-R15)*(1+N15)^5)),""))</f>
        <v/>
      </c>
      <c r="T15" s="9">
        <f>IF(OR(E15="",N15=""),"",IFERROR((C15*N15-E15)/(C15+E15),""))</f>
        <v/>
      </c>
      <c r="U15" s="9">
        <f>IF(OR(H15="",T15=""),"",IFERROR(MIN(MAX(H15,'Léeme'!$B$17),'Léeme'!$B$18)-T15,""))</f>
        <v/>
      </c>
      <c r="V15" s="16">
        <f>IF(OR(I15="",M15="",L15=""),"",IFERROR((I15/M15-J15-K15)/L15,""))</f>
        <v/>
      </c>
      <c r="W15" s="11">
        <f>IFERROR(P15/C15-1,"")</f>
        <v/>
      </c>
      <c r="X15" s="11">
        <f>IFERROR(S15/C15-1,"")</f>
        <v/>
      </c>
      <c r="Y15" s="11">
        <f>IFERROR(V15/C15-1,"")</f>
        <v/>
      </c>
      <c r="Z15" s="3">
        <f>IF(OR(W15="",ISTEXT(W15)),"sin dato",IF(W15&gt;='Léeme'!$B$19,"barato",IF(W15&lt;=-'Léeme'!$B$19,"caro","medio")))</f>
        <v/>
      </c>
      <c r="AA15" s="3">
        <f>IF(OR(X15="",ISTEXT(X15)),"sin dato",IF(X15&gt;='Léeme'!$B$19,"barato",IF(X15&lt;=-'Léeme'!$B$19,"caro","medio")))</f>
        <v/>
      </c>
      <c r="AB15" s="3">
        <f>IF(OR(U15="",ISTEXT(U15)),"sin dato",IF(U15&gt;='Léeme'!$B$20,"barato",IF(U15&lt;=-'Léeme'!$B$20,"caro","medio")))</f>
        <v/>
      </c>
      <c r="AC15" s="3">
        <f>IF(OR(Y15="",ISTEXT(Y15)),"sin dato",IF(Y15&gt;='Léeme'!$B$19,"barato",IF(Y15&lt;=-'Léeme'!$B$19,"caro","medio")))</f>
        <v/>
      </c>
      <c r="AD15" s="7" t="n"/>
      <c r="AE15" s="7" t="n"/>
      <c r="AF15" s="7" t="n"/>
      <c r="AG15" s="7" t="n"/>
    </row>
    <row r="16">
      <c r="A16" s="3" t="inlineStr">
        <is>
          <t>1995-T3</t>
        </is>
      </c>
      <c r="B16" s="13" t="n">
        <v>34971</v>
      </c>
      <c r="C16" s="14" t="n">
        <v>13.25</v>
      </c>
      <c r="D16" s="14" t="n">
        <v>1.16</v>
      </c>
      <c r="E16" s="14" t="n">
        <v>1.16</v>
      </c>
      <c r="F16" s="5" t="n">
        <v>0.0617</v>
      </c>
      <c r="N16" s="9">
        <f>IF(F16="","",F16+'Léeme'!$B$10)</f>
        <v/>
      </c>
      <c r="O16" s="9">
        <f>IF(OR(G16="",N16=""),"",MIN(MAX(G16,'Léeme'!$B$11),'Léeme'!$B$12,N16-'Léeme'!$B$16))</f>
        <v/>
      </c>
      <c r="P16" s="16">
        <f>IF(OR(D16="",O16=""),"",IFERROR(IF(D16&lt;=0,"",D16*(1+O16)/(N16-O16)),""))</f>
        <v/>
      </c>
      <c r="Q16" s="9">
        <f>IF(H16="","",MIN(MAX(H16,'Léeme'!$B$13),'Léeme'!$B$14))</f>
        <v/>
      </c>
      <c r="R16" s="9">
        <f>IF(N16="","",MIN('Léeme'!$B$15,N16-'Léeme'!$B$16))</f>
        <v/>
      </c>
      <c r="S16" s="16">
        <f>IF(OR(E16="",Q16=""),"",IFERROR(IF(E16&lt;=0,"",E16*(((1+Q16)/(1+N16))+((1+Q16)/(1+N16))^2+((1+Q16)/(1+N16))^3+((1+Q16)/(1+N16))^4+((1+Q16)/(1+N16))^5)+E16*(1+Q16)^5*(1+R16)/((N16-R16)*(1+N16)^5)),""))</f>
        <v/>
      </c>
      <c r="T16" s="9">
        <f>IF(OR(E16="",N16=""),"",IFERROR((C16*N16-E16)/(C16+E16),""))</f>
        <v/>
      </c>
      <c r="U16" s="9">
        <f>IF(OR(H16="",T16=""),"",IFERROR(MIN(MAX(H16,'Léeme'!$B$17),'Léeme'!$B$18)-T16,""))</f>
        <v/>
      </c>
      <c r="V16" s="16">
        <f>IF(OR(I16="",M16="",L16=""),"",IFERROR((I16/M16-J16-K16)/L16,""))</f>
        <v/>
      </c>
      <c r="W16" s="11">
        <f>IFERROR(P16/C16-1,"")</f>
        <v/>
      </c>
      <c r="X16" s="11">
        <f>IFERROR(S16/C16-1,"")</f>
        <v/>
      </c>
      <c r="Y16" s="11">
        <f>IFERROR(V16/C16-1,"")</f>
        <v/>
      </c>
      <c r="Z16" s="3">
        <f>IF(OR(W16="",ISTEXT(W16)),"sin dato",IF(W16&gt;='Léeme'!$B$19,"barato",IF(W16&lt;=-'Léeme'!$B$19,"caro","medio")))</f>
        <v/>
      </c>
      <c r="AA16" s="3">
        <f>IF(OR(X16="",ISTEXT(X16)),"sin dato",IF(X16&gt;='Léeme'!$B$19,"barato",IF(X16&lt;=-'Léeme'!$B$19,"caro","medio")))</f>
        <v/>
      </c>
      <c r="AB16" s="3">
        <f>IF(OR(U16="",ISTEXT(U16)),"sin dato",IF(U16&gt;='Léeme'!$B$20,"barato",IF(U16&lt;=-'Léeme'!$B$20,"caro","medio")))</f>
        <v/>
      </c>
      <c r="AC16" s="3">
        <f>IF(OR(Y16="",ISTEXT(Y16)),"sin dato",IF(Y16&gt;='Léeme'!$B$19,"barato",IF(Y16&lt;=-'Léeme'!$B$19,"caro","medio")))</f>
        <v/>
      </c>
      <c r="AD16" s="7" t="n"/>
      <c r="AE16" s="7" t="n"/>
      <c r="AF16" s="7" t="n"/>
      <c r="AG16" s="7" t="n"/>
    </row>
    <row r="17">
      <c r="A17" s="3" t="inlineStr">
        <is>
          <t>1995-T4</t>
        </is>
      </c>
      <c r="B17" s="13" t="n">
        <v>35062</v>
      </c>
      <c r="C17" s="14" t="n">
        <v>12.75</v>
      </c>
      <c r="D17" s="14" t="n">
        <v>1.16</v>
      </c>
      <c r="E17" s="14" t="n">
        <v>1.16</v>
      </c>
      <c r="F17" s="5" t="n">
        <v>0.0558</v>
      </c>
      <c r="N17" s="9">
        <f>IF(F17="","",F17+'Léeme'!$B$10)</f>
        <v/>
      </c>
      <c r="O17" s="9">
        <f>IF(OR(G17="",N17=""),"",MIN(MAX(G17,'Léeme'!$B$11),'Léeme'!$B$12,N17-'Léeme'!$B$16))</f>
        <v/>
      </c>
      <c r="P17" s="16">
        <f>IF(OR(D17="",O17=""),"",IFERROR(IF(D17&lt;=0,"",D17*(1+O17)/(N17-O17)),""))</f>
        <v/>
      </c>
      <c r="Q17" s="9">
        <f>IF(H17="","",MIN(MAX(H17,'Léeme'!$B$13),'Léeme'!$B$14))</f>
        <v/>
      </c>
      <c r="R17" s="9">
        <f>IF(N17="","",MIN('Léeme'!$B$15,N17-'Léeme'!$B$16))</f>
        <v/>
      </c>
      <c r="S17" s="16">
        <f>IF(OR(E17="",Q17=""),"",IFERROR(IF(E17&lt;=0,"",E17*(((1+Q17)/(1+N17))+((1+Q17)/(1+N17))^2+((1+Q17)/(1+N17))^3+((1+Q17)/(1+N17))^4+((1+Q17)/(1+N17))^5)+E17*(1+Q17)^5*(1+R17)/((N17-R17)*(1+N17)^5)),""))</f>
        <v/>
      </c>
      <c r="T17" s="9">
        <f>IF(OR(E17="",N17=""),"",IFERROR((C17*N17-E17)/(C17+E17),""))</f>
        <v/>
      </c>
      <c r="U17" s="9">
        <f>IF(OR(H17="",T17=""),"",IFERROR(MIN(MAX(H17,'Léeme'!$B$17),'Léeme'!$B$18)-T17,""))</f>
        <v/>
      </c>
      <c r="V17" s="16">
        <f>IF(OR(I17="",M17="",L17=""),"",IFERROR((I17/M17-J17-K17)/L17,""))</f>
        <v/>
      </c>
      <c r="W17" s="11">
        <f>IFERROR(P17/C17-1,"")</f>
        <v/>
      </c>
      <c r="X17" s="11">
        <f>IFERROR(S17/C17-1,"")</f>
        <v/>
      </c>
      <c r="Y17" s="11">
        <f>IFERROR(V17/C17-1,"")</f>
        <v/>
      </c>
      <c r="Z17" s="3">
        <f>IF(OR(W17="",ISTEXT(W17)),"sin dato",IF(W17&gt;='Léeme'!$B$19,"barato",IF(W17&lt;=-'Léeme'!$B$19,"caro","medio")))</f>
        <v/>
      </c>
      <c r="AA17" s="3">
        <f>IF(OR(X17="",ISTEXT(X17)),"sin dato",IF(X17&gt;='Léeme'!$B$19,"barato",IF(X17&lt;=-'Léeme'!$B$19,"caro","medio")))</f>
        <v/>
      </c>
      <c r="AB17" s="3">
        <f>IF(OR(U17="",ISTEXT(U17)),"sin dato",IF(U17&gt;='Léeme'!$B$20,"barato",IF(U17&lt;=-'Léeme'!$B$20,"caro","medio")))</f>
        <v/>
      </c>
      <c r="AC17" s="3">
        <f>IF(OR(Y17="",ISTEXT(Y17)),"sin dato",IF(Y17&gt;='Léeme'!$B$19,"barato",IF(Y17&lt;=-'Léeme'!$B$19,"caro","medio")))</f>
        <v/>
      </c>
      <c r="AD17" s="7" t="n"/>
      <c r="AE17" s="7" t="n"/>
      <c r="AF17" s="7" t="n"/>
      <c r="AG17" s="7" t="n"/>
    </row>
    <row r="18">
      <c r="A18" s="3" t="inlineStr">
        <is>
          <t>1996-T1</t>
        </is>
      </c>
      <c r="B18" s="13" t="n">
        <v>35153</v>
      </c>
      <c r="C18" s="14" t="n">
        <v>13.25</v>
      </c>
      <c r="D18" s="14" t="n">
        <v>1.16</v>
      </c>
      <c r="E18" s="14" t="n">
        <v>1.24</v>
      </c>
      <c r="F18" s="5" t="n">
        <v>0.0634</v>
      </c>
      <c r="N18" s="9">
        <f>IF(F18="","",F18+'Léeme'!$B$10)</f>
        <v/>
      </c>
      <c r="O18" s="9">
        <f>IF(OR(G18="",N18=""),"",MIN(MAX(G18,'Léeme'!$B$11),'Léeme'!$B$12,N18-'Léeme'!$B$16))</f>
        <v/>
      </c>
      <c r="P18" s="16">
        <f>IF(OR(D18="",O18=""),"",IFERROR(IF(D18&lt;=0,"",D18*(1+O18)/(N18-O18)),""))</f>
        <v/>
      </c>
      <c r="Q18" s="9">
        <f>IF(H18="","",MIN(MAX(H18,'Léeme'!$B$13),'Léeme'!$B$14))</f>
        <v/>
      </c>
      <c r="R18" s="9">
        <f>IF(N18="","",MIN('Léeme'!$B$15,N18-'Léeme'!$B$16))</f>
        <v/>
      </c>
      <c r="S18" s="16">
        <f>IF(OR(E18="",Q18=""),"",IFERROR(IF(E18&lt;=0,"",E18*(((1+Q18)/(1+N18))+((1+Q18)/(1+N18))^2+((1+Q18)/(1+N18))^3+((1+Q18)/(1+N18))^4+((1+Q18)/(1+N18))^5)+E18*(1+Q18)^5*(1+R18)/((N18-R18)*(1+N18)^5)),""))</f>
        <v/>
      </c>
      <c r="T18" s="9">
        <f>IF(OR(E18="",N18=""),"",IFERROR((C18*N18-E18)/(C18+E18),""))</f>
        <v/>
      </c>
      <c r="U18" s="9">
        <f>IF(OR(H18="",T18=""),"",IFERROR(MIN(MAX(H18,'Léeme'!$B$17),'Léeme'!$B$18)-T18,""))</f>
        <v/>
      </c>
      <c r="V18" s="16">
        <f>IF(OR(I18="",M18="",L18=""),"",IFERROR((I18/M18-J18-K18)/L18,""))</f>
        <v/>
      </c>
      <c r="W18" s="11">
        <f>IFERROR(P18/C18-1,"")</f>
        <v/>
      </c>
      <c r="X18" s="11">
        <f>IFERROR(S18/C18-1,"")</f>
        <v/>
      </c>
      <c r="Y18" s="11">
        <f>IFERROR(V18/C18-1,"")</f>
        <v/>
      </c>
      <c r="Z18" s="3">
        <f>IF(OR(W18="",ISTEXT(W18)),"sin dato",IF(W18&gt;='Léeme'!$B$19,"barato",IF(W18&lt;=-'Léeme'!$B$19,"caro","medio")))</f>
        <v/>
      </c>
      <c r="AA18" s="3">
        <f>IF(OR(X18="",ISTEXT(X18)),"sin dato",IF(X18&gt;='Léeme'!$B$19,"barato",IF(X18&lt;=-'Léeme'!$B$19,"caro","medio")))</f>
        <v/>
      </c>
      <c r="AB18" s="3">
        <f>IF(OR(U18="",ISTEXT(U18)),"sin dato",IF(U18&gt;='Léeme'!$B$20,"barato",IF(U18&lt;=-'Léeme'!$B$20,"caro","medio")))</f>
        <v/>
      </c>
      <c r="AC18" s="3">
        <f>IF(OR(Y18="",ISTEXT(Y18)),"sin dato",IF(Y18&gt;='Léeme'!$B$19,"barato",IF(Y18&lt;=-'Léeme'!$B$19,"caro","medio")))</f>
        <v/>
      </c>
      <c r="AD18" s="7" t="n"/>
      <c r="AE18" s="7" t="n"/>
      <c r="AF18" s="7" t="n"/>
      <c r="AG18" s="7" t="n"/>
    </row>
    <row r="19">
      <c r="A19" s="3" t="inlineStr">
        <is>
          <t>1996-T2</t>
        </is>
      </c>
      <c r="B19" s="13" t="n">
        <v>35244</v>
      </c>
      <c r="C19" s="14" t="n">
        <v>13.875</v>
      </c>
      <c r="D19" s="14" t="n">
        <v>1.16</v>
      </c>
      <c r="E19" s="14" t="n">
        <v>1.24</v>
      </c>
      <c r="F19" s="5" t="n">
        <v>0.0673</v>
      </c>
      <c r="N19" s="9">
        <f>IF(F19="","",F19+'Léeme'!$B$10)</f>
        <v/>
      </c>
      <c r="O19" s="9">
        <f>IF(OR(G19="",N19=""),"",MIN(MAX(G19,'Léeme'!$B$11),'Léeme'!$B$12,N19-'Léeme'!$B$16))</f>
        <v/>
      </c>
      <c r="P19" s="16">
        <f>IF(OR(D19="",O19=""),"",IFERROR(IF(D19&lt;=0,"",D19*(1+O19)/(N19-O19)),""))</f>
        <v/>
      </c>
      <c r="Q19" s="9">
        <f>IF(H19="","",MIN(MAX(H19,'Léeme'!$B$13),'Léeme'!$B$14))</f>
        <v/>
      </c>
      <c r="R19" s="9">
        <f>IF(N19="","",MIN('Léeme'!$B$15,N19-'Léeme'!$B$16))</f>
        <v/>
      </c>
      <c r="S19" s="16">
        <f>IF(OR(E19="",Q19=""),"",IFERROR(IF(E19&lt;=0,"",E19*(((1+Q19)/(1+N19))+((1+Q19)/(1+N19))^2+((1+Q19)/(1+N19))^3+((1+Q19)/(1+N19))^4+((1+Q19)/(1+N19))^5)+E19*(1+Q19)^5*(1+R19)/((N19-R19)*(1+N19)^5)),""))</f>
        <v/>
      </c>
      <c r="T19" s="9">
        <f>IF(OR(E19="",N19=""),"",IFERROR((C19*N19-E19)/(C19+E19),""))</f>
        <v/>
      </c>
      <c r="U19" s="9">
        <f>IF(OR(H19="",T19=""),"",IFERROR(MIN(MAX(H19,'Léeme'!$B$17),'Léeme'!$B$18)-T19,""))</f>
        <v/>
      </c>
      <c r="V19" s="16">
        <f>IF(OR(I19="",M19="",L19=""),"",IFERROR((I19/M19-J19-K19)/L19,""))</f>
        <v/>
      </c>
      <c r="W19" s="11">
        <f>IFERROR(P19/C19-1,"")</f>
        <v/>
      </c>
      <c r="X19" s="11">
        <f>IFERROR(S19/C19-1,"")</f>
        <v/>
      </c>
      <c r="Y19" s="11">
        <f>IFERROR(V19/C19-1,"")</f>
        <v/>
      </c>
      <c r="Z19" s="3">
        <f>IF(OR(W19="",ISTEXT(W19)),"sin dato",IF(W19&gt;='Léeme'!$B$19,"barato",IF(W19&lt;=-'Léeme'!$B$19,"caro","medio")))</f>
        <v/>
      </c>
      <c r="AA19" s="3">
        <f>IF(OR(X19="",ISTEXT(X19)),"sin dato",IF(X19&gt;='Léeme'!$B$19,"barato",IF(X19&lt;=-'Léeme'!$B$19,"caro","medio")))</f>
        <v/>
      </c>
      <c r="AB19" s="3">
        <f>IF(OR(U19="",ISTEXT(U19)),"sin dato",IF(U19&gt;='Léeme'!$B$20,"barato",IF(U19&lt;=-'Léeme'!$B$20,"caro","medio")))</f>
        <v/>
      </c>
      <c r="AC19" s="3">
        <f>IF(OR(Y19="",ISTEXT(Y19)),"sin dato",IF(Y19&gt;='Léeme'!$B$19,"barato",IF(Y19&lt;=-'Léeme'!$B$19,"caro","medio")))</f>
        <v/>
      </c>
      <c r="AD19" s="7" t="n"/>
      <c r="AE19" s="7" t="n"/>
      <c r="AF19" s="7" t="n"/>
      <c r="AG19" s="7" t="n"/>
    </row>
    <row r="20">
      <c r="A20" s="3" t="inlineStr">
        <is>
          <t>1996-T3</t>
        </is>
      </c>
      <c r="B20" s="13" t="n">
        <v>35338</v>
      </c>
      <c r="C20" s="14" t="n">
        <v>13.625</v>
      </c>
      <c r="D20" s="14" t="n">
        <v>1.2</v>
      </c>
      <c r="E20" s="14" t="n">
        <v>1.24</v>
      </c>
      <c r="F20" s="5" t="n">
        <v>0.0672</v>
      </c>
      <c r="N20" s="9">
        <f>IF(F20="","",F20+'Léeme'!$B$10)</f>
        <v/>
      </c>
      <c r="O20" s="9">
        <f>IF(OR(G20="",N20=""),"",MIN(MAX(G20,'Léeme'!$B$11),'Léeme'!$B$12,N20-'Léeme'!$B$16))</f>
        <v/>
      </c>
      <c r="P20" s="16">
        <f>IF(OR(D20="",O20=""),"",IFERROR(IF(D20&lt;=0,"",D20*(1+O20)/(N20-O20)),""))</f>
        <v/>
      </c>
      <c r="Q20" s="9">
        <f>IF(H20="","",MIN(MAX(H20,'Léeme'!$B$13),'Léeme'!$B$14))</f>
        <v/>
      </c>
      <c r="R20" s="9">
        <f>IF(N20="","",MIN('Léeme'!$B$15,N20-'Léeme'!$B$16))</f>
        <v/>
      </c>
      <c r="S20" s="16">
        <f>IF(OR(E20="",Q20=""),"",IFERROR(IF(E20&lt;=0,"",E20*(((1+Q20)/(1+N20))+((1+Q20)/(1+N20))^2+((1+Q20)/(1+N20))^3+((1+Q20)/(1+N20))^4+((1+Q20)/(1+N20))^5)+E20*(1+Q20)^5*(1+R20)/((N20-R20)*(1+N20)^5)),""))</f>
        <v/>
      </c>
      <c r="T20" s="9">
        <f>IF(OR(E20="",N20=""),"",IFERROR((C20*N20-E20)/(C20+E20),""))</f>
        <v/>
      </c>
      <c r="U20" s="9">
        <f>IF(OR(H20="",T20=""),"",IFERROR(MIN(MAX(H20,'Léeme'!$B$17),'Léeme'!$B$18)-T20,""))</f>
        <v/>
      </c>
      <c r="V20" s="16">
        <f>IF(OR(I20="",M20="",L20=""),"",IFERROR((I20/M20-J20-K20)/L20,""))</f>
        <v/>
      </c>
      <c r="W20" s="11">
        <f>IFERROR(P20/C20-1,"")</f>
        <v/>
      </c>
      <c r="X20" s="11">
        <f>IFERROR(S20/C20-1,"")</f>
        <v/>
      </c>
      <c r="Y20" s="11">
        <f>IFERROR(V20/C20-1,"")</f>
        <v/>
      </c>
      <c r="Z20" s="3">
        <f>IF(OR(W20="",ISTEXT(W20)),"sin dato",IF(W20&gt;='Léeme'!$B$19,"barato",IF(W20&lt;=-'Léeme'!$B$19,"caro","medio")))</f>
        <v/>
      </c>
      <c r="AA20" s="3">
        <f>IF(OR(X20="",ISTEXT(X20)),"sin dato",IF(X20&gt;='Léeme'!$B$19,"barato",IF(X20&lt;=-'Léeme'!$B$19,"caro","medio")))</f>
        <v/>
      </c>
      <c r="AB20" s="3">
        <f>IF(OR(U20="",ISTEXT(U20)),"sin dato",IF(U20&gt;='Léeme'!$B$20,"barato",IF(U20&lt;=-'Léeme'!$B$20,"caro","medio")))</f>
        <v/>
      </c>
      <c r="AC20" s="3">
        <f>IF(OR(Y20="",ISTEXT(Y20)),"sin dato",IF(Y20&gt;='Léeme'!$B$19,"barato",IF(Y20&lt;=-'Léeme'!$B$19,"caro","medio")))</f>
        <v/>
      </c>
      <c r="AD20" s="7" t="n"/>
      <c r="AE20" s="7" t="n"/>
      <c r="AF20" s="7" t="n"/>
      <c r="AG20" s="7" t="n"/>
    </row>
    <row r="21">
      <c r="A21" s="3" t="inlineStr">
        <is>
          <t>1996-T4</t>
        </is>
      </c>
      <c r="B21" s="13" t="n">
        <v>35430</v>
      </c>
      <c r="C21" s="14" t="n">
        <v>15.875</v>
      </c>
      <c r="D21" s="14" t="n">
        <v>1.2</v>
      </c>
      <c r="E21" s="14" t="n">
        <v>1.24</v>
      </c>
      <c r="F21" s="5" t="n">
        <v>0.0643</v>
      </c>
      <c r="N21" s="9">
        <f>IF(F21="","",F21+'Léeme'!$B$10)</f>
        <v/>
      </c>
      <c r="O21" s="9">
        <f>IF(OR(G21="",N21=""),"",MIN(MAX(G21,'Léeme'!$B$11),'Léeme'!$B$12,N21-'Léeme'!$B$16))</f>
        <v/>
      </c>
      <c r="P21" s="16">
        <f>IF(OR(D21="",O21=""),"",IFERROR(IF(D21&lt;=0,"",D21*(1+O21)/(N21-O21)),""))</f>
        <v/>
      </c>
      <c r="Q21" s="9">
        <f>IF(H21="","",MIN(MAX(H21,'Léeme'!$B$13),'Léeme'!$B$14))</f>
        <v/>
      </c>
      <c r="R21" s="9">
        <f>IF(N21="","",MIN('Léeme'!$B$15,N21-'Léeme'!$B$16))</f>
        <v/>
      </c>
      <c r="S21" s="16">
        <f>IF(OR(E21="",Q21=""),"",IFERROR(IF(E21&lt;=0,"",E21*(((1+Q21)/(1+N21))+((1+Q21)/(1+N21))^2+((1+Q21)/(1+N21))^3+((1+Q21)/(1+N21))^4+((1+Q21)/(1+N21))^5)+E21*(1+Q21)^5*(1+R21)/((N21-R21)*(1+N21)^5)),""))</f>
        <v/>
      </c>
      <c r="T21" s="9">
        <f>IF(OR(E21="",N21=""),"",IFERROR((C21*N21-E21)/(C21+E21),""))</f>
        <v/>
      </c>
      <c r="U21" s="9">
        <f>IF(OR(H21="",T21=""),"",IFERROR(MIN(MAX(H21,'Léeme'!$B$17),'Léeme'!$B$18)-T21,""))</f>
        <v/>
      </c>
      <c r="V21" s="16">
        <f>IF(OR(I21="",M21="",L21=""),"",IFERROR((I21/M21-J21-K21)/L21,""))</f>
        <v/>
      </c>
      <c r="W21" s="11">
        <f>IFERROR(P21/C21-1,"")</f>
        <v/>
      </c>
      <c r="X21" s="11">
        <f>IFERROR(S21/C21-1,"")</f>
        <v/>
      </c>
      <c r="Y21" s="11">
        <f>IFERROR(V21/C21-1,"")</f>
        <v/>
      </c>
      <c r="Z21" s="3">
        <f>IF(OR(W21="",ISTEXT(W21)),"sin dato",IF(W21&gt;='Léeme'!$B$19,"barato",IF(W21&lt;=-'Léeme'!$B$19,"caro","medio")))</f>
        <v/>
      </c>
      <c r="AA21" s="3">
        <f>IF(OR(X21="",ISTEXT(X21)),"sin dato",IF(X21&gt;='Léeme'!$B$19,"barato",IF(X21&lt;=-'Léeme'!$B$19,"caro","medio")))</f>
        <v/>
      </c>
      <c r="AB21" s="3">
        <f>IF(OR(U21="",ISTEXT(U21)),"sin dato",IF(U21&gt;='Léeme'!$B$20,"barato",IF(U21&lt;=-'Léeme'!$B$20,"caro","medio")))</f>
        <v/>
      </c>
      <c r="AC21" s="3">
        <f>IF(OR(Y21="",ISTEXT(Y21)),"sin dato",IF(Y21&gt;='Léeme'!$B$19,"barato",IF(Y21&lt;=-'Léeme'!$B$19,"caro","medio")))</f>
        <v/>
      </c>
      <c r="AD21" s="7" t="n"/>
      <c r="AE21" s="7" t="n"/>
      <c r="AF21" s="7" t="n"/>
      <c r="AG21" s="7" t="n"/>
    </row>
    <row r="22">
      <c r="A22" s="3" t="inlineStr">
        <is>
          <t>1997-T1</t>
        </is>
      </c>
      <c r="B22" s="13" t="n">
        <v>35520</v>
      </c>
      <c r="C22" s="14" t="n">
        <v>14.75</v>
      </c>
      <c r="D22" s="14" t="n">
        <v>1.2</v>
      </c>
      <c r="E22" s="14" t="n">
        <v>1.34</v>
      </c>
      <c r="F22" s="5" t="n">
        <v>0.0692</v>
      </c>
      <c r="G22" s="5" t="n">
        <v>0.02129568760013512</v>
      </c>
      <c r="N22" s="9">
        <f>IF(F22="","",F22+'Léeme'!$B$10)</f>
        <v/>
      </c>
      <c r="O22" s="9">
        <f>IF(OR(G22="",N22=""),"",MIN(MAX(G22,'Léeme'!$B$11),'Léeme'!$B$12,N22-'Léeme'!$B$16))</f>
        <v/>
      </c>
      <c r="P22" s="16">
        <f>IF(OR(D22="",O22=""),"",IFERROR(IF(D22&lt;=0,"",D22*(1+O22)/(N22-O22)),""))</f>
        <v/>
      </c>
      <c r="Q22" s="9">
        <f>IF(H22="","",MIN(MAX(H22,'Léeme'!$B$13),'Léeme'!$B$14))</f>
        <v/>
      </c>
      <c r="R22" s="9">
        <f>IF(N22="","",MIN('Léeme'!$B$15,N22-'Léeme'!$B$16))</f>
        <v/>
      </c>
      <c r="S22" s="16">
        <f>IF(OR(E22="",Q22=""),"",IFERROR(IF(E22&lt;=0,"",E22*(((1+Q22)/(1+N22))+((1+Q22)/(1+N22))^2+((1+Q22)/(1+N22))^3+((1+Q22)/(1+N22))^4+((1+Q22)/(1+N22))^5)+E22*(1+Q22)^5*(1+R22)/((N22-R22)*(1+N22)^5)),""))</f>
        <v/>
      </c>
      <c r="T22" s="9">
        <f>IF(OR(E22="",N22=""),"",IFERROR((C22*N22-E22)/(C22+E22),""))</f>
        <v/>
      </c>
      <c r="U22" s="9">
        <f>IF(OR(H22="",T22=""),"",IFERROR(MIN(MAX(H22,'Léeme'!$B$17),'Léeme'!$B$18)-T22,""))</f>
        <v/>
      </c>
      <c r="V22" s="16">
        <f>IF(OR(I22="",M22="",L22=""),"",IFERROR((I22/M22-J22-K22)/L22,""))</f>
        <v/>
      </c>
      <c r="W22" s="11">
        <f>IFERROR(P22/C22-1,"")</f>
        <v/>
      </c>
      <c r="X22" s="11">
        <f>IFERROR(S22/C22-1,"")</f>
        <v/>
      </c>
      <c r="Y22" s="11">
        <f>IFERROR(V22/C22-1,"")</f>
        <v/>
      </c>
      <c r="Z22" s="3">
        <f>IF(OR(W22="",ISTEXT(W22)),"sin dato",IF(W22&gt;='Léeme'!$B$19,"barato",IF(W22&lt;=-'Léeme'!$B$19,"caro","medio")))</f>
        <v/>
      </c>
      <c r="AA22" s="3">
        <f>IF(OR(X22="",ISTEXT(X22)),"sin dato",IF(X22&gt;='Léeme'!$B$19,"barato",IF(X22&lt;=-'Léeme'!$B$19,"caro","medio")))</f>
        <v/>
      </c>
      <c r="AB22" s="3">
        <f>IF(OR(U22="",ISTEXT(U22)),"sin dato",IF(U22&gt;='Léeme'!$B$20,"barato",IF(U22&lt;=-'Léeme'!$B$20,"caro","medio")))</f>
        <v/>
      </c>
      <c r="AC22" s="3">
        <f>IF(OR(Y22="",ISTEXT(Y22)),"sin dato",IF(Y22&gt;='Léeme'!$B$19,"barato",IF(Y22&lt;=-'Léeme'!$B$19,"caro","medio")))</f>
        <v/>
      </c>
      <c r="AD22" s="7" t="n"/>
      <c r="AE22" s="7" t="n"/>
      <c r="AF22" s="7" t="n"/>
      <c r="AG22" s="7" t="n"/>
    </row>
    <row r="23">
      <c r="A23" s="3" t="inlineStr">
        <is>
          <t>1997-T2</t>
        </is>
      </c>
      <c r="B23" s="13" t="n">
        <v>35611</v>
      </c>
      <c r="C23" s="14" t="n">
        <v>15.3125</v>
      </c>
      <c r="D23" s="14" t="n">
        <v>1.2</v>
      </c>
      <c r="E23" s="14" t="n">
        <v>1.34</v>
      </c>
      <c r="F23" s="5" t="n">
        <v>0.06509999999999999</v>
      </c>
      <c r="G23" s="5" t="n">
        <v>0.02129568760013512</v>
      </c>
      <c r="N23" s="9">
        <f>IF(F23="","",F23+'Léeme'!$B$10)</f>
        <v/>
      </c>
      <c r="O23" s="9">
        <f>IF(OR(G23="",N23=""),"",MIN(MAX(G23,'Léeme'!$B$11),'Léeme'!$B$12,N23-'Léeme'!$B$16))</f>
        <v/>
      </c>
      <c r="P23" s="16">
        <f>IF(OR(D23="",O23=""),"",IFERROR(IF(D23&lt;=0,"",D23*(1+O23)/(N23-O23)),""))</f>
        <v/>
      </c>
      <c r="Q23" s="9">
        <f>IF(H23="","",MIN(MAX(H23,'Léeme'!$B$13),'Léeme'!$B$14))</f>
        <v/>
      </c>
      <c r="R23" s="9">
        <f>IF(N23="","",MIN('Léeme'!$B$15,N23-'Léeme'!$B$16))</f>
        <v/>
      </c>
      <c r="S23" s="16">
        <f>IF(OR(E23="",Q23=""),"",IFERROR(IF(E23&lt;=0,"",E23*(((1+Q23)/(1+N23))+((1+Q23)/(1+N23))^2+((1+Q23)/(1+N23))^3+((1+Q23)/(1+N23))^4+((1+Q23)/(1+N23))^5)+E23*(1+Q23)^5*(1+R23)/((N23-R23)*(1+N23)^5)),""))</f>
        <v/>
      </c>
      <c r="T23" s="9">
        <f>IF(OR(E23="",N23=""),"",IFERROR((C23*N23-E23)/(C23+E23),""))</f>
        <v/>
      </c>
      <c r="U23" s="9">
        <f>IF(OR(H23="",T23=""),"",IFERROR(MIN(MAX(H23,'Léeme'!$B$17),'Léeme'!$B$18)-T23,""))</f>
        <v/>
      </c>
      <c r="V23" s="16">
        <f>IF(OR(I23="",M23="",L23=""),"",IFERROR((I23/M23-J23-K23)/L23,""))</f>
        <v/>
      </c>
      <c r="W23" s="11">
        <f>IFERROR(P23/C23-1,"")</f>
        <v/>
      </c>
      <c r="X23" s="11">
        <f>IFERROR(S23/C23-1,"")</f>
        <v/>
      </c>
      <c r="Y23" s="11">
        <f>IFERROR(V23/C23-1,"")</f>
        <v/>
      </c>
      <c r="Z23" s="3">
        <f>IF(OR(W23="",ISTEXT(W23)),"sin dato",IF(W23&gt;='Léeme'!$B$19,"barato",IF(W23&lt;=-'Léeme'!$B$19,"caro","medio")))</f>
        <v/>
      </c>
      <c r="AA23" s="3">
        <f>IF(OR(X23="",ISTEXT(X23)),"sin dato",IF(X23&gt;='Léeme'!$B$19,"barato",IF(X23&lt;=-'Léeme'!$B$19,"caro","medio")))</f>
        <v/>
      </c>
      <c r="AB23" s="3">
        <f>IF(OR(U23="",ISTEXT(U23)),"sin dato",IF(U23&gt;='Léeme'!$B$20,"barato",IF(U23&lt;=-'Léeme'!$B$20,"caro","medio")))</f>
        <v/>
      </c>
      <c r="AC23" s="3">
        <f>IF(OR(Y23="",ISTEXT(Y23)),"sin dato",IF(Y23&gt;='Léeme'!$B$19,"barato",IF(Y23&lt;=-'Léeme'!$B$19,"caro","medio")))</f>
        <v/>
      </c>
      <c r="AD23" s="7" t="n"/>
      <c r="AE23" s="7" t="n"/>
      <c r="AF23" s="7" t="n"/>
      <c r="AG23" s="7" t="n"/>
    </row>
    <row r="24">
      <c r="A24" s="3" t="inlineStr">
        <is>
          <t>1997-T3</t>
        </is>
      </c>
      <c r="B24" s="13" t="n">
        <v>35703</v>
      </c>
      <c r="C24" s="14" t="n">
        <v>15.9375</v>
      </c>
      <c r="D24" s="14" t="n">
        <v>1.2</v>
      </c>
      <c r="E24" s="14" t="n">
        <v>1.34</v>
      </c>
      <c r="F24" s="5" t="n">
        <v>0.0612</v>
      </c>
      <c r="G24" s="5" t="n">
        <v>0.02129568760013512</v>
      </c>
      <c r="N24" s="9">
        <f>IF(F24="","",F24+'Léeme'!$B$10)</f>
        <v/>
      </c>
      <c r="O24" s="9">
        <f>IF(OR(G24="",N24=""),"",MIN(MAX(G24,'Léeme'!$B$11),'Léeme'!$B$12,N24-'Léeme'!$B$16))</f>
        <v/>
      </c>
      <c r="P24" s="16">
        <f>IF(OR(D24="",O24=""),"",IFERROR(IF(D24&lt;=0,"",D24*(1+O24)/(N24-O24)),""))</f>
        <v/>
      </c>
      <c r="Q24" s="9">
        <f>IF(H24="","",MIN(MAX(H24,'Léeme'!$B$13),'Léeme'!$B$14))</f>
        <v/>
      </c>
      <c r="R24" s="9">
        <f>IF(N24="","",MIN('Léeme'!$B$15,N24-'Léeme'!$B$16))</f>
        <v/>
      </c>
      <c r="S24" s="16">
        <f>IF(OR(E24="",Q24=""),"",IFERROR(IF(E24&lt;=0,"",E24*(((1+Q24)/(1+N24))+((1+Q24)/(1+N24))^2+((1+Q24)/(1+N24))^3+((1+Q24)/(1+N24))^4+((1+Q24)/(1+N24))^5)+E24*(1+Q24)^5*(1+R24)/((N24-R24)*(1+N24)^5)),""))</f>
        <v/>
      </c>
      <c r="T24" s="9">
        <f>IF(OR(E24="",N24=""),"",IFERROR((C24*N24-E24)/(C24+E24),""))</f>
        <v/>
      </c>
      <c r="U24" s="9">
        <f>IF(OR(H24="",T24=""),"",IFERROR(MIN(MAX(H24,'Léeme'!$B$17),'Léeme'!$B$18)-T24,""))</f>
        <v/>
      </c>
      <c r="V24" s="16">
        <f>IF(OR(I24="",M24="",L24=""),"",IFERROR((I24/M24-J24-K24)/L24,""))</f>
        <v/>
      </c>
      <c r="W24" s="11">
        <f>IFERROR(P24/C24-1,"")</f>
        <v/>
      </c>
      <c r="X24" s="11">
        <f>IFERROR(S24/C24-1,"")</f>
        <v/>
      </c>
      <c r="Y24" s="11">
        <f>IFERROR(V24/C24-1,"")</f>
        <v/>
      </c>
      <c r="Z24" s="3">
        <f>IF(OR(W24="",ISTEXT(W24)),"sin dato",IF(W24&gt;='Léeme'!$B$19,"barato",IF(W24&lt;=-'Léeme'!$B$19,"caro","medio")))</f>
        <v/>
      </c>
      <c r="AA24" s="3">
        <f>IF(OR(X24="",ISTEXT(X24)),"sin dato",IF(X24&gt;='Léeme'!$B$19,"barato",IF(X24&lt;=-'Léeme'!$B$19,"caro","medio")))</f>
        <v/>
      </c>
      <c r="AB24" s="3">
        <f>IF(OR(U24="",ISTEXT(U24)),"sin dato",IF(U24&gt;='Léeme'!$B$20,"barato",IF(U24&lt;=-'Léeme'!$B$20,"caro","medio")))</f>
        <v/>
      </c>
      <c r="AC24" s="3">
        <f>IF(OR(Y24="",ISTEXT(Y24)),"sin dato",IF(Y24&gt;='Léeme'!$B$19,"barato",IF(Y24&lt;=-'Léeme'!$B$19,"caro","medio")))</f>
        <v/>
      </c>
      <c r="AD24" s="7" t="n"/>
      <c r="AE24" s="7" t="n"/>
      <c r="AF24" s="7" t="n"/>
      <c r="AG24" s="7" t="n"/>
    </row>
    <row r="25">
      <c r="A25" s="3" t="inlineStr">
        <is>
          <t>1997-T4</t>
        </is>
      </c>
      <c r="B25" s="13" t="n">
        <v>35795</v>
      </c>
      <c r="C25" s="14" t="n">
        <v>17.875</v>
      </c>
      <c r="D25" s="14" t="n">
        <v>1.2</v>
      </c>
      <c r="E25" s="14" t="n">
        <v>1.34</v>
      </c>
      <c r="F25" s="5" t="n">
        <v>0.0575</v>
      </c>
      <c r="G25" s="5" t="n">
        <v>0.02129568760013512</v>
      </c>
      <c r="N25" s="9">
        <f>IF(F25="","",F25+'Léeme'!$B$10)</f>
        <v/>
      </c>
      <c r="O25" s="9">
        <f>IF(OR(G25="",N25=""),"",MIN(MAX(G25,'Léeme'!$B$11),'Léeme'!$B$12,N25-'Léeme'!$B$16))</f>
        <v/>
      </c>
      <c r="P25" s="16">
        <f>IF(OR(D25="",O25=""),"",IFERROR(IF(D25&lt;=0,"",D25*(1+O25)/(N25-O25)),""))</f>
        <v/>
      </c>
      <c r="Q25" s="9">
        <f>IF(H25="","",MIN(MAX(H25,'Léeme'!$B$13),'Léeme'!$B$14))</f>
        <v/>
      </c>
      <c r="R25" s="9">
        <f>IF(N25="","",MIN('Léeme'!$B$15,N25-'Léeme'!$B$16))</f>
        <v/>
      </c>
      <c r="S25" s="16">
        <f>IF(OR(E25="",Q25=""),"",IFERROR(IF(E25&lt;=0,"",E25*(((1+Q25)/(1+N25))+((1+Q25)/(1+N25))^2+((1+Q25)/(1+N25))^3+((1+Q25)/(1+N25))^4+((1+Q25)/(1+N25))^5)+E25*(1+Q25)^5*(1+R25)/((N25-R25)*(1+N25)^5)),""))</f>
        <v/>
      </c>
      <c r="T25" s="9">
        <f>IF(OR(E25="",N25=""),"",IFERROR((C25*N25-E25)/(C25+E25),""))</f>
        <v/>
      </c>
      <c r="U25" s="9">
        <f>IF(OR(H25="",T25=""),"",IFERROR(MIN(MAX(H25,'Léeme'!$B$17),'Léeme'!$B$18)-T25,""))</f>
        <v/>
      </c>
      <c r="V25" s="16">
        <f>IF(OR(I25="",M25="",L25=""),"",IFERROR((I25/M25-J25-K25)/L25,""))</f>
        <v/>
      </c>
      <c r="W25" s="11">
        <f>IFERROR(P25/C25-1,"")</f>
        <v/>
      </c>
      <c r="X25" s="11">
        <f>IFERROR(S25/C25-1,"")</f>
        <v/>
      </c>
      <c r="Y25" s="11">
        <f>IFERROR(V25/C25-1,"")</f>
        <v/>
      </c>
      <c r="Z25" s="3">
        <f>IF(OR(W25="",ISTEXT(W25)),"sin dato",IF(W25&gt;='Léeme'!$B$19,"barato",IF(W25&lt;=-'Léeme'!$B$19,"caro","medio")))</f>
        <v/>
      </c>
      <c r="AA25" s="3">
        <f>IF(OR(X25="",ISTEXT(X25)),"sin dato",IF(X25&gt;='Léeme'!$B$19,"barato",IF(X25&lt;=-'Léeme'!$B$19,"caro","medio")))</f>
        <v/>
      </c>
      <c r="AB25" s="3">
        <f>IF(OR(U25="",ISTEXT(U25)),"sin dato",IF(U25&gt;='Léeme'!$B$20,"barato",IF(U25&lt;=-'Léeme'!$B$20,"caro","medio")))</f>
        <v/>
      </c>
      <c r="AC25" s="3">
        <f>IF(OR(Y25="",ISTEXT(Y25)),"sin dato",IF(Y25&gt;='Léeme'!$B$19,"barato",IF(Y25&lt;=-'Léeme'!$B$19,"caro","medio")))</f>
        <v/>
      </c>
      <c r="AD25" s="7" t="n"/>
      <c r="AE25" s="7" t="n"/>
      <c r="AF25" s="7" t="n"/>
      <c r="AG25" s="7" t="n"/>
    </row>
    <row r="26">
      <c r="A26" s="3" t="inlineStr">
        <is>
          <t>1998-T1</t>
        </is>
      </c>
      <c r="B26" s="13" t="n">
        <v>35885</v>
      </c>
      <c r="C26" s="14" t="n">
        <v>17.625</v>
      </c>
      <c r="D26" s="14" t="n">
        <v>1.2</v>
      </c>
      <c r="E26" s="14" t="n">
        <v>1.4132</v>
      </c>
      <c r="F26" s="5" t="n">
        <v>0.0567</v>
      </c>
      <c r="G26" s="5" t="n">
        <v>0.02129568760013512</v>
      </c>
      <c r="H26" s="5" t="n">
        <v>0.04208023239385383</v>
      </c>
      <c r="N26" s="9">
        <f>IF(F26="","",F26+'Léeme'!$B$10)</f>
        <v/>
      </c>
      <c r="O26" s="9">
        <f>IF(OR(G26="",N26=""),"",MIN(MAX(G26,'Léeme'!$B$11),'Léeme'!$B$12,N26-'Léeme'!$B$16))</f>
        <v/>
      </c>
      <c r="P26" s="16">
        <f>IF(OR(D26="",O26=""),"",IFERROR(IF(D26&lt;=0,"",D26*(1+O26)/(N26-O26)),""))</f>
        <v/>
      </c>
      <c r="Q26" s="9">
        <f>IF(H26="","",MIN(MAX(H26,'Léeme'!$B$13),'Léeme'!$B$14))</f>
        <v/>
      </c>
      <c r="R26" s="9">
        <f>IF(N26="","",MIN('Léeme'!$B$15,N26-'Léeme'!$B$16))</f>
        <v/>
      </c>
      <c r="S26" s="16">
        <f>IF(OR(E26="",Q26=""),"",IFERROR(IF(E26&lt;=0,"",E26*(((1+Q26)/(1+N26))+((1+Q26)/(1+N26))^2+((1+Q26)/(1+N26))^3+((1+Q26)/(1+N26))^4+((1+Q26)/(1+N26))^5)+E26*(1+Q26)^5*(1+R26)/((N26-R26)*(1+N26)^5)),""))</f>
        <v/>
      </c>
      <c r="T26" s="9">
        <f>IF(OR(E26="",N26=""),"",IFERROR((C26*N26-E26)/(C26+E26),""))</f>
        <v/>
      </c>
      <c r="U26" s="9">
        <f>IF(OR(H26="",T26=""),"",IFERROR(MIN(MAX(H26,'Léeme'!$B$17),'Léeme'!$B$18)-T26,""))</f>
        <v/>
      </c>
      <c r="V26" s="16">
        <f>IF(OR(I26="",M26="",L26=""),"",IFERROR((I26/M26-J26-K26)/L26,""))</f>
        <v/>
      </c>
      <c r="W26" s="11">
        <f>IFERROR(P26/C26-1,"")</f>
        <v/>
      </c>
      <c r="X26" s="11">
        <f>IFERROR(S26/C26-1,"")</f>
        <v/>
      </c>
      <c r="Y26" s="11">
        <f>IFERROR(V26/C26-1,"")</f>
        <v/>
      </c>
      <c r="Z26" s="3">
        <f>IF(OR(W26="",ISTEXT(W26)),"sin dato",IF(W26&gt;='Léeme'!$B$19,"barato",IF(W26&lt;=-'Léeme'!$B$19,"caro","medio")))</f>
        <v/>
      </c>
      <c r="AA26" s="3">
        <f>IF(OR(X26="",ISTEXT(X26)),"sin dato",IF(X26&gt;='Léeme'!$B$19,"barato",IF(X26&lt;=-'Léeme'!$B$19,"caro","medio")))</f>
        <v/>
      </c>
      <c r="AB26" s="3">
        <f>IF(OR(U26="",ISTEXT(U26)),"sin dato",IF(U26&gt;='Léeme'!$B$20,"barato",IF(U26&lt;=-'Léeme'!$B$20,"caro","medio")))</f>
        <v/>
      </c>
      <c r="AC26" s="3">
        <f>IF(OR(Y26="",ISTEXT(Y26)),"sin dato",IF(Y26&gt;='Léeme'!$B$19,"barato",IF(Y26&lt;=-'Léeme'!$B$19,"caro","medio")))</f>
        <v/>
      </c>
      <c r="AD26" s="7" t="n"/>
      <c r="AE26" s="7" t="n"/>
      <c r="AF26" s="7" t="n"/>
      <c r="AG26" s="7" t="n"/>
    </row>
    <row r="27">
      <c r="A27" s="3" t="inlineStr">
        <is>
          <t>1998-T2</t>
        </is>
      </c>
      <c r="B27" s="13" t="n">
        <v>35976</v>
      </c>
      <c r="C27" s="14" t="n">
        <v>16.1875</v>
      </c>
      <c r="D27" s="14" t="n">
        <v>1.24</v>
      </c>
      <c r="E27" s="14" t="n">
        <v>1.4132</v>
      </c>
      <c r="F27" s="5" t="n">
        <v>0.0544</v>
      </c>
      <c r="G27" s="5" t="n">
        <v>0.0280153179958833</v>
      </c>
      <c r="H27" s="5" t="n">
        <v>0.04208023239385383</v>
      </c>
      <c r="N27" s="9">
        <f>IF(F27="","",F27+'Léeme'!$B$10)</f>
        <v/>
      </c>
      <c r="O27" s="9">
        <f>IF(OR(G27="",N27=""),"",MIN(MAX(G27,'Léeme'!$B$11),'Léeme'!$B$12,N27-'Léeme'!$B$16))</f>
        <v/>
      </c>
      <c r="P27" s="16">
        <f>IF(OR(D27="",O27=""),"",IFERROR(IF(D27&lt;=0,"",D27*(1+O27)/(N27-O27)),""))</f>
        <v/>
      </c>
      <c r="Q27" s="9">
        <f>IF(H27="","",MIN(MAX(H27,'Léeme'!$B$13),'Léeme'!$B$14))</f>
        <v/>
      </c>
      <c r="R27" s="9">
        <f>IF(N27="","",MIN('Léeme'!$B$15,N27-'Léeme'!$B$16))</f>
        <v/>
      </c>
      <c r="S27" s="16">
        <f>IF(OR(E27="",Q27=""),"",IFERROR(IF(E27&lt;=0,"",E27*(((1+Q27)/(1+N27))+((1+Q27)/(1+N27))^2+((1+Q27)/(1+N27))^3+((1+Q27)/(1+N27))^4+((1+Q27)/(1+N27))^5)+E27*(1+Q27)^5*(1+R27)/((N27-R27)*(1+N27)^5)),""))</f>
        <v/>
      </c>
      <c r="T27" s="9">
        <f>IF(OR(E27="",N27=""),"",IFERROR((C27*N27-E27)/(C27+E27),""))</f>
        <v/>
      </c>
      <c r="U27" s="9">
        <f>IF(OR(H27="",T27=""),"",IFERROR(MIN(MAX(H27,'Léeme'!$B$17),'Léeme'!$B$18)-T27,""))</f>
        <v/>
      </c>
      <c r="V27" s="16">
        <f>IF(OR(I27="",M27="",L27=""),"",IFERROR((I27/M27-J27-K27)/L27,""))</f>
        <v/>
      </c>
      <c r="W27" s="11">
        <f>IFERROR(P27/C27-1,"")</f>
        <v/>
      </c>
      <c r="X27" s="11">
        <f>IFERROR(S27/C27-1,"")</f>
        <v/>
      </c>
      <c r="Y27" s="11">
        <f>IFERROR(V27/C27-1,"")</f>
        <v/>
      </c>
      <c r="Z27" s="3">
        <f>IF(OR(W27="",ISTEXT(W27)),"sin dato",IF(W27&gt;='Léeme'!$B$19,"barato",IF(W27&lt;=-'Léeme'!$B$19,"caro","medio")))</f>
        <v/>
      </c>
      <c r="AA27" s="3">
        <f>IF(OR(X27="",ISTEXT(X27)),"sin dato",IF(X27&gt;='Léeme'!$B$19,"barato",IF(X27&lt;=-'Léeme'!$B$19,"caro","medio")))</f>
        <v/>
      </c>
      <c r="AB27" s="3">
        <f>IF(OR(U27="",ISTEXT(U27)),"sin dato",IF(U27&gt;='Léeme'!$B$20,"barato",IF(U27&lt;=-'Léeme'!$B$20,"caro","medio")))</f>
        <v/>
      </c>
      <c r="AC27" s="3">
        <f>IF(OR(Y27="",ISTEXT(Y27)),"sin dato",IF(Y27&gt;='Léeme'!$B$19,"barato",IF(Y27&lt;=-'Léeme'!$B$19,"caro","medio")))</f>
        <v/>
      </c>
      <c r="AD27" s="7" t="n"/>
      <c r="AE27" s="7" t="n"/>
      <c r="AF27" s="7" t="n"/>
      <c r="AG27" s="7" t="n"/>
    </row>
    <row r="28">
      <c r="A28" s="3" t="inlineStr">
        <is>
          <t>1998-T3</t>
        </is>
      </c>
      <c r="B28" s="13" t="n">
        <v>36068</v>
      </c>
      <c r="C28" s="14" t="n">
        <v>14.625</v>
      </c>
      <c r="D28" s="14" t="n">
        <v>1.24</v>
      </c>
      <c r="E28" s="14" t="n">
        <v>1.4132</v>
      </c>
      <c r="F28" s="5" t="n">
        <v>0.0444</v>
      </c>
      <c r="G28" s="5" t="n">
        <v>0.02056514630321193</v>
      </c>
      <c r="H28" s="5" t="n">
        <v>0.04208023239385383</v>
      </c>
      <c r="N28" s="9">
        <f>IF(F28="","",F28+'Léeme'!$B$10)</f>
        <v/>
      </c>
      <c r="O28" s="9">
        <f>IF(OR(G28="",N28=""),"",MIN(MAX(G28,'Léeme'!$B$11),'Léeme'!$B$12,N28-'Léeme'!$B$16))</f>
        <v/>
      </c>
      <c r="P28" s="16">
        <f>IF(OR(D28="",O28=""),"",IFERROR(IF(D28&lt;=0,"",D28*(1+O28)/(N28-O28)),""))</f>
        <v/>
      </c>
      <c r="Q28" s="9">
        <f>IF(H28="","",MIN(MAX(H28,'Léeme'!$B$13),'Léeme'!$B$14))</f>
        <v/>
      </c>
      <c r="R28" s="9">
        <f>IF(N28="","",MIN('Léeme'!$B$15,N28-'Léeme'!$B$16))</f>
        <v/>
      </c>
      <c r="S28" s="16">
        <f>IF(OR(E28="",Q28=""),"",IFERROR(IF(E28&lt;=0,"",E28*(((1+Q28)/(1+N28))+((1+Q28)/(1+N28))^2+((1+Q28)/(1+N28))^3+((1+Q28)/(1+N28))^4+((1+Q28)/(1+N28))^5)+E28*(1+Q28)^5*(1+R28)/((N28-R28)*(1+N28)^5)),""))</f>
        <v/>
      </c>
      <c r="T28" s="9">
        <f>IF(OR(E28="",N28=""),"",IFERROR((C28*N28-E28)/(C28+E28),""))</f>
        <v/>
      </c>
      <c r="U28" s="9">
        <f>IF(OR(H28="",T28=""),"",IFERROR(MIN(MAX(H28,'Léeme'!$B$17),'Léeme'!$B$18)-T28,""))</f>
        <v/>
      </c>
      <c r="V28" s="16">
        <f>IF(OR(I28="",M28="",L28=""),"",IFERROR((I28/M28-J28-K28)/L28,""))</f>
        <v/>
      </c>
      <c r="W28" s="11">
        <f>IFERROR(P28/C28-1,"")</f>
        <v/>
      </c>
      <c r="X28" s="11">
        <f>IFERROR(S28/C28-1,"")</f>
        <v/>
      </c>
      <c r="Y28" s="11">
        <f>IFERROR(V28/C28-1,"")</f>
        <v/>
      </c>
      <c r="Z28" s="3">
        <f>IF(OR(W28="",ISTEXT(W28)),"sin dato",IF(W28&gt;='Léeme'!$B$19,"barato",IF(W28&lt;=-'Léeme'!$B$19,"caro","medio")))</f>
        <v/>
      </c>
      <c r="AA28" s="3">
        <f>IF(OR(X28="",ISTEXT(X28)),"sin dato",IF(X28&gt;='Léeme'!$B$19,"barato",IF(X28&lt;=-'Léeme'!$B$19,"caro","medio")))</f>
        <v/>
      </c>
      <c r="AB28" s="3">
        <f>IF(OR(U28="",ISTEXT(U28)),"sin dato",IF(U28&gt;='Léeme'!$B$20,"barato",IF(U28&lt;=-'Léeme'!$B$20,"caro","medio")))</f>
        <v/>
      </c>
      <c r="AC28" s="3">
        <f>IF(OR(Y28="",ISTEXT(Y28)),"sin dato",IF(Y28&gt;='Léeme'!$B$19,"barato",IF(Y28&lt;=-'Léeme'!$B$19,"caro","medio")))</f>
        <v/>
      </c>
      <c r="AD28" s="7" t="n"/>
      <c r="AE28" s="7" t="n"/>
      <c r="AF28" s="7" t="n"/>
      <c r="AG28" s="7" t="n"/>
    </row>
    <row r="29">
      <c r="A29" s="3" t="inlineStr">
        <is>
          <t>1998-T4</t>
        </is>
      </c>
      <c r="B29" s="13" t="n">
        <v>36160</v>
      </c>
      <c r="C29" s="14" t="n">
        <v>13.25</v>
      </c>
      <c r="D29" s="14" t="n">
        <v>1.24</v>
      </c>
      <c r="E29" s="14" t="n">
        <v>1.4132</v>
      </c>
      <c r="F29" s="5" t="n">
        <v>0.04650000000000001</v>
      </c>
      <c r="G29" s="5" t="n">
        <v>0.02056514630321193</v>
      </c>
      <c r="H29" s="5" t="n">
        <v>0.04208023239385383</v>
      </c>
      <c r="N29" s="9">
        <f>IF(F29="","",F29+'Léeme'!$B$10)</f>
        <v/>
      </c>
      <c r="O29" s="9">
        <f>IF(OR(G29="",N29=""),"",MIN(MAX(G29,'Léeme'!$B$11),'Léeme'!$B$12,N29-'Léeme'!$B$16))</f>
        <v/>
      </c>
      <c r="P29" s="16">
        <f>IF(OR(D29="",O29=""),"",IFERROR(IF(D29&lt;=0,"",D29*(1+O29)/(N29-O29)),""))</f>
        <v/>
      </c>
      <c r="Q29" s="9">
        <f>IF(H29="","",MIN(MAX(H29,'Léeme'!$B$13),'Léeme'!$B$14))</f>
        <v/>
      </c>
      <c r="R29" s="9">
        <f>IF(N29="","",MIN('Léeme'!$B$15,N29-'Léeme'!$B$16))</f>
        <v/>
      </c>
      <c r="S29" s="16">
        <f>IF(OR(E29="",Q29=""),"",IFERROR(IF(E29&lt;=0,"",E29*(((1+Q29)/(1+N29))+((1+Q29)/(1+N29))^2+((1+Q29)/(1+N29))^3+((1+Q29)/(1+N29))^4+((1+Q29)/(1+N29))^5)+E29*(1+Q29)^5*(1+R29)/((N29-R29)*(1+N29)^5)),""))</f>
        <v/>
      </c>
      <c r="T29" s="9">
        <f>IF(OR(E29="",N29=""),"",IFERROR((C29*N29-E29)/(C29+E29),""))</f>
        <v/>
      </c>
      <c r="U29" s="9">
        <f>IF(OR(H29="",T29=""),"",IFERROR(MIN(MAX(H29,'Léeme'!$B$17),'Léeme'!$B$18)-T29,""))</f>
        <v/>
      </c>
      <c r="V29" s="16">
        <f>IF(OR(I29="",M29="",L29=""),"",IFERROR((I29/M29-J29-K29)/L29,""))</f>
        <v/>
      </c>
      <c r="W29" s="11">
        <f>IFERROR(P29/C29-1,"")</f>
        <v/>
      </c>
      <c r="X29" s="11">
        <f>IFERROR(S29/C29-1,"")</f>
        <v/>
      </c>
      <c r="Y29" s="11">
        <f>IFERROR(V29/C29-1,"")</f>
        <v/>
      </c>
      <c r="Z29" s="3">
        <f>IF(OR(W29="",ISTEXT(W29)),"sin dato",IF(W29&gt;='Léeme'!$B$19,"barato",IF(W29&lt;=-'Léeme'!$B$19,"caro","medio")))</f>
        <v/>
      </c>
      <c r="AA29" s="3">
        <f>IF(OR(X29="",ISTEXT(X29)),"sin dato",IF(X29&gt;='Léeme'!$B$19,"barato",IF(X29&lt;=-'Léeme'!$B$19,"caro","medio")))</f>
        <v/>
      </c>
      <c r="AB29" s="3">
        <f>IF(OR(U29="",ISTEXT(U29)),"sin dato",IF(U29&gt;='Léeme'!$B$20,"barato",IF(U29&lt;=-'Léeme'!$B$20,"caro","medio")))</f>
        <v/>
      </c>
      <c r="AC29" s="3">
        <f>IF(OR(Y29="",ISTEXT(Y29)),"sin dato",IF(Y29&gt;='Léeme'!$B$19,"barato",IF(Y29&lt;=-'Léeme'!$B$19,"caro","medio")))</f>
        <v/>
      </c>
      <c r="AD29" s="7" t="n"/>
      <c r="AE29" s="7" t="n"/>
      <c r="AF29" s="7" t="n"/>
      <c r="AG29" s="7" t="n"/>
    </row>
    <row r="30">
      <c r="A30" s="3" t="inlineStr">
        <is>
          <t>1999-T1</t>
        </is>
      </c>
      <c r="B30" s="13" t="n">
        <v>36250</v>
      </c>
      <c r="C30" s="14" t="n">
        <v>11.1875</v>
      </c>
      <c r="D30" s="14" t="n">
        <v>1.24</v>
      </c>
      <c r="E30" s="14" t="n">
        <v>1.4463</v>
      </c>
      <c r="F30" s="5" t="n">
        <v>0.0525</v>
      </c>
      <c r="G30" s="5" t="n">
        <v>0.02056514630321193</v>
      </c>
      <c r="H30" s="5" t="n">
        <v>0.06613896817178655</v>
      </c>
      <c r="N30" s="9">
        <f>IF(F30="","",F30+'Léeme'!$B$10)</f>
        <v/>
      </c>
      <c r="O30" s="9">
        <f>IF(OR(G30="",N30=""),"",MIN(MAX(G30,'Léeme'!$B$11),'Léeme'!$B$12,N30-'Léeme'!$B$16))</f>
        <v/>
      </c>
      <c r="P30" s="16">
        <f>IF(OR(D30="",O30=""),"",IFERROR(IF(D30&lt;=0,"",D30*(1+O30)/(N30-O30)),""))</f>
        <v/>
      </c>
      <c r="Q30" s="9">
        <f>IF(H30="","",MIN(MAX(H30,'Léeme'!$B$13),'Léeme'!$B$14))</f>
        <v/>
      </c>
      <c r="R30" s="9">
        <f>IF(N30="","",MIN('Léeme'!$B$15,N30-'Léeme'!$B$16))</f>
        <v/>
      </c>
      <c r="S30" s="16">
        <f>IF(OR(E30="",Q30=""),"",IFERROR(IF(E30&lt;=0,"",E30*(((1+Q30)/(1+N30))+((1+Q30)/(1+N30))^2+((1+Q30)/(1+N30))^3+((1+Q30)/(1+N30))^4+((1+Q30)/(1+N30))^5)+E30*(1+Q30)^5*(1+R30)/((N30-R30)*(1+N30)^5)),""))</f>
        <v/>
      </c>
      <c r="T30" s="9">
        <f>IF(OR(E30="",N30=""),"",IFERROR((C30*N30-E30)/(C30+E30),""))</f>
        <v/>
      </c>
      <c r="U30" s="9">
        <f>IF(OR(H30="",T30=""),"",IFERROR(MIN(MAX(H30,'Léeme'!$B$17),'Léeme'!$B$18)-T30,""))</f>
        <v/>
      </c>
      <c r="V30" s="16">
        <f>IF(OR(I30="",M30="",L30=""),"",IFERROR((I30/M30-J30-K30)/L30,""))</f>
        <v/>
      </c>
      <c r="W30" s="11">
        <f>IFERROR(P30/C30-1,"")</f>
        <v/>
      </c>
      <c r="X30" s="11">
        <f>IFERROR(S30/C30-1,"")</f>
        <v/>
      </c>
      <c r="Y30" s="11">
        <f>IFERROR(V30/C30-1,"")</f>
        <v/>
      </c>
      <c r="Z30" s="3">
        <f>IF(OR(W30="",ISTEXT(W30)),"sin dato",IF(W30&gt;='Léeme'!$B$19,"barato",IF(W30&lt;=-'Léeme'!$B$19,"caro","medio")))</f>
        <v/>
      </c>
      <c r="AA30" s="3">
        <f>IF(OR(X30="",ISTEXT(X30)),"sin dato",IF(X30&gt;='Léeme'!$B$19,"barato",IF(X30&lt;=-'Léeme'!$B$19,"caro","medio")))</f>
        <v/>
      </c>
      <c r="AB30" s="3">
        <f>IF(OR(U30="",ISTEXT(U30)),"sin dato",IF(U30&gt;='Léeme'!$B$20,"barato",IF(U30&lt;=-'Léeme'!$B$20,"caro","medio")))</f>
        <v/>
      </c>
      <c r="AC30" s="3">
        <f>IF(OR(Y30="",ISTEXT(Y30)),"sin dato",IF(Y30&gt;='Léeme'!$B$19,"barato",IF(Y30&lt;=-'Léeme'!$B$19,"caro","medio")))</f>
        <v/>
      </c>
      <c r="AD30" s="7" t="n"/>
      <c r="AE30" s="7" t="n"/>
      <c r="AF30" s="7" t="n"/>
      <c r="AG30" s="7" t="n"/>
    </row>
    <row r="31">
      <c r="A31" s="3" t="inlineStr">
        <is>
          <t>1999-T2</t>
        </is>
      </c>
      <c r="B31" s="13" t="n">
        <v>36341</v>
      </c>
      <c r="C31" s="14" t="n">
        <v>12.875</v>
      </c>
      <c r="D31" s="14" t="n">
        <v>1.24</v>
      </c>
      <c r="E31" s="14" t="n">
        <v>1.4463</v>
      </c>
      <c r="F31" s="5" t="n">
        <v>0.0581</v>
      </c>
      <c r="G31" s="5" t="n">
        <v>0.02056514630321193</v>
      </c>
      <c r="H31" s="5" t="n">
        <v>0.06613896817178655</v>
      </c>
      <c r="N31" s="9">
        <f>IF(F31="","",F31+'Léeme'!$B$10)</f>
        <v/>
      </c>
      <c r="O31" s="9">
        <f>IF(OR(G31="",N31=""),"",MIN(MAX(G31,'Léeme'!$B$11),'Léeme'!$B$12,N31-'Léeme'!$B$16))</f>
        <v/>
      </c>
      <c r="P31" s="16">
        <f>IF(OR(D31="",O31=""),"",IFERROR(IF(D31&lt;=0,"",D31*(1+O31)/(N31-O31)),""))</f>
        <v/>
      </c>
      <c r="Q31" s="9">
        <f>IF(H31="","",MIN(MAX(H31,'Léeme'!$B$13),'Léeme'!$B$14))</f>
        <v/>
      </c>
      <c r="R31" s="9">
        <f>IF(N31="","",MIN('Léeme'!$B$15,N31-'Léeme'!$B$16))</f>
        <v/>
      </c>
      <c r="S31" s="16">
        <f>IF(OR(E31="",Q31=""),"",IFERROR(IF(E31&lt;=0,"",E31*(((1+Q31)/(1+N31))+((1+Q31)/(1+N31))^2+((1+Q31)/(1+N31))^3+((1+Q31)/(1+N31))^4+((1+Q31)/(1+N31))^5)+E31*(1+Q31)^5*(1+R31)/((N31-R31)*(1+N31)^5)),""))</f>
        <v/>
      </c>
      <c r="T31" s="9">
        <f>IF(OR(E31="",N31=""),"",IFERROR((C31*N31-E31)/(C31+E31),""))</f>
        <v/>
      </c>
      <c r="U31" s="9">
        <f>IF(OR(H31="",T31=""),"",IFERROR(MIN(MAX(H31,'Léeme'!$B$17),'Léeme'!$B$18)-T31,""))</f>
        <v/>
      </c>
      <c r="V31" s="16">
        <f>IF(OR(I31="",M31="",L31=""),"",IFERROR((I31/M31-J31-K31)/L31,""))</f>
        <v/>
      </c>
      <c r="W31" s="11">
        <f>IFERROR(P31/C31-1,"")</f>
        <v/>
      </c>
      <c r="X31" s="11">
        <f>IFERROR(S31/C31-1,"")</f>
        <v/>
      </c>
      <c r="Y31" s="11">
        <f>IFERROR(V31/C31-1,"")</f>
        <v/>
      </c>
      <c r="Z31" s="3">
        <f>IF(OR(W31="",ISTEXT(W31)),"sin dato",IF(W31&gt;='Léeme'!$B$19,"barato",IF(W31&lt;=-'Léeme'!$B$19,"caro","medio")))</f>
        <v/>
      </c>
      <c r="AA31" s="3">
        <f>IF(OR(X31="",ISTEXT(X31)),"sin dato",IF(X31&gt;='Léeme'!$B$19,"barato",IF(X31&lt;=-'Léeme'!$B$19,"caro","medio")))</f>
        <v/>
      </c>
      <c r="AB31" s="3">
        <f>IF(OR(U31="",ISTEXT(U31)),"sin dato",IF(U31&gt;='Léeme'!$B$20,"barato",IF(U31&lt;=-'Léeme'!$B$20,"caro","medio")))</f>
        <v/>
      </c>
      <c r="AC31" s="3">
        <f>IF(OR(Y31="",ISTEXT(Y31)),"sin dato",IF(Y31&gt;='Léeme'!$B$19,"barato",IF(Y31&lt;=-'Léeme'!$B$19,"caro","medio")))</f>
        <v/>
      </c>
      <c r="AD31" s="7" t="n"/>
      <c r="AE31" s="7" t="n"/>
      <c r="AF31" s="7" t="n"/>
      <c r="AG31" s="7" t="n"/>
    </row>
    <row r="32">
      <c r="A32" s="3" t="inlineStr">
        <is>
          <t>1999-T3</t>
        </is>
      </c>
      <c r="B32" s="13" t="n">
        <v>36433</v>
      </c>
      <c r="C32" s="14" t="n">
        <v>10.625</v>
      </c>
      <c r="D32" s="14" t="n">
        <v>1.24</v>
      </c>
      <c r="E32" s="14" t="n">
        <v>1.4463</v>
      </c>
      <c r="F32" s="5" t="n">
        <v>0.059</v>
      </c>
      <c r="G32" s="5" t="n">
        <v>0.01342762651187823</v>
      </c>
      <c r="H32" s="5" t="n">
        <v>0.06613896817178655</v>
      </c>
      <c r="N32" s="9">
        <f>IF(F32="","",F32+'Léeme'!$B$10)</f>
        <v/>
      </c>
      <c r="O32" s="9">
        <f>IF(OR(G32="",N32=""),"",MIN(MAX(G32,'Léeme'!$B$11),'Léeme'!$B$12,N32-'Léeme'!$B$16))</f>
        <v/>
      </c>
      <c r="P32" s="16">
        <f>IF(OR(D32="",O32=""),"",IFERROR(IF(D32&lt;=0,"",D32*(1+O32)/(N32-O32)),""))</f>
        <v/>
      </c>
      <c r="Q32" s="9">
        <f>IF(H32="","",MIN(MAX(H32,'Léeme'!$B$13),'Léeme'!$B$14))</f>
        <v/>
      </c>
      <c r="R32" s="9">
        <f>IF(N32="","",MIN('Léeme'!$B$15,N32-'Léeme'!$B$16))</f>
        <v/>
      </c>
      <c r="S32" s="16">
        <f>IF(OR(E32="",Q32=""),"",IFERROR(IF(E32&lt;=0,"",E32*(((1+Q32)/(1+N32))+((1+Q32)/(1+N32))^2+((1+Q32)/(1+N32))^3+((1+Q32)/(1+N32))^4+((1+Q32)/(1+N32))^5)+E32*(1+Q32)^5*(1+R32)/((N32-R32)*(1+N32)^5)),""))</f>
        <v/>
      </c>
      <c r="T32" s="9">
        <f>IF(OR(E32="",N32=""),"",IFERROR((C32*N32-E32)/(C32+E32),""))</f>
        <v/>
      </c>
      <c r="U32" s="9">
        <f>IF(OR(H32="",T32=""),"",IFERROR(MIN(MAX(H32,'Léeme'!$B$17),'Léeme'!$B$18)-T32,""))</f>
        <v/>
      </c>
      <c r="V32" s="16">
        <f>IF(OR(I32="",M32="",L32=""),"",IFERROR((I32/M32-J32-K32)/L32,""))</f>
        <v/>
      </c>
      <c r="W32" s="11">
        <f>IFERROR(P32/C32-1,"")</f>
        <v/>
      </c>
      <c r="X32" s="11">
        <f>IFERROR(S32/C32-1,"")</f>
        <v/>
      </c>
      <c r="Y32" s="11">
        <f>IFERROR(V32/C32-1,"")</f>
        <v/>
      </c>
      <c r="Z32" s="3">
        <f>IF(OR(W32="",ISTEXT(W32)),"sin dato",IF(W32&gt;='Léeme'!$B$19,"barato",IF(W32&lt;=-'Léeme'!$B$19,"caro","medio")))</f>
        <v/>
      </c>
      <c r="AA32" s="3">
        <f>IF(OR(X32="",ISTEXT(X32)),"sin dato",IF(X32&gt;='Léeme'!$B$19,"barato",IF(X32&lt;=-'Léeme'!$B$19,"caro","medio")))</f>
        <v/>
      </c>
      <c r="AB32" s="3">
        <f>IF(OR(U32="",ISTEXT(U32)),"sin dato",IF(U32&gt;='Léeme'!$B$20,"barato",IF(U32&lt;=-'Léeme'!$B$20,"caro","medio")))</f>
        <v/>
      </c>
      <c r="AC32" s="3">
        <f>IF(OR(Y32="",ISTEXT(Y32)),"sin dato",IF(Y32&gt;='Léeme'!$B$19,"barato",IF(Y32&lt;=-'Léeme'!$B$19,"caro","medio")))</f>
        <v/>
      </c>
      <c r="AD32" s="7" t="n"/>
      <c r="AE32" s="7" t="n"/>
      <c r="AF32" s="7" t="n"/>
      <c r="AG32" s="7" t="n"/>
    </row>
    <row r="33">
      <c r="A33" s="3" t="inlineStr">
        <is>
          <t>1999-T4</t>
        </is>
      </c>
      <c r="B33" s="13" t="n">
        <v>36525</v>
      </c>
      <c r="C33" s="14" t="n">
        <v>9.9375</v>
      </c>
      <c r="D33" s="14" t="n">
        <v>1.24</v>
      </c>
      <c r="E33" s="14" t="n">
        <v>1.4463</v>
      </c>
      <c r="F33" s="5" t="n">
        <v>0.0645</v>
      </c>
      <c r="G33" s="5" t="n">
        <v>0.01342762651187823</v>
      </c>
      <c r="H33" s="5" t="n">
        <v>0.06613896817178655</v>
      </c>
      <c r="N33" s="9">
        <f>IF(F33="","",F33+'Léeme'!$B$10)</f>
        <v/>
      </c>
      <c r="O33" s="9">
        <f>IF(OR(G33="",N33=""),"",MIN(MAX(G33,'Léeme'!$B$11),'Léeme'!$B$12,N33-'Léeme'!$B$16))</f>
        <v/>
      </c>
      <c r="P33" s="16">
        <f>IF(OR(D33="",O33=""),"",IFERROR(IF(D33&lt;=0,"",D33*(1+O33)/(N33-O33)),""))</f>
        <v/>
      </c>
      <c r="Q33" s="9">
        <f>IF(H33="","",MIN(MAX(H33,'Léeme'!$B$13),'Léeme'!$B$14))</f>
        <v/>
      </c>
      <c r="R33" s="9">
        <f>IF(N33="","",MIN('Léeme'!$B$15,N33-'Léeme'!$B$16))</f>
        <v/>
      </c>
      <c r="S33" s="16">
        <f>IF(OR(E33="",Q33=""),"",IFERROR(IF(E33&lt;=0,"",E33*(((1+Q33)/(1+N33))+((1+Q33)/(1+N33))^2+((1+Q33)/(1+N33))^3+((1+Q33)/(1+N33))^4+((1+Q33)/(1+N33))^5)+E33*(1+Q33)^5*(1+R33)/((N33-R33)*(1+N33)^5)),""))</f>
        <v/>
      </c>
      <c r="T33" s="9">
        <f>IF(OR(E33="",N33=""),"",IFERROR((C33*N33-E33)/(C33+E33),""))</f>
        <v/>
      </c>
      <c r="U33" s="9">
        <f>IF(OR(H33="",T33=""),"",IFERROR(MIN(MAX(H33,'Léeme'!$B$17),'Léeme'!$B$18)-T33,""))</f>
        <v/>
      </c>
      <c r="V33" s="16">
        <f>IF(OR(I33="",M33="",L33=""),"",IFERROR((I33/M33-J33-K33)/L33,""))</f>
        <v/>
      </c>
      <c r="W33" s="11">
        <f>IFERROR(P33/C33-1,"")</f>
        <v/>
      </c>
      <c r="X33" s="11">
        <f>IFERROR(S33/C33-1,"")</f>
        <v/>
      </c>
      <c r="Y33" s="11">
        <f>IFERROR(V33/C33-1,"")</f>
        <v/>
      </c>
      <c r="Z33" s="3">
        <f>IF(OR(W33="",ISTEXT(W33)),"sin dato",IF(W33&gt;='Léeme'!$B$19,"barato",IF(W33&lt;=-'Léeme'!$B$19,"caro","medio")))</f>
        <v/>
      </c>
      <c r="AA33" s="3">
        <f>IF(OR(X33="",ISTEXT(X33)),"sin dato",IF(X33&gt;='Léeme'!$B$19,"barato",IF(X33&lt;=-'Léeme'!$B$19,"caro","medio")))</f>
        <v/>
      </c>
      <c r="AB33" s="3">
        <f>IF(OR(U33="",ISTEXT(U33)),"sin dato",IF(U33&gt;='Léeme'!$B$20,"barato",IF(U33&lt;=-'Léeme'!$B$20,"caro","medio")))</f>
        <v/>
      </c>
      <c r="AC33" s="3">
        <f>IF(OR(Y33="",ISTEXT(Y33)),"sin dato",IF(Y33&gt;='Léeme'!$B$19,"barato",IF(Y33&lt;=-'Léeme'!$B$19,"caro","medio")))</f>
        <v/>
      </c>
      <c r="AD33" s="7" t="n">
        <v>0.7361111111111112</v>
      </c>
      <c r="AE33" s="7" t="n"/>
      <c r="AF33" s="7" t="n"/>
      <c r="AG33" s="7" t="n"/>
    </row>
    <row r="34">
      <c r="A34" s="3" t="inlineStr">
        <is>
          <t>2000-T1</t>
        </is>
      </c>
      <c r="B34" s="13" t="n">
        <v>36616</v>
      </c>
      <c r="C34" s="14" t="n">
        <v>10.4375</v>
      </c>
      <c r="D34" s="14" t="n">
        <v>1.24</v>
      </c>
      <c r="E34" s="14" t="n">
        <v>1.5142</v>
      </c>
      <c r="F34" s="5" t="n">
        <v>0.0603</v>
      </c>
      <c r="G34" s="5" t="n">
        <v>0.01342762651187823</v>
      </c>
      <c r="H34" s="5" t="n">
        <v>0.05473911112461183</v>
      </c>
      <c r="N34" s="9">
        <f>IF(F34="","",F34+'Léeme'!$B$10)</f>
        <v/>
      </c>
      <c r="O34" s="9">
        <f>IF(OR(G34="",N34=""),"",MIN(MAX(G34,'Léeme'!$B$11),'Léeme'!$B$12,N34-'Léeme'!$B$16))</f>
        <v/>
      </c>
      <c r="P34" s="16">
        <f>IF(OR(D34="",O34=""),"",IFERROR(IF(D34&lt;=0,"",D34*(1+O34)/(N34-O34)),""))</f>
        <v/>
      </c>
      <c r="Q34" s="9">
        <f>IF(H34="","",MIN(MAX(H34,'Léeme'!$B$13),'Léeme'!$B$14))</f>
        <v/>
      </c>
      <c r="R34" s="9">
        <f>IF(N34="","",MIN('Léeme'!$B$15,N34-'Léeme'!$B$16))</f>
        <v/>
      </c>
      <c r="S34" s="16">
        <f>IF(OR(E34="",Q34=""),"",IFERROR(IF(E34&lt;=0,"",E34*(((1+Q34)/(1+N34))+((1+Q34)/(1+N34))^2+((1+Q34)/(1+N34))^3+((1+Q34)/(1+N34))^4+((1+Q34)/(1+N34))^5)+E34*(1+Q34)^5*(1+R34)/((N34-R34)*(1+N34)^5)),""))</f>
        <v/>
      </c>
      <c r="T34" s="9">
        <f>IF(OR(E34="",N34=""),"",IFERROR((C34*N34-E34)/(C34+E34),""))</f>
        <v/>
      </c>
      <c r="U34" s="9">
        <f>IF(OR(H34="",T34=""),"",IFERROR(MIN(MAX(H34,'Léeme'!$B$17),'Léeme'!$B$18)-T34,""))</f>
        <v/>
      </c>
      <c r="V34" s="16">
        <f>IF(OR(I34="",M34="",L34=""),"",IFERROR((I34/M34-J34-K34)/L34,""))</f>
        <v/>
      </c>
      <c r="W34" s="11">
        <f>IFERROR(P34/C34-1,"")</f>
        <v/>
      </c>
      <c r="X34" s="11">
        <f>IFERROR(S34/C34-1,"")</f>
        <v/>
      </c>
      <c r="Y34" s="11">
        <f>IFERROR(V34/C34-1,"")</f>
        <v/>
      </c>
      <c r="Z34" s="3">
        <f>IF(OR(W34="",ISTEXT(W34)),"sin dato",IF(W34&gt;='Léeme'!$B$19,"barato",IF(W34&lt;=-'Léeme'!$B$19,"caro","medio")))</f>
        <v/>
      </c>
      <c r="AA34" s="3">
        <f>IF(OR(X34="",ISTEXT(X34)),"sin dato",IF(X34&gt;='Léeme'!$B$19,"barato",IF(X34&lt;=-'Léeme'!$B$19,"caro","medio")))</f>
        <v/>
      </c>
      <c r="AB34" s="3">
        <f>IF(OR(U34="",ISTEXT(U34)),"sin dato",IF(U34&gt;='Léeme'!$B$20,"barato",IF(U34&lt;=-'Léeme'!$B$20,"caro","medio")))</f>
        <v/>
      </c>
      <c r="AC34" s="3">
        <f>IF(OR(Y34="",ISTEXT(Y34)),"sin dato",IF(Y34&gt;='Léeme'!$B$19,"barato",IF(Y34&lt;=-'Léeme'!$B$19,"caro","medio")))</f>
        <v/>
      </c>
      <c r="AD34" s="7" t="n">
        <v>0.8076923076923077</v>
      </c>
      <c r="AE34" s="7" t="n"/>
      <c r="AF34" s="7" t="n"/>
      <c r="AG34" s="7" t="n"/>
    </row>
    <row r="35">
      <c r="A35" s="3" t="inlineStr">
        <is>
          <t>2000-T2</t>
        </is>
      </c>
      <c r="B35" s="13" t="n">
        <v>36707</v>
      </c>
      <c r="C35" s="14" t="n">
        <v>10.515625</v>
      </c>
      <c r="D35" s="14" t="n">
        <v>1.24</v>
      </c>
      <c r="E35" s="14" t="n">
        <v>1.5142</v>
      </c>
      <c r="F35" s="5" t="n">
        <v>0.0603</v>
      </c>
      <c r="G35" s="5" t="n">
        <v>0.01342762651187823</v>
      </c>
      <c r="H35" s="5" t="n">
        <v>0.05473911112461183</v>
      </c>
      <c r="N35" s="9">
        <f>IF(F35="","",F35+'Léeme'!$B$10)</f>
        <v/>
      </c>
      <c r="O35" s="9">
        <f>IF(OR(G35="",N35=""),"",MIN(MAX(G35,'Léeme'!$B$11),'Léeme'!$B$12,N35-'Léeme'!$B$16))</f>
        <v/>
      </c>
      <c r="P35" s="16">
        <f>IF(OR(D35="",O35=""),"",IFERROR(IF(D35&lt;=0,"",D35*(1+O35)/(N35-O35)),""))</f>
        <v/>
      </c>
      <c r="Q35" s="9">
        <f>IF(H35="","",MIN(MAX(H35,'Léeme'!$B$13),'Léeme'!$B$14))</f>
        <v/>
      </c>
      <c r="R35" s="9">
        <f>IF(N35="","",MIN('Léeme'!$B$15,N35-'Léeme'!$B$16))</f>
        <v/>
      </c>
      <c r="S35" s="16">
        <f>IF(OR(E35="",Q35=""),"",IFERROR(IF(E35&lt;=0,"",E35*(((1+Q35)/(1+N35))+((1+Q35)/(1+N35))^2+((1+Q35)/(1+N35))^3+((1+Q35)/(1+N35))^4+((1+Q35)/(1+N35))^5)+E35*(1+Q35)^5*(1+R35)/((N35-R35)*(1+N35)^5)),""))</f>
        <v/>
      </c>
      <c r="T35" s="9">
        <f>IF(OR(E35="",N35=""),"",IFERROR((C35*N35-E35)/(C35+E35),""))</f>
        <v/>
      </c>
      <c r="U35" s="9">
        <f>IF(OR(H35="",T35=""),"",IFERROR(MIN(MAX(H35,'Léeme'!$B$17),'Léeme'!$B$18)-T35,""))</f>
        <v/>
      </c>
      <c r="V35" s="16">
        <f>IF(OR(I35="",M35="",L35=""),"",IFERROR((I35/M35-J35-K35)/L35,""))</f>
        <v/>
      </c>
      <c r="W35" s="11">
        <f>IFERROR(P35/C35-1,"")</f>
        <v/>
      </c>
      <c r="X35" s="11">
        <f>IFERROR(S35/C35-1,"")</f>
        <v/>
      </c>
      <c r="Y35" s="11">
        <f>IFERROR(V35/C35-1,"")</f>
        <v/>
      </c>
      <c r="Z35" s="3">
        <f>IF(OR(W35="",ISTEXT(W35)),"sin dato",IF(W35&gt;='Léeme'!$B$19,"barato",IF(W35&lt;=-'Léeme'!$B$19,"caro","medio")))</f>
        <v/>
      </c>
      <c r="AA35" s="3">
        <f>IF(OR(X35="",ISTEXT(X35)),"sin dato",IF(X35&gt;='Léeme'!$B$19,"barato",IF(X35&lt;=-'Léeme'!$B$19,"caro","medio")))</f>
        <v/>
      </c>
      <c r="AB35" s="3">
        <f>IF(OR(U35="",ISTEXT(U35)),"sin dato",IF(U35&gt;='Léeme'!$B$20,"barato",IF(U35&lt;=-'Léeme'!$B$20,"caro","medio")))</f>
        <v/>
      </c>
      <c r="AC35" s="3">
        <f>IF(OR(Y35="",ISTEXT(Y35)),"sin dato",IF(Y35&gt;='Léeme'!$B$19,"barato",IF(Y35&lt;=-'Léeme'!$B$19,"caro","medio")))</f>
        <v/>
      </c>
      <c r="AD35" s="7" t="n">
        <v>0.7261904761904762</v>
      </c>
      <c r="AE35" s="7" t="n"/>
      <c r="AF35" s="7" t="n"/>
      <c r="AG35" s="7" t="n"/>
    </row>
    <row r="36">
      <c r="A36" s="3" t="inlineStr">
        <is>
          <t>2000-T3</t>
        </is>
      </c>
      <c r="B36" s="13" t="n">
        <v>36798</v>
      </c>
      <c r="C36" s="14" t="n">
        <v>10.375</v>
      </c>
      <c r="D36" s="14" t="n">
        <v>1.24</v>
      </c>
      <c r="E36" s="14" t="n">
        <v>1.5142</v>
      </c>
      <c r="F36" s="5" t="n">
        <v>0.058</v>
      </c>
      <c r="G36" s="5" t="n">
        <v>0.01342762651187823</v>
      </c>
      <c r="H36" s="5" t="n">
        <v>0.05473911112461183</v>
      </c>
      <c r="N36" s="9">
        <f>IF(F36="","",F36+'Léeme'!$B$10)</f>
        <v/>
      </c>
      <c r="O36" s="9">
        <f>IF(OR(G36="",N36=""),"",MIN(MAX(G36,'Léeme'!$B$11),'Léeme'!$B$12,N36-'Léeme'!$B$16))</f>
        <v/>
      </c>
      <c r="P36" s="16">
        <f>IF(OR(D36="",O36=""),"",IFERROR(IF(D36&lt;=0,"",D36*(1+O36)/(N36-O36)),""))</f>
        <v/>
      </c>
      <c r="Q36" s="9">
        <f>IF(H36="","",MIN(MAX(H36,'Léeme'!$B$13),'Léeme'!$B$14))</f>
        <v/>
      </c>
      <c r="R36" s="9">
        <f>IF(N36="","",MIN('Léeme'!$B$15,N36-'Léeme'!$B$16))</f>
        <v/>
      </c>
      <c r="S36" s="16">
        <f>IF(OR(E36="",Q36=""),"",IFERROR(IF(E36&lt;=0,"",E36*(((1+Q36)/(1+N36))+((1+Q36)/(1+N36))^2+((1+Q36)/(1+N36))^3+((1+Q36)/(1+N36))^4+((1+Q36)/(1+N36))^5)+E36*(1+Q36)^5*(1+R36)/((N36-R36)*(1+N36)^5)),""))</f>
        <v/>
      </c>
      <c r="T36" s="9">
        <f>IF(OR(E36="",N36=""),"",IFERROR((C36*N36-E36)/(C36+E36),""))</f>
        <v/>
      </c>
      <c r="U36" s="9">
        <f>IF(OR(H36="",T36=""),"",IFERROR(MIN(MAX(H36,'Léeme'!$B$17),'Léeme'!$B$18)-T36,""))</f>
        <v/>
      </c>
      <c r="V36" s="16">
        <f>IF(OR(I36="",M36="",L36=""),"",IFERROR((I36/M36-J36-K36)/L36,""))</f>
        <v/>
      </c>
      <c r="W36" s="11">
        <f>IFERROR(P36/C36-1,"")</f>
        <v/>
      </c>
      <c r="X36" s="11">
        <f>IFERROR(S36/C36-1,"")</f>
        <v/>
      </c>
      <c r="Y36" s="11">
        <f>IFERROR(V36/C36-1,"")</f>
        <v/>
      </c>
      <c r="Z36" s="3">
        <f>IF(OR(W36="",ISTEXT(W36)),"sin dato",IF(W36&gt;='Léeme'!$B$19,"barato",IF(W36&lt;=-'Léeme'!$B$19,"caro","medio")))</f>
        <v/>
      </c>
      <c r="AA36" s="3">
        <f>IF(OR(X36="",ISTEXT(X36)),"sin dato",IF(X36&gt;='Léeme'!$B$19,"barato",IF(X36&lt;=-'Léeme'!$B$19,"caro","medio")))</f>
        <v/>
      </c>
      <c r="AB36" s="3">
        <f>IF(OR(U36="",ISTEXT(U36)),"sin dato",IF(U36&gt;='Léeme'!$B$20,"barato",IF(U36&lt;=-'Léeme'!$B$20,"caro","medio")))</f>
        <v/>
      </c>
      <c r="AC36" s="3">
        <f>IF(OR(Y36="",ISTEXT(Y36)),"sin dato",IF(Y36&gt;='Léeme'!$B$19,"barato",IF(Y36&lt;=-'Léeme'!$B$19,"caro","medio")))</f>
        <v/>
      </c>
      <c r="AD36" s="7" t="n">
        <v>0.8777777777777778</v>
      </c>
      <c r="AE36" s="7" t="n"/>
      <c r="AF36" s="7" t="n"/>
      <c r="AG36" s="7" t="n"/>
    </row>
    <row r="37">
      <c r="A37" s="3" t="inlineStr">
        <is>
          <t>2000-T4</t>
        </is>
      </c>
      <c r="B37" s="13" t="n">
        <v>36889</v>
      </c>
      <c r="C37" s="14" t="n">
        <v>10.1875</v>
      </c>
      <c r="D37" s="14" t="n">
        <v>1.26</v>
      </c>
      <c r="E37" s="14" t="n">
        <v>1.5142</v>
      </c>
      <c r="F37" s="5" t="n">
        <v>0.0512</v>
      </c>
      <c r="G37" s="5" t="n">
        <v>0.01667585861299536</v>
      </c>
      <c r="H37" s="5" t="n">
        <v>0.05473911112461183</v>
      </c>
      <c r="N37" s="9">
        <f>IF(F37="","",F37+'Léeme'!$B$10)</f>
        <v/>
      </c>
      <c r="O37" s="9">
        <f>IF(OR(G37="",N37=""),"",MIN(MAX(G37,'Léeme'!$B$11),'Léeme'!$B$12,N37-'Léeme'!$B$16))</f>
        <v/>
      </c>
      <c r="P37" s="16">
        <f>IF(OR(D37="",O37=""),"",IFERROR(IF(D37&lt;=0,"",D37*(1+O37)/(N37-O37)),""))</f>
        <v/>
      </c>
      <c r="Q37" s="9">
        <f>IF(H37="","",MIN(MAX(H37,'Léeme'!$B$13),'Léeme'!$B$14))</f>
        <v/>
      </c>
      <c r="R37" s="9">
        <f>IF(N37="","",MIN('Léeme'!$B$15,N37-'Léeme'!$B$16))</f>
        <v/>
      </c>
      <c r="S37" s="16">
        <f>IF(OR(E37="",Q37=""),"",IFERROR(IF(E37&lt;=0,"",E37*(((1+Q37)/(1+N37))+((1+Q37)/(1+N37))^2+((1+Q37)/(1+N37))^3+((1+Q37)/(1+N37))^4+((1+Q37)/(1+N37))^5)+E37*(1+Q37)^5*(1+R37)/((N37-R37)*(1+N37)^5)),""))</f>
        <v/>
      </c>
      <c r="T37" s="9">
        <f>IF(OR(E37="",N37=""),"",IFERROR((C37*N37-E37)/(C37+E37),""))</f>
        <v/>
      </c>
      <c r="U37" s="9">
        <f>IF(OR(H37="",T37=""),"",IFERROR(MIN(MAX(H37,'Léeme'!$B$17),'Léeme'!$B$18)-T37,""))</f>
        <v/>
      </c>
      <c r="V37" s="16">
        <f>IF(OR(I37="",M37="",L37=""),"",IFERROR((I37/M37-J37-K37)/L37,""))</f>
        <v/>
      </c>
      <c r="W37" s="11">
        <f>IFERROR(P37/C37-1,"")</f>
        <v/>
      </c>
      <c r="X37" s="11">
        <f>IFERROR(S37/C37-1,"")</f>
        <v/>
      </c>
      <c r="Y37" s="11">
        <f>IFERROR(V37/C37-1,"")</f>
        <v/>
      </c>
      <c r="Z37" s="3">
        <f>IF(OR(W37="",ISTEXT(W37)),"sin dato",IF(W37&gt;='Léeme'!$B$19,"barato",IF(W37&lt;=-'Léeme'!$B$19,"caro","medio")))</f>
        <v/>
      </c>
      <c r="AA37" s="3">
        <f>IF(OR(X37="",ISTEXT(X37)),"sin dato",IF(X37&gt;='Léeme'!$B$19,"barato",IF(X37&lt;=-'Léeme'!$B$19,"caro","medio")))</f>
        <v/>
      </c>
      <c r="AB37" s="3">
        <f>IF(OR(U37="",ISTEXT(U37)),"sin dato",IF(U37&gt;='Léeme'!$B$20,"barato",IF(U37&lt;=-'Léeme'!$B$20,"caro","medio")))</f>
        <v/>
      </c>
      <c r="AC37" s="3">
        <f>IF(OR(Y37="",ISTEXT(Y37)),"sin dato",IF(Y37&gt;='Léeme'!$B$19,"barato",IF(Y37&lt;=-'Léeme'!$B$19,"caro","medio")))</f>
        <v/>
      </c>
      <c r="AD37" s="7" t="n">
        <v>0.9895833333333334</v>
      </c>
      <c r="AE37" s="7" t="n"/>
      <c r="AF37" s="7" t="n"/>
      <c r="AG37" s="7" t="n"/>
    </row>
    <row r="38">
      <c r="A38" s="3" t="inlineStr">
        <is>
          <t>2001-T1</t>
        </is>
      </c>
      <c r="B38" s="13" t="n">
        <v>36980</v>
      </c>
      <c r="C38" s="14" t="n">
        <v>11.8</v>
      </c>
      <c r="D38" s="14" t="n">
        <v>1.26</v>
      </c>
      <c r="E38" s="14" t="n">
        <v>1.4453</v>
      </c>
      <c r="F38" s="5" t="n">
        <v>0.0493</v>
      </c>
      <c r="G38" s="5" t="n">
        <v>0.01667585861299536</v>
      </c>
      <c r="H38" s="5" t="n">
        <v>0.03111537693925381</v>
      </c>
      <c r="N38" s="9">
        <f>IF(F38="","",F38+'Léeme'!$B$10)</f>
        <v/>
      </c>
      <c r="O38" s="9">
        <f>IF(OR(G38="",N38=""),"",MIN(MAX(G38,'Léeme'!$B$11),'Léeme'!$B$12,N38-'Léeme'!$B$16))</f>
        <v/>
      </c>
      <c r="P38" s="16">
        <f>IF(OR(D38="",O38=""),"",IFERROR(IF(D38&lt;=0,"",D38*(1+O38)/(N38-O38)),""))</f>
        <v/>
      </c>
      <c r="Q38" s="9">
        <f>IF(H38="","",MIN(MAX(H38,'Léeme'!$B$13),'Léeme'!$B$14))</f>
        <v/>
      </c>
      <c r="R38" s="9">
        <f>IF(N38="","",MIN('Léeme'!$B$15,N38-'Léeme'!$B$16))</f>
        <v/>
      </c>
      <c r="S38" s="16">
        <f>IF(OR(E38="",Q38=""),"",IFERROR(IF(E38&lt;=0,"",E38*(((1+Q38)/(1+N38))+((1+Q38)/(1+N38))^2+((1+Q38)/(1+N38))^3+((1+Q38)/(1+N38))^4+((1+Q38)/(1+N38))^5)+E38*(1+Q38)^5*(1+R38)/((N38-R38)*(1+N38)^5)),""))</f>
        <v/>
      </c>
      <c r="T38" s="9">
        <f>IF(OR(E38="",N38=""),"",IFERROR((C38*N38-E38)/(C38+E38),""))</f>
        <v/>
      </c>
      <c r="U38" s="9">
        <f>IF(OR(H38="",T38=""),"",IFERROR(MIN(MAX(H38,'Léeme'!$B$17),'Léeme'!$B$18)-T38,""))</f>
        <v/>
      </c>
      <c r="V38" s="16">
        <f>IF(OR(I38="",M38="",L38=""),"",IFERROR((I38/M38-J38-K38)/L38,""))</f>
        <v/>
      </c>
      <c r="W38" s="11">
        <f>IFERROR(P38/C38-1,"")</f>
        <v/>
      </c>
      <c r="X38" s="11">
        <f>IFERROR(S38/C38-1,"")</f>
        <v/>
      </c>
      <c r="Y38" s="11">
        <f>IFERROR(V38/C38-1,"")</f>
        <v/>
      </c>
      <c r="Z38" s="3">
        <f>IF(OR(W38="",ISTEXT(W38)),"sin dato",IF(W38&gt;='Léeme'!$B$19,"barato",IF(W38&lt;=-'Léeme'!$B$19,"caro","medio")))</f>
        <v/>
      </c>
      <c r="AA38" s="3">
        <f>IF(OR(X38="",ISTEXT(X38)),"sin dato",IF(X38&gt;='Léeme'!$B$19,"barato",IF(X38&lt;=-'Léeme'!$B$19,"caro","medio")))</f>
        <v/>
      </c>
      <c r="AB38" s="3">
        <f>IF(OR(U38="",ISTEXT(U38)),"sin dato",IF(U38&gt;='Léeme'!$B$20,"barato",IF(U38&lt;=-'Léeme'!$B$20,"caro","medio")))</f>
        <v/>
      </c>
      <c r="AC38" s="3">
        <f>IF(OR(Y38="",ISTEXT(Y38)),"sin dato",IF(Y38&gt;='Léeme'!$B$19,"barato",IF(Y38&lt;=-'Léeme'!$B$19,"caro","medio")))</f>
        <v/>
      </c>
      <c r="AD38" s="7" t="n">
        <v>0.8921568627450981</v>
      </c>
      <c r="AE38" s="7" t="n">
        <v>0.4189189189189189</v>
      </c>
      <c r="AF38" s="7" t="n">
        <v>0.2837837837837838</v>
      </c>
      <c r="AG38" s="7" t="n"/>
    </row>
    <row r="39">
      <c r="A39" s="3" t="inlineStr">
        <is>
          <t>2001-T2</t>
        </is>
      </c>
      <c r="B39" s="13" t="n">
        <v>37071</v>
      </c>
      <c r="C39" s="14" t="n">
        <v>14.25</v>
      </c>
      <c r="D39" s="14" t="n">
        <v>1.26</v>
      </c>
      <c r="E39" s="14" t="n">
        <v>1.4453</v>
      </c>
      <c r="F39" s="5" t="n">
        <v>0.0542</v>
      </c>
      <c r="G39" s="5" t="n">
        <v>0.01667585861299536</v>
      </c>
      <c r="H39" s="5" t="n">
        <v>0.03111537693925381</v>
      </c>
      <c r="N39" s="9">
        <f>IF(F39="","",F39+'Léeme'!$B$10)</f>
        <v/>
      </c>
      <c r="O39" s="9">
        <f>IF(OR(G39="",N39=""),"",MIN(MAX(G39,'Léeme'!$B$11),'Léeme'!$B$12,N39-'Léeme'!$B$16))</f>
        <v/>
      </c>
      <c r="P39" s="16">
        <f>IF(OR(D39="",O39=""),"",IFERROR(IF(D39&lt;=0,"",D39*(1+O39)/(N39-O39)),""))</f>
        <v/>
      </c>
      <c r="Q39" s="9">
        <f>IF(H39="","",MIN(MAX(H39,'Léeme'!$B$13),'Léeme'!$B$14))</f>
        <v/>
      </c>
      <c r="R39" s="9">
        <f>IF(N39="","",MIN('Léeme'!$B$15,N39-'Léeme'!$B$16))</f>
        <v/>
      </c>
      <c r="S39" s="16">
        <f>IF(OR(E39="",Q39=""),"",IFERROR(IF(E39&lt;=0,"",E39*(((1+Q39)/(1+N39))+((1+Q39)/(1+N39))^2+((1+Q39)/(1+N39))^3+((1+Q39)/(1+N39))^4+((1+Q39)/(1+N39))^5)+E39*(1+Q39)^5*(1+R39)/((N39-R39)*(1+N39)^5)),""))</f>
        <v/>
      </c>
      <c r="T39" s="9">
        <f>IF(OR(E39="",N39=""),"",IFERROR((C39*N39-E39)/(C39+E39),""))</f>
        <v/>
      </c>
      <c r="U39" s="9">
        <f>IF(OR(H39="",T39=""),"",IFERROR(MIN(MAX(H39,'Léeme'!$B$17),'Léeme'!$B$18)-T39,""))</f>
        <v/>
      </c>
      <c r="V39" s="16">
        <f>IF(OR(I39="",M39="",L39=""),"",IFERROR((I39/M39-J39-K39)/L39,""))</f>
        <v/>
      </c>
      <c r="W39" s="11">
        <f>IFERROR(P39/C39-1,"")</f>
        <v/>
      </c>
      <c r="X39" s="11">
        <f>IFERROR(S39/C39-1,"")</f>
        <v/>
      </c>
      <c r="Y39" s="11">
        <f>IFERROR(V39/C39-1,"")</f>
        <v/>
      </c>
      <c r="Z39" s="3">
        <f>IF(OR(W39="",ISTEXT(W39)),"sin dato",IF(W39&gt;='Léeme'!$B$19,"barato",IF(W39&lt;=-'Léeme'!$B$19,"caro","medio")))</f>
        <v/>
      </c>
      <c r="AA39" s="3">
        <f>IF(OR(X39="",ISTEXT(X39)),"sin dato",IF(X39&gt;='Léeme'!$B$19,"barato",IF(X39&lt;=-'Léeme'!$B$19,"caro","medio")))</f>
        <v/>
      </c>
      <c r="AB39" s="3">
        <f>IF(OR(U39="",ISTEXT(U39)),"sin dato",IF(U39&gt;='Léeme'!$B$20,"barato",IF(U39&lt;=-'Léeme'!$B$20,"caro","medio")))</f>
        <v/>
      </c>
      <c r="AC39" s="3">
        <f>IF(OR(Y39="",ISTEXT(Y39)),"sin dato",IF(Y39&gt;='Léeme'!$B$19,"barato",IF(Y39&lt;=-'Léeme'!$B$19,"caro","medio")))</f>
        <v/>
      </c>
      <c r="AD39" s="7" t="n">
        <v>0.3240740740740741</v>
      </c>
      <c r="AE39" s="7" t="n">
        <v>0.1375</v>
      </c>
      <c r="AF39" s="7" t="n">
        <v>0.1375</v>
      </c>
      <c r="AG39" s="7" t="n"/>
    </row>
    <row r="40">
      <c r="A40" s="3" t="inlineStr">
        <is>
          <t>2001-T3</t>
        </is>
      </c>
      <c r="B40" s="13" t="n">
        <v>37162</v>
      </c>
      <c r="C40" s="14" t="n">
        <v>13.25</v>
      </c>
      <c r="D40" s="14" t="n">
        <v>1.26</v>
      </c>
      <c r="E40" s="14" t="n">
        <v>1.4453</v>
      </c>
      <c r="F40" s="5" t="n">
        <v>0.046</v>
      </c>
      <c r="G40" s="5" t="n">
        <v>0.009805797673485328</v>
      </c>
      <c r="H40" s="5" t="n">
        <v>0.03111537693925381</v>
      </c>
      <c r="N40" s="9">
        <f>IF(F40="","",F40+'Léeme'!$B$10)</f>
        <v/>
      </c>
      <c r="O40" s="9">
        <f>IF(OR(G40="",N40=""),"",MIN(MAX(G40,'Léeme'!$B$11),'Léeme'!$B$12,N40-'Léeme'!$B$16))</f>
        <v/>
      </c>
      <c r="P40" s="16">
        <f>IF(OR(D40="",O40=""),"",IFERROR(IF(D40&lt;=0,"",D40*(1+O40)/(N40-O40)),""))</f>
        <v/>
      </c>
      <c r="Q40" s="9">
        <f>IF(H40="","",MIN(MAX(H40,'Léeme'!$B$13),'Léeme'!$B$14))</f>
        <v/>
      </c>
      <c r="R40" s="9">
        <f>IF(N40="","",MIN('Léeme'!$B$15,N40-'Léeme'!$B$16))</f>
        <v/>
      </c>
      <c r="S40" s="16">
        <f>IF(OR(E40="",Q40=""),"",IFERROR(IF(E40&lt;=0,"",E40*(((1+Q40)/(1+N40))+((1+Q40)/(1+N40))^2+((1+Q40)/(1+N40))^3+((1+Q40)/(1+N40))^4+((1+Q40)/(1+N40))^5)+E40*(1+Q40)^5*(1+R40)/((N40-R40)*(1+N40)^5)),""))</f>
        <v/>
      </c>
      <c r="T40" s="9">
        <f>IF(OR(E40="",N40=""),"",IFERROR((C40*N40-E40)/(C40+E40),""))</f>
        <v/>
      </c>
      <c r="U40" s="9">
        <f>IF(OR(H40="",T40=""),"",IFERROR(MIN(MAX(H40,'Léeme'!$B$17),'Léeme'!$B$18)-T40,""))</f>
        <v/>
      </c>
      <c r="V40" s="16">
        <f>IF(OR(I40="",M40="",L40=""),"",IFERROR((I40/M40-J40-K40)/L40,""))</f>
        <v/>
      </c>
      <c r="W40" s="11">
        <f>IFERROR(P40/C40-1,"")</f>
        <v/>
      </c>
      <c r="X40" s="11">
        <f>IFERROR(S40/C40-1,"")</f>
        <v/>
      </c>
      <c r="Y40" s="11">
        <f>IFERROR(V40/C40-1,"")</f>
        <v/>
      </c>
      <c r="Z40" s="3">
        <f>IF(OR(W40="",ISTEXT(W40)),"sin dato",IF(W40&gt;='Léeme'!$B$19,"barato",IF(W40&lt;=-'Léeme'!$B$19,"caro","medio")))</f>
        <v/>
      </c>
      <c r="AA40" s="3">
        <f>IF(OR(X40="",ISTEXT(X40)),"sin dato",IF(X40&gt;='Léeme'!$B$19,"barato",IF(X40&lt;=-'Léeme'!$B$19,"caro","medio")))</f>
        <v/>
      </c>
      <c r="AB40" s="3">
        <f>IF(OR(U40="",ISTEXT(U40)),"sin dato",IF(U40&gt;='Léeme'!$B$20,"barato",IF(U40&lt;=-'Léeme'!$B$20,"caro","medio")))</f>
        <v/>
      </c>
      <c r="AC40" s="3">
        <f>IF(OR(Y40="",ISTEXT(Y40)),"sin dato",IF(Y40&gt;='Léeme'!$B$19,"barato",IF(Y40&lt;=-'Léeme'!$B$19,"caro","medio")))</f>
        <v/>
      </c>
      <c r="AD40" s="7" t="n">
        <v>0.4649122807017544</v>
      </c>
      <c r="AE40" s="7" t="n">
        <v>0.4069767441860465</v>
      </c>
      <c r="AF40" s="7" t="n">
        <v>0.2441860465116279</v>
      </c>
      <c r="AG40" s="7" t="n"/>
    </row>
    <row r="41">
      <c r="A41" s="3" t="inlineStr">
        <is>
          <t>2001-T4</t>
        </is>
      </c>
      <c r="B41" s="13" t="n">
        <v>37256</v>
      </c>
      <c r="C41" s="14" t="n">
        <v>13</v>
      </c>
      <c r="D41" s="14" t="n">
        <v>1.26</v>
      </c>
      <c r="E41" s="14" t="n">
        <v>1.4453</v>
      </c>
      <c r="F41" s="5" t="n">
        <v>0.0507</v>
      </c>
      <c r="G41" s="5" t="n">
        <v>0.009805797673485328</v>
      </c>
      <c r="H41" s="5" t="n">
        <v>0.03111537693925381</v>
      </c>
      <c r="N41" s="9">
        <f>IF(F41="","",F41+'Léeme'!$B$10)</f>
        <v/>
      </c>
      <c r="O41" s="9">
        <f>IF(OR(G41="",N41=""),"",MIN(MAX(G41,'Léeme'!$B$11),'Léeme'!$B$12,N41-'Léeme'!$B$16))</f>
        <v/>
      </c>
      <c r="P41" s="16">
        <f>IF(OR(D41="",O41=""),"",IFERROR(IF(D41&lt;=0,"",D41*(1+O41)/(N41-O41)),""))</f>
        <v/>
      </c>
      <c r="Q41" s="9">
        <f>IF(H41="","",MIN(MAX(H41,'Léeme'!$B$13),'Léeme'!$B$14))</f>
        <v/>
      </c>
      <c r="R41" s="9">
        <f>IF(N41="","",MIN('Léeme'!$B$15,N41-'Léeme'!$B$16))</f>
        <v/>
      </c>
      <c r="S41" s="16">
        <f>IF(OR(E41="",Q41=""),"",IFERROR(IF(E41&lt;=0,"",E41*(((1+Q41)/(1+N41))+((1+Q41)/(1+N41))^2+((1+Q41)/(1+N41))^3+((1+Q41)/(1+N41))^4+((1+Q41)/(1+N41))^5)+E41*(1+Q41)^5*(1+R41)/((N41-R41)*(1+N41)^5)),""))</f>
        <v/>
      </c>
      <c r="T41" s="9">
        <f>IF(OR(E41="",N41=""),"",IFERROR((C41*N41-E41)/(C41+E41),""))</f>
        <v/>
      </c>
      <c r="U41" s="9">
        <f>IF(OR(H41="",T41=""),"",IFERROR(MIN(MAX(H41,'Léeme'!$B$17),'Léeme'!$B$18)-T41,""))</f>
        <v/>
      </c>
      <c r="V41" s="16">
        <f>IF(OR(I41="",M41="",L41=""),"",IFERROR((I41/M41-J41-K41)/L41,""))</f>
        <v/>
      </c>
      <c r="W41" s="11">
        <f>IFERROR(P41/C41-1,"")</f>
        <v/>
      </c>
      <c r="X41" s="11">
        <f>IFERROR(S41/C41-1,"")</f>
        <v/>
      </c>
      <c r="Y41" s="11">
        <f>IFERROR(V41/C41-1,"")</f>
        <v/>
      </c>
      <c r="Z41" s="3">
        <f>IF(OR(W41="",ISTEXT(W41)),"sin dato",IF(W41&gt;='Léeme'!$B$19,"barato",IF(W41&lt;=-'Léeme'!$B$19,"caro","medio")))</f>
        <v/>
      </c>
      <c r="AA41" s="3">
        <f>IF(OR(X41="",ISTEXT(X41)),"sin dato",IF(X41&gt;='Léeme'!$B$19,"barato",IF(X41&lt;=-'Léeme'!$B$19,"caro","medio")))</f>
        <v/>
      </c>
      <c r="AB41" s="3">
        <f>IF(OR(U41="",ISTEXT(U41)),"sin dato",IF(U41&gt;='Léeme'!$B$20,"barato",IF(U41&lt;=-'Léeme'!$B$20,"caro","medio")))</f>
        <v/>
      </c>
      <c r="AC41" s="3">
        <f>IF(OR(Y41="",ISTEXT(Y41)),"sin dato",IF(Y41&gt;='Léeme'!$B$19,"barato",IF(Y41&lt;=-'Léeme'!$B$19,"caro","medio")))</f>
        <v/>
      </c>
      <c r="AD41" s="7" t="n">
        <v>0.3416666666666667</v>
      </c>
      <c r="AE41" s="7" t="n">
        <v>0.2282608695652174</v>
      </c>
      <c r="AF41" s="7" t="n">
        <v>0.2065217391304348</v>
      </c>
      <c r="AG41" s="7" t="n"/>
    </row>
    <row r="42">
      <c r="A42" s="3" t="inlineStr">
        <is>
          <t>2002-T1</t>
        </is>
      </c>
      <c r="B42" s="13" t="n">
        <v>37343</v>
      </c>
      <c r="C42" s="14" t="n">
        <v>13.96</v>
      </c>
      <c r="D42" s="14" t="n">
        <v>1.26</v>
      </c>
      <c r="E42" s="14" t="n">
        <v>1.4067</v>
      </c>
      <c r="F42" s="5" t="n">
        <v>0.0542</v>
      </c>
      <c r="G42" s="5" t="n">
        <v>0.009805797673485328</v>
      </c>
      <c r="H42" s="5" t="n">
        <v>0.009762731919418899</v>
      </c>
      <c r="N42" s="9">
        <f>IF(F42="","",F42+'Léeme'!$B$10)</f>
        <v/>
      </c>
      <c r="O42" s="9">
        <f>IF(OR(G42="",N42=""),"",MIN(MAX(G42,'Léeme'!$B$11),'Léeme'!$B$12,N42-'Léeme'!$B$16))</f>
        <v/>
      </c>
      <c r="P42" s="16">
        <f>IF(OR(D42="",O42=""),"",IFERROR(IF(D42&lt;=0,"",D42*(1+O42)/(N42-O42)),""))</f>
        <v/>
      </c>
      <c r="Q42" s="9">
        <f>IF(H42="","",MIN(MAX(H42,'Léeme'!$B$13),'Léeme'!$B$14))</f>
        <v/>
      </c>
      <c r="R42" s="9">
        <f>IF(N42="","",MIN('Léeme'!$B$15,N42-'Léeme'!$B$16))</f>
        <v/>
      </c>
      <c r="S42" s="16">
        <f>IF(OR(E42="",Q42=""),"",IFERROR(IF(E42&lt;=0,"",E42*(((1+Q42)/(1+N42))+((1+Q42)/(1+N42))^2+((1+Q42)/(1+N42))^3+((1+Q42)/(1+N42))^4+((1+Q42)/(1+N42))^5)+E42*(1+Q42)^5*(1+R42)/((N42-R42)*(1+N42)^5)),""))</f>
        <v/>
      </c>
      <c r="T42" s="9">
        <f>IF(OR(E42="",N42=""),"",IFERROR((C42*N42-E42)/(C42+E42),""))</f>
        <v/>
      </c>
      <c r="U42" s="9">
        <f>IF(OR(H42="",T42=""),"",IFERROR(MIN(MAX(H42,'Léeme'!$B$17),'Léeme'!$B$18)-T42,""))</f>
        <v/>
      </c>
      <c r="V42" s="16">
        <f>IF(OR(I42="",M42="",L42=""),"",IFERROR((I42/M42-J42-K42)/L42,""))</f>
        <v/>
      </c>
      <c r="W42" s="11">
        <f>IFERROR(P42/C42-1,"")</f>
        <v/>
      </c>
      <c r="X42" s="11">
        <f>IFERROR(S42/C42-1,"")</f>
        <v/>
      </c>
      <c r="Y42" s="11">
        <f>IFERROR(V42/C42-1,"")</f>
        <v/>
      </c>
      <c r="Z42" s="3">
        <f>IF(OR(W42="",ISTEXT(W42)),"sin dato",IF(W42&gt;='Léeme'!$B$19,"barato",IF(W42&lt;=-'Léeme'!$B$19,"caro","medio")))</f>
        <v/>
      </c>
      <c r="AA42" s="3">
        <f>IF(OR(X42="",ISTEXT(X42)),"sin dato",IF(X42&gt;='Léeme'!$B$19,"barato",IF(X42&lt;=-'Léeme'!$B$19,"caro","medio")))</f>
        <v/>
      </c>
      <c r="AB42" s="3">
        <f>IF(OR(U42="",ISTEXT(U42)),"sin dato",IF(U42&gt;='Léeme'!$B$20,"barato",IF(U42&lt;=-'Léeme'!$B$20,"caro","medio")))</f>
        <v/>
      </c>
      <c r="AC42" s="3">
        <f>IF(OR(Y42="",ISTEXT(Y42)),"sin dato",IF(Y42&gt;='Léeme'!$B$19,"barato",IF(Y42&lt;=-'Léeme'!$B$19,"caro","medio")))</f>
        <v/>
      </c>
      <c r="AD42" s="7" t="n">
        <v>0.246031746031746</v>
      </c>
      <c r="AE42" s="7" t="n">
        <v>0.09183673469387756</v>
      </c>
      <c r="AF42" s="7" t="n">
        <v>0.01020408163265306</v>
      </c>
      <c r="AG42" s="7" t="n"/>
    </row>
    <row r="43">
      <c r="A43" s="3" t="inlineStr">
        <is>
          <t>2002-T2</t>
        </is>
      </c>
      <c r="B43" s="13" t="n">
        <v>37435</v>
      </c>
      <c r="C43" s="14" t="n">
        <v>16</v>
      </c>
      <c r="D43" s="14" t="n">
        <v>1.26</v>
      </c>
      <c r="E43" s="14" t="n">
        <v>1.4067</v>
      </c>
      <c r="F43" s="5" t="n">
        <v>0.0486</v>
      </c>
      <c r="G43" s="5" t="n">
        <v>0.009805797673485328</v>
      </c>
      <c r="H43" s="5" t="n">
        <v>0.009762731919418899</v>
      </c>
      <c r="N43" s="9">
        <f>IF(F43="","",F43+'Léeme'!$B$10)</f>
        <v/>
      </c>
      <c r="O43" s="9">
        <f>IF(OR(G43="",N43=""),"",MIN(MAX(G43,'Léeme'!$B$11),'Léeme'!$B$12,N43-'Léeme'!$B$16))</f>
        <v/>
      </c>
      <c r="P43" s="16">
        <f>IF(OR(D43="",O43=""),"",IFERROR(IF(D43&lt;=0,"",D43*(1+O43)/(N43-O43)),""))</f>
        <v/>
      </c>
      <c r="Q43" s="9">
        <f>IF(H43="","",MIN(MAX(H43,'Léeme'!$B$13),'Léeme'!$B$14))</f>
        <v/>
      </c>
      <c r="R43" s="9">
        <f>IF(N43="","",MIN('Léeme'!$B$15,N43-'Léeme'!$B$16))</f>
        <v/>
      </c>
      <c r="S43" s="16">
        <f>IF(OR(E43="",Q43=""),"",IFERROR(IF(E43&lt;=0,"",E43*(((1+Q43)/(1+N43))+((1+Q43)/(1+N43))^2+((1+Q43)/(1+N43))^3+((1+Q43)/(1+N43))^4+((1+Q43)/(1+N43))^5)+E43*(1+Q43)^5*(1+R43)/((N43-R43)*(1+N43)^5)),""))</f>
        <v/>
      </c>
      <c r="T43" s="9">
        <f>IF(OR(E43="",N43=""),"",IFERROR((C43*N43-E43)/(C43+E43),""))</f>
        <v/>
      </c>
      <c r="U43" s="9">
        <f>IF(OR(H43="",T43=""),"",IFERROR(MIN(MAX(H43,'Léeme'!$B$17),'Léeme'!$B$18)-T43,""))</f>
        <v/>
      </c>
      <c r="V43" s="16">
        <f>IF(OR(I43="",M43="",L43=""),"",IFERROR((I43/M43-J43-K43)/L43,""))</f>
        <v/>
      </c>
      <c r="W43" s="11">
        <f>IFERROR(P43/C43-1,"")</f>
        <v/>
      </c>
      <c r="X43" s="11">
        <f>IFERROR(S43/C43-1,"")</f>
        <v/>
      </c>
      <c r="Y43" s="11">
        <f>IFERROR(V43/C43-1,"")</f>
        <v/>
      </c>
      <c r="Z43" s="3">
        <f>IF(OR(W43="",ISTEXT(W43)),"sin dato",IF(W43&gt;='Léeme'!$B$19,"barato",IF(W43&lt;=-'Léeme'!$B$19,"caro","medio")))</f>
        <v/>
      </c>
      <c r="AA43" s="3">
        <f>IF(OR(X43="",ISTEXT(X43)),"sin dato",IF(X43&gt;='Léeme'!$B$19,"barato",IF(X43&lt;=-'Léeme'!$B$19,"caro","medio")))</f>
        <v/>
      </c>
      <c r="AB43" s="3">
        <f>IF(OR(U43="",ISTEXT(U43)),"sin dato",IF(U43&gt;='Léeme'!$B$20,"barato",IF(U43&lt;=-'Léeme'!$B$20,"caro","medio")))</f>
        <v/>
      </c>
      <c r="AC43" s="3">
        <f>IF(OR(Y43="",ISTEXT(Y43)),"sin dato",IF(Y43&gt;='Léeme'!$B$19,"barato",IF(Y43&lt;=-'Léeme'!$B$19,"caro","medio")))</f>
        <v/>
      </c>
      <c r="AD43" s="7" t="n">
        <v>0.2348484848484849</v>
      </c>
      <c r="AE43" s="7" t="n">
        <v>0.04807692307692308</v>
      </c>
      <c r="AF43" s="7" t="n">
        <v>0.009615384615384616</v>
      </c>
      <c r="AG43" s="7" t="n"/>
    </row>
    <row r="44">
      <c r="A44" s="3" t="inlineStr">
        <is>
          <t>2002-T3</t>
        </is>
      </c>
      <c r="B44" s="13" t="n">
        <v>37529</v>
      </c>
      <c r="C44" s="14" t="n">
        <v>16.120001</v>
      </c>
      <c r="D44" s="14" t="n">
        <v>1.28</v>
      </c>
      <c r="E44" s="14" t="n">
        <v>1.4067</v>
      </c>
      <c r="F44" s="5" t="n">
        <v>0.0363</v>
      </c>
      <c r="G44" s="5" t="n">
        <v>0.01299136822423641</v>
      </c>
      <c r="H44" s="5" t="n">
        <v>0.009762731919418899</v>
      </c>
      <c r="N44" s="9">
        <f>IF(F44="","",F44+'Léeme'!$B$10)</f>
        <v/>
      </c>
      <c r="O44" s="9">
        <f>IF(OR(G44="",N44=""),"",MIN(MAX(G44,'Léeme'!$B$11),'Léeme'!$B$12,N44-'Léeme'!$B$16))</f>
        <v/>
      </c>
      <c r="P44" s="16">
        <f>IF(OR(D44="",O44=""),"",IFERROR(IF(D44&lt;=0,"",D44*(1+O44)/(N44-O44)),""))</f>
        <v/>
      </c>
      <c r="Q44" s="9">
        <f>IF(H44="","",MIN(MAX(H44,'Léeme'!$B$13),'Léeme'!$B$14))</f>
        <v/>
      </c>
      <c r="R44" s="9">
        <f>IF(N44="","",MIN('Léeme'!$B$15,N44-'Léeme'!$B$16))</f>
        <v/>
      </c>
      <c r="S44" s="16">
        <f>IF(OR(E44="",Q44=""),"",IFERROR(IF(E44&lt;=0,"",E44*(((1+Q44)/(1+N44))+((1+Q44)/(1+N44))^2+((1+Q44)/(1+N44))^3+((1+Q44)/(1+N44))^4+((1+Q44)/(1+N44))^5)+E44*(1+Q44)^5*(1+R44)/((N44-R44)*(1+N44)^5)),""))</f>
        <v/>
      </c>
      <c r="T44" s="9">
        <f>IF(OR(E44="",N44=""),"",IFERROR((C44*N44-E44)/(C44+E44),""))</f>
        <v/>
      </c>
      <c r="U44" s="9">
        <f>IF(OR(H44="",T44=""),"",IFERROR(MIN(MAX(H44,'Léeme'!$B$17),'Léeme'!$B$18)-T44,""))</f>
        <v/>
      </c>
      <c r="V44" s="16">
        <f>IF(OR(I44="",M44="",L44=""),"",IFERROR((I44/M44-J44-K44)/L44,""))</f>
        <v/>
      </c>
      <c r="W44" s="11">
        <f>IFERROR(P44/C44-1,"")</f>
        <v/>
      </c>
      <c r="X44" s="11">
        <f>IFERROR(S44/C44-1,"")</f>
        <v/>
      </c>
      <c r="Y44" s="11">
        <f>IFERROR(V44/C44-1,"")</f>
        <v/>
      </c>
      <c r="Z44" s="3">
        <f>IF(OR(W44="",ISTEXT(W44)),"sin dato",IF(W44&gt;='Léeme'!$B$19,"barato",IF(W44&lt;=-'Léeme'!$B$19,"caro","medio")))</f>
        <v/>
      </c>
      <c r="AA44" s="3">
        <f>IF(OR(X44="",ISTEXT(X44)),"sin dato",IF(X44&gt;='Léeme'!$B$19,"barato",IF(X44&lt;=-'Léeme'!$B$19,"caro","medio")))</f>
        <v/>
      </c>
      <c r="AB44" s="3">
        <f>IF(OR(U44="",ISTEXT(U44)),"sin dato",IF(U44&gt;='Léeme'!$B$20,"barato",IF(U44&lt;=-'Léeme'!$B$20,"caro","medio")))</f>
        <v/>
      </c>
      <c r="AC44" s="3">
        <f>IF(OR(Y44="",ISTEXT(Y44)),"sin dato",IF(Y44&gt;='Léeme'!$B$19,"barato",IF(Y44&lt;=-'Léeme'!$B$19,"caro","medio")))</f>
        <v/>
      </c>
      <c r="AD44" s="7" t="n">
        <v>0.6304347826086957</v>
      </c>
      <c r="AE44" s="7" t="n">
        <v>0.2272727272727273</v>
      </c>
      <c r="AF44" s="7" t="n">
        <v>0.1181818181818182</v>
      </c>
      <c r="AG44" s="7" t="n"/>
    </row>
    <row r="45">
      <c r="A45" s="3" t="inlineStr">
        <is>
          <t>2002-T4</t>
        </is>
      </c>
      <c r="B45" s="13" t="n">
        <v>37621</v>
      </c>
      <c r="C45" s="14" t="n">
        <v>15.33</v>
      </c>
      <c r="D45" s="14" t="n">
        <v>1.28</v>
      </c>
      <c r="E45" s="14" t="n">
        <v>1.4067</v>
      </c>
      <c r="F45" s="5" t="n">
        <v>0.0383</v>
      </c>
      <c r="G45" s="5" t="n">
        <v>0.01299136822423641</v>
      </c>
      <c r="H45" s="5" t="n">
        <v>0.009762731919418899</v>
      </c>
      <c r="N45" s="9">
        <f>IF(F45="","",F45+'Léeme'!$B$10)</f>
        <v/>
      </c>
      <c r="O45" s="9">
        <f>IF(OR(G45="",N45=""),"",MIN(MAX(G45,'Léeme'!$B$11),'Léeme'!$B$12,N45-'Léeme'!$B$16))</f>
        <v/>
      </c>
      <c r="P45" s="16">
        <f>IF(OR(D45="",O45=""),"",IFERROR(IF(D45&lt;=0,"",D45*(1+O45)/(N45-O45)),""))</f>
        <v/>
      </c>
      <c r="Q45" s="9">
        <f>IF(H45="","",MIN(MAX(H45,'Léeme'!$B$13),'Léeme'!$B$14))</f>
        <v/>
      </c>
      <c r="R45" s="9">
        <f>IF(N45="","",MIN('Léeme'!$B$15,N45-'Léeme'!$B$16))</f>
        <v/>
      </c>
      <c r="S45" s="16">
        <f>IF(OR(E45="",Q45=""),"",IFERROR(IF(E45&lt;=0,"",E45*(((1+Q45)/(1+N45))+((1+Q45)/(1+N45))^2+((1+Q45)/(1+N45))^3+((1+Q45)/(1+N45))^4+((1+Q45)/(1+N45))^5)+E45*(1+Q45)^5*(1+R45)/((N45-R45)*(1+N45)^5)),""))</f>
        <v/>
      </c>
      <c r="T45" s="9">
        <f>IF(OR(E45="",N45=""),"",IFERROR((C45*N45-E45)/(C45+E45),""))</f>
        <v/>
      </c>
      <c r="U45" s="9">
        <f>IF(OR(H45="",T45=""),"",IFERROR(MIN(MAX(H45,'Léeme'!$B$17),'Léeme'!$B$18)-T45,""))</f>
        <v/>
      </c>
      <c r="V45" s="16">
        <f>IF(OR(I45="",M45="",L45=""),"",IFERROR((I45/M45-J45-K45)/L45,""))</f>
        <v/>
      </c>
      <c r="W45" s="11">
        <f>IFERROR(P45/C45-1,"")</f>
        <v/>
      </c>
      <c r="X45" s="11">
        <f>IFERROR(S45/C45-1,"")</f>
        <v/>
      </c>
      <c r="Y45" s="11">
        <f>IFERROR(V45/C45-1,"")</f>
        <v/>
      </c>
      <c r="Z45" s="3">
        <f>IF(OR(W45="",ISTEXT(W45)),"sin dato",IF(W45&gt;='Léeme'!$B$19,"barato",IF(W45&lt;=-'Léeme'!$B$19,"caro","medio")))</f>
        <v/>
      </c>
      <c r="AA45" s="3">
        <f>IF(OR(X45="",ISTEXT(X45)),"sin dato",IF(X45&gt;='Léeme'!$B$19,"barato",IF(X45&lt;=-'Léeme'!$B$19,"caro","medio")))</f>
        <v/>
      </c>
      <c r="AB45" s="3">
        <f>IF(OR(U45="",ISTEXT(U45)),"sin dato",IF(U45&gt;='Léeme'!$B$20,"barato",IF(U45&lt;=-'Léeme'!$B$20,"caro","medio")))</f>
        <v/>
      </c>
      <c r="AC45" s="3">
        <f>IF(OR(Y45="",ISTEXT(Y45)),"sin dato",IF(Y45&gt;='Léeme'!$B$19,"barato",IF(Y45&lt;=-'Léeme'!$B$19,"caro","medio")))</f>
        <v/>
      </c>
      <c r="AD45" s="7" t="n">
        <v>0.6736111111111112</v>
      </c>
      <c r="AE45" s="7" t="n">
        <v>0.2672413793103448</v>
      </c>
      <c r="AF45" s="7" t="n">
        <v>0.1637931034482759</v>
      </c>
      <c r="AG45" s="7" t="n"/>
    </row>
    <row r="46">
      <c r="A46" s="3" t="inlineStr">
        <is>
          <t>2003-T1</t>
        </is>
      </c>
      <c r="B46" s="13" t="n">
        <v>37711</v>
      </c>
      <c r="C46" s="14" t="n">
        <v>15.1</v>
      </c>
      <c r="D46" s="14" t="n">
        <v>1.28</v>
      </c>
      <c r="E46" s="14" t="n">
        <v>1.43</v>
      </c>
      <c r="F46" s="5" t="n">
        <v>0.0383</v>
      </c>
      <c r="G46" s="5" t="n">
        <v>0.01299136822423641</v>
      </c>
      <c r="H46" s="5" t="n">
        <v>0.002366356967345329</v>
      </c>
      <c r="N46" s="9">
        <f>IF(F46="","",F46+'Léeme'!$B$10)</f>
        <v/>
      </c>
      <c r="O46" s="9">
        <f>IF(OR(G46="",N46=""),"",MIN(MAX(G46,'Léeme'!$B$11),'Léeme'!$B$12,N46-'Léeme'!$B$16))</f>
        <v/>
      </c>
      <c r="P46" s="16">
        <f>IF(OR(D46="",O46=""),"",IFERROR(IF(D46&lt;=0,"",D46*(1+O46)/(N46-O46)),""))</f>
        <v/>
      </c>
      <c r="Q46" s="9">
        <f>IF(H46="","",MIN(MAX(H46,'Léeme'!$B$13),'Léeme'!$B$14))</f>
        <v/>
      </c>
      <c r="R46" s="9">
        <f>IF(N46="","",MIN('Léeme'!$B$15,N46-'Léeme'!$B$16))</f>
        <v/>
      </c>
      <c r="S46" s="16">
        <f>IF(OR(E46="",Q46=""),"",IFERROR(IF(E46&lt;=0,"",E46*(((1+Q46)/(1+N46))+((1+Q46)/(1+N46))^2+((1+Q46)/(1+N46))^3+((1+Q46)/(1+N46))^4+((1+Q46)/(1+N46))^5)+E46*(1+Q46)^5*(1+R46)/((N46-R46)*(1+N46)^5)),""))</f>
        <v/>
      </c>
      <c r="T46" s="9">
        <f>IF(OR(E46="",N46=""),"",IFERROR((C46*N46-E46)/(C46+E46),""))</f>
        <v/>
      </c>
      <c r="U46" s="9">
        <f>IF(OR(H46="",T46=""),"",IFERROR(MIN(MAX(H46,'Léeme'!$B$17),'Léeme'!$B$18)-T46,""))</f>
        <v/>
      </c>
      <c r="V46" s="16">
        <f>IF(OR(I46="",M46="",L46=""),"",IFERROR((I46/M46-J46-K46)/L46,""))</f>
        <v/>
      </c>
      <c r="W46" s="11">
        <f>IFERROR(P46/C46-1,"")</f>
        <v/>
      </c>
      <c r="X46" s="11">
        <f>IFERROR(S46/C46-1,"")</f>
        <v/>
      </c>
      <c r="Y46" s="11">
        <f>IFERROR(V46/C46-1,"")</f>
        <v/>
      </c>
      <c r="Z46" s="3">
        <f>IF(OR(W46="",ISTEXT(W46)),"sin dato",IF(W46&gt;='Léeme'!$B$19,"barato",IF(W46&lt;=-'Léeme'!$B$19,"caro","medio")))</f>
        <v/>
      </c>
      <c r="AA46" s="3">
        <f>IF(OR(X46="",ISTEXT(X46)),"sin dato",IF(X46&gt;='Léeme'!$B$19,"barato",IF(X46&lt;=-'Léeme'!$B$19,"caro","medio")))</f>
        <v/>
      </c>
      <c r="AB46" s="3">
        <f>IF(OR(U46="",ISTEXT(U46)),"sin dato",IF(U46&gt;='Léeme'!$B$20,"barato",IF(U46&lt;=-'Léeme'!$B$20,"caro","medio")))</f>
        <v/>
      </c>
      <c r="AC46" s="3">
        <f>IF(OR(Y46="",ISTEXT(Y46)),"sin dato",IF(Y46&gt;='Léeme'!$B$19,"barato",IF(Y46&lt;=-'Léeme'!$B$19,"caro","medio")))</f>
        <v/>
      </c>
      <c r="AD46" s="7" t="n">
        <v>0.7133333333333334</v>
      </c>
      <c r="AE46" s="7" t="n">
        <v>0.2704918032786885</v>
      </c>
      <c r="AF46" s="7" t="n">
        <v>0.1065573770491803</v>
      </c>
      <c r="AG46" s="7" t="n"/>
    </row>
    <row r="47">
      <c r="A47" s="3" t="inlineStr">
        <is>
          <t>2003-T2</t>
        </is>
      </c>
      <c r="B47" s="13" t="n">
        <v>37802</v>
      </c>
      <c r="C47" s="14" t="n">
        <v>17.24</v>
      </c>
      <c r="D47" s="14" t="n">
        <v>1.28</v>
      </c>
      <c r="E47" s="14" t="n">
        <v>1.43</v>
      </c>
      <c r="F47" s="5" t="n">
        <v>0.0354</v>
      </c>
      <c r="G47" s="5" t="n">
        <v>0.006369941997027784</v>
      </c>
      <c r="H47" s="5" t="n">
        <v>0.002366356967345329</v>
      </c>
      <c r="N47" s="9">
        <f>IF(F47="","",F47+'Léeme'!$B$10)</f>
        <v/>
      </c>
      <c r="O47" s="9">
        <f>IF(OR(G47="",N47=""),"",MIN(MAX(G47,'Léeme'!$B$11),'Léeme'!$B$12,N47-'Léeme'!$B$16))</f>
        <v/>
      </c>
      <c r="P47" s="16">
        <f>IF(OR(D47="",O47=""),"",IFERROR(IF(D47&lt;=0,"",D47*(1+O47)/(N47-O47)),""))</f>
        <v/>
      </c>
      <c r="Q47" s="9">
        <f>IF(H47="","",MIN(MAX(H47,'Léeme'!$B$13),'Léeme'!$B$14))</f>
        <v/>
      </c>
      <c r="R47" s="9">
        <f>IF(N47="","",MIN('Léeme'!$B$15,N47-'Léeme'!$B$16))</f>
        <v/>
      </c>
      <c r="S47" s="16">
        <f>IF(OR(E47="",Q47=""),"",IFERROR(IF(E47&lt;=0,"",E47*(((1+Q47)/(1+N47))+((1+Q47)/(1+N47))^2+((1+Q47)/(1+N47))^3+((1+Q47)/(1+N47))^4+((1+Q47)/(1+N47))^5)+E47*(1+Q47)^5*(1+R47)/((N47-R47)*(1+N47)^5)),""))</f>
        <v/>
      </c>
      <c r="T47" s="9">
        <f>IF(OR(E47="",N47=""),"",IFERROR((C47*N47-E47)/(C47+E47),""))</f>
        <v/>
      </c>
      <c r="U47" s="9">
        <f>IF(OR(H47="",T47=""),"",IFERROR(MIN(MAX(H47,'Léeme'!$B$17),'Léeme'!$B$18)-T47,""))</f>
        <v/>
      </c>
      <c r="V47" s="16">
        <f>IF(OR(I47="",M47="",L47=""),"",IFERROR((I47/M47-J47-K47)/L47,""))</f>
        <v/>
      </c>
      <c r="W47" s="11">
        <f>IFERROR(P47/C47-1,"")</f>
        <v/>
      </c>
      <c r="X47" s="11">
        <f>IFERROR(S47/C47-1,"")</f>
        <v/>
      </c>
      <c r="Y47" s="11">
        <f>IFERROR(V47/C47-1,"")</f>
        <v/>
      </c>
      <c r="Z47" s="3">
        <f>IF(OR(W47="",ISTEXT(W47)),"sin dato",IF(W47&gt;='Léeme'!$B$19,"barato",IF(W47&lt;=-'Léeme'!$B$19,"caro","medio")))</f>
        <v/>
      </c>
      <c r="AA47" s="3">
        <f>IF(OR(X47="",ISTEXT(X47)),"sin dato",IF(X47&gt;='Léeme'!$B$19,"barato",IF(X47&lt;=-'Léeme'!$B$19,"caro","medio")))</f>
        <v/>
      </c>
      <c r="AB47" s="3">
        <f>IF(OR(U47="",ISTEXT(U47)),"sin dato",IF(U47&gt;='Léeme'!$B$20,"barato",IF(U47&lt;=-'Léeme'!$B$20,"caro","medio")))</f>
        <v/>
      </c>
      <c r="AC47" s="3">
        <f>IF(OR(Y47="",ISTEXT(Y47)),"sin dato",IF(Y47&gt;='Léeme'!$B$19,"barato",IF(Y47&lt;=-'Léeme'!$B$19,"caro","medio")))</f>
        <v/>
      </c>
      <c r="AD47" s="7" t="n">
        <v>0.2628205128205128</v>
      </c>
      <c r="AE47" s="7" t="n">
        <v>0.2265625</v>
      </c>
      <c r="AF47" s="7" t="n">
        <v>0.0234375</v>
      </c>
      <c r="AG47" s="7" t="n"/>
    </row>
    <row r="48">
      <c r="A48" s="3" t="inlineStr">
        <is>
          <t>2003-T3</t>
        </is>
      </c>
      <c r="B48" s="13" t="n">
        <v>37894</v>
      </c>
      <c r="C48" s="14" t="n">
        <v>17.030001</v>
      </c>
      <c r="D48" s="14" t="n">
        <v>1.28</v>
      </c>
      <c r="E48" s="14" t="n">
        <v>1.43</v>
      </c>
      <c r="F48" s="5" t="n">
        <v>0.0396</v>
      </c>
      <c r="G48" s="5" t="n">
        <v>0.006369941997027784</v>
      </c>
      <c r="H48" s="5" t="n">
        <v>0.002366356967345329</v>
      </c>
      <c r="N48" s="9">
        <f>IF(F48="","",F48+'Léeme'!$B$10)</f>
        <v/>
      </c>
      <c r="O48" s="9">
        <f>IF(OR(G48="",N48=""),"",MIN(MAX(G48,'Léeme'!$B$11),'Léeme'!$B$12,N48-'Léeme'!$B$16))</f>
        <v/>
      </c>
      <c r="P48" s="16">
        <f>IF(OR(D48="",O48=""),"",IFERROR(IF(D48&lt;=0,"",D48*(1+O48)/(N48-O48)),""))</f>
        <v/>
      </c>
      <c r="Q48" s="9">
        <f>IF(H48="","",MIN(MAX(H48,'Léeme'!$B$13),'Léeme'!$B$14))</f>
        <v/>
      </c>
      <c r="R48" s="9">
        <f>IF(N48="","",MIN('Léeme'!$B$15,N48-'Léeme'!$B$16))</f>
        <v/>
      </c>
      <c r="S48" s="16">
        <f>IF(OR(E48="",Q48=""),"",IFERROR(IF(E48&lt;=0,"",E48*(((1+Q48)/(1+N48))+((1+Q48)/(1+N48))^2+((1+Q48)/(1+N48))^3+((1+Q48)/(1+N48))^4+((1+Q48)/(1+N48))^5)+E48*(1+Q48)^5*(1+R48)/((N48-R48)*(1+N48)^5)),""))</f>
        <v/>
      </c>
      <c r="T48" s="9">
        <f>IF(OR(E48="",N48=""),"",IFERROR((C48*N48-E48)/(C48+E48),""))</f>
        <v/>
      </c>
      <c r="U48" s="9">
        <f>IF(OR(H48="",T48=""),"",IFERROR(MIN(MAX(H48,'Léeme'!$B$17),'Léeme'!$B$18)-T48,""))</f>
        <v/>
      </c>
      <c r="V48" s="16">
        <f>IF(OR(I48="",M48="",L48=""),"",IFERROR((I48/M48-J48-K48)/L48,""))</f>
        <v/>
      </c>
      <c r="W48" s="11">
        <f>IFERROR(P48/C48-1,"")</f>
        <v/>
      </c>
      <c r="X48" s="11">
        <f>IFERROR(S48/C48-1,"")</f>
        <v/>
      </c>
      <c r="Y48" s="11">
        <f>IFERROR(V48/C48-1,"")</f>
        <v/>
      </c>
      <c r="Z48" s="3">
        <f>IF(OR(W48="",ISTEXT(W48)),"sin dato",IF(W48&gt;='Léeme'!$B$19,"barato",IF(W48&lt;=-'Léeme'!$B$19,"caro","medio")))</f>
        <v/>
      </c>
      <c r="AA48" s="3">
        <f>IF(OR(X48="",ISTEXT(X48)),"sin dato",IF(X48&gt;='Léeme'!$B$19,"barato",IF(X48&lt;=-'Léeme'!$B$19,"caro","medio")))</f>
        <v/>
      </c>
      <c r="AB48" s="3">
        <f>IF(OR(U48="",ISTEXT(U48)),"sin dato",IF(U48&gt;='Léeme'!$B$20,"barato",IF(U48&lt;=-'Léeme'!$B$20,"caro","medio")))</f>
        <v/>
      </c>
      <c r="AC48" s="3">
        <f>IF(OR(Y48="",ISTEXT(Y48)),"sin dato",IF(Y48&gt;='Léeme'!$B$19,"barato",IF(Y48&lt;=-'Léeme'!$B$19,"caro","medio")))</f>
        <v/>
      </c>
      <c r="AD48" s="7" t="n">
        <v>0.2530864197530864</v>
      </c>
      <c r="AE48" s="7" t="n">
        <v>0.1865671641791045</v>
      </c>
      <c r="AF48" s="7" t="n">
        <v>0.03731343283582089</v>
      </c>
      <c r="AG48" s="7" t="n"/>
    </row>
    <row r="49">
      <c r="A49" s="3" t="inlineStr">
        <is>
          <t>2003-T4</t>
        </is>
      </c>
      <c r="B49" s="13" t="n">
        <v>37986</v>
      </c>
      <c r="C49" s="14" t="n">
        <v>17.799999</v>
      </c>
      <c r="D49" s="14" t="n">
        <v>1.28</v>
      </c>
      <c r="E49" s="14" t="n">
        <v>1.43</v>
      </c>
      <c r="F49" s="5" t="n">
        <v>0.04269999999999999</v>
      </c>
      <c r="G49" s="5" t="n">
        <v>0.006369941997027784</v>
      </c>
      <c r="H49" s="5" t="n">
        <v>0.002366356967345329</v>
      </c>
      <c r="N49" s="9">
        <f>IF(F49="","",F49+'Léeme'!$B$10)</f>
        <v/>
      </c>
      <c r="O49" s="9">
        <f>IF(OR(G49="",N49=""),"",MIN(MAX(G49,'Léeme'!$B$11),'Léeme'!$B$12,N49-'Léeme'!$B$16))</f>
        <v/>
      </c>
      <c r="P49" s="16">
        <f>IF(OR(D49="",O49=""),"",IFERROR(IF(D49&lt;=0,"",D49*(1+O49)/(N49-O49)),""))</f>
        <v/>
      </c>
      <c r="Q49" s="9">
        <f>IF(H49="","",MIN(MAX(H49,'Léeme'!$B$13),'Léeme'!$B$14))</f>
        <v/>
      </c>
      <c r="R49" s="9">
        <f>IF(N49="","",MIN('Léeme'!$B$15,N49-'Léeme'!$B$16))</f>
        <v/>
      </c>
      <c r="S49" s="16">
        <f>IF(OR(E49="",Q49=""),"",IFERROR(IF(E49&lt;=0,"",E49*(((1+Q49)/(1+N49))+((1+Q49)/(1+N49))^2+((1+Q49)/(1+N49))^3+((1+Q49)/(1+N49))^4+((1+Q49)/(1+N49))^5)+E49*(1+Q49)^5*(1+R49)/((N49-R49)*(1+N49)^5)),""))</f>
        <v/>
      </c>
      <c r="T49" s="9">
        <f>IF(OR(E49="",N49=""),"",IFERROR((C49*N49-E49)/(C49+E49),""))</f>
        <v/>
      </c>
      <c r="U49" s="9">
        <f>IF(OR(H49="",T49=""),"",IFERROR(MIN(MAX(H49,'Léeme'!$B$17),'Léeme'!$B$18)-T49,""))</f>
        <v/>
      </c>
      <c r="V49" s="16">
        <f>IF(OR(I49="",M49="",L49=""),"",IFERROR((I49/M49-J49-K49)/L49,""))</f>
        <v/>
      </c>
      <c r="W49" s="11">
        <f>IFERROR(P49/C49-1,"")</f>
        <v/>
      </c>
      <c r="X49" s="11">
        <f>IFERROR(S49/C49-1,"")</f>
        <v/>
      </c>
      <c r="Y49" s="11">
        <f>IFERROR(V49/C49-1,"")</f>
        <v/>
      </c>
      <c r="Z49" s="3">
        <f>IF(OR(W49="",ISTEXT(W49)),"sin dato",IF(W49&gt;='Léeme'!$B$19,"barato",IF(W49&lt;=-'Léeme'!$B$19,"caro","medio")))</f>
        <v/>
      </c>
      <c r="AA49" s="3">
        <f>IF(OR(X49="",ISTEXT(X49)),"sin dato",IF(X49&gt;='Léeme'!$B$19,"barato",IF(X49&lt;=-'Léeme'!$B$19,"caro","medio")))</f>
        <v/>
      </c>
      <c r="AB49" s="3">
        <f>IF(OR(U49="",ISTEXT(U49)),"sin dato",IF(U49&gt;='Léeme'!$B$20,"barato",IF(U49&lt;=-'Léeme'!$B$20,"caro","medio")))</f>
        <v/>
      </c>
      <c r="AC49" s="3">
        <f>IF(OR(Y49="",ISTEXT(Y49)),"sin dato",IF(Y49&gt;='Léeme'!$B$19,"barato",IF(Y49&lt;=-'Léeme'!$B$19,"caro","medio")))</f>
        <v/>
      </c>
      <c r="AD49" s="7" t="n">
        <v>0.1369047619047619</v>
      </c>
      <c r="AE49" s="7" t="n">
        <v>0.05</v>
      </c>
      <c r="AF49" s="7" t="n">
        <v>0.03571428571428571</v>
      </c>
      <c r="AG49" s="7" t="n"/>
    </row>
    <row r="50">
      <c r="A50" s="3" t="inlineStr">
        <is>
          <t>2004-T1</t>
        </is>
      </c>
      <c r="B50" s="13" t="n">
        <v>38077</v>
      </c>
      <c r="C50" s="14" t="n">
        <v>19.75</v>
      </c>
      <c r="D50" s="14" t="n">
        <v>1.28</v>
      </c>
      <c r="E50" s="14" t="n">
        <v>1.46</v>
      </c>
      <c r="F50" s="5" t="n">
        <v>0.0386</v>
      </c>
      <c r="G50" s="5" t="n">
        <v>0.006369941997027784</v>
      </c>
      <c r="H50" s="5" t="n">
        <v>0.001887351735015974</v>
      </c>
      <c r="N50" s="9">
        <f>IF(F50="","",F50+'Léeme'!$B$10)</f>
        <v/>
      </c>
      <c r="O50" s="9">
        <f>IF(OR(G50="",N50=""),"",MIN(MAX(G50,'Léeme'!$B$11),'Léeme'!$B$12,N50-'Léeme'!$B$16))</f>
        <v/>
      </c>
      <c r="P50" s="16">
        <f>IF(OR(D50="",O50=""),"",IFERROR(IF(D50&lt;=0,"",D50*(1+O50)/(N50-O50)),""))</f>
        <v/>
      </c>
      <c r="Q50" s="9">
        <f>IF(H50="","",MIN(MAX(H50,'Léeme'!$B$13),'Léeme'!$B$14))</f>
        <v/>
      </c>
      <c r="R50" s="9">
        <f>IF(N50="","",MIN('Léeme'!$B$15,N50-'Léeme'!$B$16))</f>
        <v/>
      </c>
      <c r="S50" s="16">
        <f>IF(OR(E50="",Q50=""),"",IFERROR(IF(E50&lt;=0,"",E50*(((1+Q50)/(1+N50))+((1+Q50)/(1+N50))^2+((1+Q50)/(1+N50))^3+((1+Q50)/(1+N50))^4+((1+Q50)/(1+N50))^5)+E50*(1+Q50)^5*(1+R50)/((N50-R50)*(1+N50)^5)),""))</f>
        <v/>
      </c>
      <c r="T50" s="9">
        <f>IF(OR(E50="",N50=""),"",IFERROR((C50*N50-E50)/(C50+E50),""))</f>
        <v/>
      </c>
      <c r="U50" s="9">
        <f>IF(OR(H50="",T50=""),"",IFERROR(MIN(MAX(H50,'Léeme'!$B$17),'Léeme'!$B$18)-T50,""))</f>
        <v/>
      </c>
      <c r="V50" s="16">
        <f>IF(OR(I50="",M50="",L50=""),"",IFERROR((I50/M50-J50-K50)/L50,""))</f>
        <v/>
      </c>
      <c r="W50" s="11">
        <f>IFERROR(P50/C50-1,"")</f>
        <v/>
      </c>
      <c r="X50" s="11">
        <f>IFERROR(S50/C50-1,"")</f>
        <v/>
      </c>
      <c r="Y50" s="11">
        <f>IFERROR(V50/C50-1,"")</f>
        <v/>
      </c>
      <c r="Z50" s="3">
        <f>IF(OR(W50="",ISTEXT(W50)),"sin dato",IF(W50&gt;='Léeme'!$B$19,"barato",IF(W50&lt;=-'Léeme'!$B$19,"caro","medio")))</f>
        <v/>
      </c>
      <c r="AA50" s="3">
        <f>IF(OR(X50="",ISTEXT(X50)),"sin dato",IF(X50&gt;='Léeme'!$B$19,"barato",IF(X50&lt;=-'Léeme'!$B$19,"caro","medio")))</f>
        <v/>
      </c>
      <c r="AB50" s="3">
        <f>IF(OR(U50="",ISTEXT(U50)),"sin dato",IF(U50&gt;='Léeme'!$B$20,"barato",IF(U50&lt;=-'Léeme'!$B$20,"caro","medio")))</f>
        <v/>
      </c>
      <c r="AC50" s="3">
        <f>IF(OR(Y50="",ISTEXT(Y50)),"sin dato",IF(Y50&gt;='Léeme'!$B$19,"barato",IF(Y50&lt;=-'Léeme'!$B$19,"caro","medio")))</f>
        <v/>
      </c>
      <c r="AD50" s="7" t="n">
        <v>0.04022988505747126</v>
      </c>
      <c r="AE50" s="7" t="n">
        <v>0.04794520547945205</v>
      </c>
      <c r="AF50" s="7" t="n">
        <v>0.00684931506849315</v>
      </c>
      <c r="AG50" s="7" t="n"/>
    </row>
    <row r="51">
      <c r="A51" s="3" t="inlineStr">
        <is>
          <t>2004-T2</t>
        </is>
      </c>
      <c r="B51" s="13" t="n">
        <v>38168</v>
      </c>
      <c r="C51" s="14" t="n">
        <v>17.200001</v>
      </c>
      <c r="D51" s="14" t="n">
        <v>1.28</v>
      </c>
      <c r="E51" s="14" t="n">
        <v>1.46</v>
      </c>
      <c r="F51" s="5" t="n">
        <v>0.0462</v>
      </c>
      <c r="G51" s="5" t="n">
        <v>0.006369941997027784</v>
      </c>
      <c r="H51" s="5" t="n">
        <v>0.001887351735015974</v>
      </c>
      <c r="N51" s="9">
        <f>IF(F51="","",F51+'Léeme'!$B$10)</f>
        <v/>
      </c>
      <c r="O51" s="9">
        <f>IF(OR(G51="",N51=""),"",MIN(MAX(G51,'Léeme'!$B$11),'Léeme'!$B$12,N51-'Léeme'!$B$16))</f>
        <v/>
      </c>
      <c r="P51" s="16">
        <f>IF(OR(D51="",O51=""),"",IFERROR(IF(D51&lt;=0,"",D51*(1+O51)/(N51-O51)),""))</f>
        <v/>
      </c>
      <c r="Q51" s="9">
        <f>IF(H51="","",MIN(MAX(H51,'Léeme'!$B$13),'Léeme'!$B$14))</f>
        <v/>
      </c>
      <c r="R51" s="9">
        <f>IF(N51="","",MIN('Léeme'!$B$15,N51-'Léeme'!$B$16))</f>
        <v/>
      </c>
      <c r="S51" s="16">
        <f>IF(OR(E51="",Q51=""),"",IFERROR(IF(E51&lt;=0,"",E51*(((1+Q51)/(1+N51))+((1+Q51)/(1+N51))^2+((1+Q51)/(1+N51))^3+((1+Q51)/(1+N51))^4+((1+Q51)/(1+N51))^5)+E51*(1+Q51)^5*(1+R51)/((N51-R51)*(1+N51)^5)),""))</f>
        <v/>
      </c>
      <c r="T51" s="9">
        <f>IF(OR(E51="",N51=""),"",IFERROR((C51*N51-E51)/(C51+E51),""))</f>
        <v/>
      </c>
      <c r="U51" s="9">
        <f>IF(OR(H51="",T51=""),"",IFERROR(MIN(MAX(H51,'Léeme'!$B$17),'Léeme'!$B$18)-T51,""))</f>
        <v/>
      </c>
      <c r="V51" s="16">
        <f>IF(OR(I51="",M51="",L51=""),"",IFERROR((I51/M51-J51-K51)/L51,""))</f>
        <v/>
      </c>
      <c r="W51" s="11">
        <f>IFERROR(P51/C51-1,"")</f>
        <v/>
      </c>
      <c r="X51" s="11">
        <f>IFERROR(S51/C51-1,"")</f>
        <v/>
      </c>
      <c r="Y51" s="11">
        <f>IFERROR(V51/C51-1,"")</f>
        <v/>
      </c>
      <c r="Z51" s="3">
        <f>IF(OR(W51="",ISTEXT(W51)),"sin dato",IF(W51&gt;='Léeme'!$B$19,"barato",IF(W51&lt;=-'Léeme'!$B$19,"caro","medio")))</f>
        <v/>
      </c>
      <c r="AA51" s="3">
        <f>IF(OR(X51="",ISTEXT(X51)),"sin dato",IF(X51&gt;='Léeme'!$B$19,"barato",IF(X51&lt;=-'Léeme'!$B$19,"caro","medio")))</f>
        <v/>
      </c>
      <c r="AB51" s="3">
        <f>IF(OR(U51="",ISTEXT(U51)),"sin dato",IF(U51&gt;='Léeme'!$B$20,"barato",IF(U51&lt;=-'Léeme'!$B$20,"caro","medio")))</f>
        <v/>
      </c>
      <c r="AC51" s="3">
        <f>IF(OR(Y51="",ISTEXT(Y51)),"sin dato",IF(Y51&gt;='Léeme'!$B$19,"barato",IF(Y51&lt;=-'Léeme'!$B$19,"caro","medio")))</f>
        <v/>
      </c>
      <c r="AD51" s="7" t="n">
        <v>0.09444444444444444</v>
      </c>
      <c r="AE51" s="7" t="n">
        <v>0.04605263157894737</v>
      </c>
      <c r="AF51" s="7" t="n">
        <v>0.05921052631578947</v>
      </c>
      <c r="AG51" s="7" t="n"/>
    </row>
    <row r="52">
      <c r="A52" s="3" t="inlineStr">
        <is>
          <t>2004-T3</t>
        </is>
      </c>
      <c r="B52" s="13" t="n">
        <v>38260</v>
      </c>
      <c r="C52" s="14" t="n">
        <v>18.219999</v>
      </c>
      <c r="D52" s="14" t="n">
        <v>1.3</v>
      </c>
      <c r="E52" s="14" t="n">
        <v>1.46</v>
      </c>
      <c r="F52" s="5" t="n">
        <v>0.0414</v>
      </c>
      <c r="G52" s="5" t="n">
        <v>0.009495374682843893</v>
      </c>
      <c r="H52" s="5" t="n">
        <v>0.001887351735015974</v>
      </c>
      <c r="N52" s="9">
        <f>IF(F52="","",F52+'Léeme'!$B$10)</f>
        <v/>
      </c>
      <c r="O52" s="9">
        <f>IF(OR(G52="",N52=""),"",MIN(MAX(G52,'Léeme'!$B$11),'Léeme'!$B$12,N52-'Léeme'!$B$16))</f>
        <v/>
      </c>
      <c r="P52" s="16">
        <f>IF(OR(D52="",O52=""),"",IFERROR(IF(D52&lt;=0,"",D52*(1+O52)/(N52-O52)),""))</f>
        <v/>
      </c>
      <c r="Q52" s="9">
        <f>IF(H52="","",MIN(MAX(H52,'Léeme'!$B$13),'Léeme'!$B$14))</f>
        <v/>
      </c>
      <c r="R52" s="9">
        <f>IF(N52="","",MIN('Léeme'!$B$15,N52-'Léeme'!$B$16))</f>
        <v/>
      </c>
      <c r="S52" s="16">
        <f>IF(OR(E52="",Q52=""),"",IFERROR(IF(E52&lt;=0,"",E52*(((1+Q52)/(1+N52))+((1+Q52)/(1+N52))^2+((1+Q52)/(1+N52))^3+((1+Q52)/(1+N52))^4+((1+Q52)/(1+N52))^5)+E52*(1+Q52)^5*(1+R52)/((N52-R52)*(1+N52)^5)),""))</f>
        <v/>
      </c>
      <c r="T52" s="9">
        <f>IF(OR(E52="",N52=""),"",IFERROR((C52*N52-E52)/(C52+E52),""))</f>
        <v/>
      </c>
      <c r="U52" s="9">
        <f>IF(OR(H52="",T52=""),"",IFERROR(MIN(MAX(H52,'Léeme'!$B$17),'Léeme'!$B$18)-T52,""))</f>
        <v/>
      </c>
      <c r="V52" s="16">
        <f>IF(OR(I52="",M52="",L52=""),"",IFERROR((I52/M52-J52-K52)/L52,""))</f>
        <v/>
      </c>
      <c r="W52" s="11">
        <f>IFERROR(P52/C52-1,"")</f>
        <v/>
      </c>
      <c r="X52" s="11">
        <f>IFERROR(S52/C52-1,"")</f>
        <v/>
      </c>
      <c r="Y52" s="11">
        <f>IFERROR(V52/C52-1,"")</f>
        <v/>
      </c>
      <c r="Z52" s="3">
        <f>IF(OR(W52="",ISTEXT(W52)),"sin dato",IF(W52&gt;='Léeme'!$B$19,"barato",IF(W52&lt;=-'Léeme'!$B$19,"caro","medio")))</f>
        <v/>
      </c>
      <c r="AA52" s="3">
        <f>IF(OR(X52="",ISTEXT(X52)),"sin dato",IF(X52&gt;='Léeme'!$B$19,"barato",IF(X52&lt;=-'Léeme'!$B$19,"caro","medio")))</f>
        <v/>
      </c>
      <c r="AB52" s="3">
        <f>IF(OR(U52="",ISTEXT(U52)),"sin dato",IF(U52&gt;='Léeme'!$B$20,"barato",IF(U52&lt;=-'Léeme'!$B$20,"caro","medio")))</f>
        <v/>
      </c>
      <c r="AC52" s="3">
        <f>IF(OR(Y52="",ISTEXT(Y52)),"sin dato",IF(Y52&gt;='Léeme'!$B$19,"barato",IF(Y52&lt;=-'Léeme'!$B$19,"caro","medio")))</f>
        <v/>
      </c>
      <c r="AD52" s="7" t="n">
        <v>0.2956989247311828</v>
      </c>
      <c r="AE52" s="7" t="n">
        <v>0.1329113924050633</v>
      </c>
      <c r="AF52" s="7" t="n">
        <v>0.06962025316455696</v>
      </c>
      <c r="AG52" s="7" t="n"/>
    </row>
    <row r="53">
      <c r="A53" s="3" t="inlineStr">
        <is>
          <t>2004-T4</t>
        </is>
      </c>
      <c r="B53" s="13" t="n">
        <v>38352</v>
      </c>
      <c r="C53" s="14" t="n">
        <v>20.6</v>
      </c>
      <c r="D53" s="14" t="n">
        <v>1.3</v>
      </c>
      <c r="E53" s="14" t="n">
        <v>1.46</v>
      </c>
      <c r="F53" s="5" t="n">
        <v>0.0424</v>
      </c>
      <c r="G53" s="5" t="n">
        <v>0.009495374682843893</v>
      </c>
      <c r="H53" s="5" t="n">
        <v>0.001887351735015974</v>
      </c>
      <c r="N53" s="9">
        <f>IF(F53="","",F53+'Léeme'!$B$10)</f>
        <v/>
      </c>
      <c r="O53" s="9">
        <f>IF(OR(G53="",N53=""),"",MIN(MAX(G53,'Léeme'!$B$11),'Léeme'!$B$12,N53-'Léeme'!$B$16))</f>
        <v/>
      </c>
      <c r="P53" s="16">
        <f>IF(OR(D53="",O53=""),"",IFERROR(IF(D53&lt;=0,"",D53*(1+O53)/(N53-O53)),""))</f>
        <v/>
      </c>
      <c r="Q53" s="9">
        <f>IF(H53="","",MIN(MAX(H53,'Léeme'!$B$13),'Léeme'!$B$14))</f>
        <v/>
      </c>
      <c r="R53" s="9">
        <f>IF(N53="","",MIN('Léeme'!$B$15,N53-'Léeme'!$B$16))</f>
        <v/>
      </c>
      <c r="S53" s="16">
        <f>IF(OR(E53="",Q53=""),"",IFERROR(IF(E53&lt;=0,"",E53*(((1+Q53)/(1+N53))+((1+Q53)/(1+N53))^2+((1+Q53)/(1+N53))^3+((1+Q53)/(1+N53))^4+((1+Q53)/(1+N53))^5)+E53*(1+Q53)^5*(1+R53)/((N53-R53)*(1+N53)^5)),""))</f>
        <v/>
      </c>
      <c r="T53" s="9">
        <f>IF(OR(E53="",N53=""),"",IFERROR((C53*N53-E53)/(C53+E53),""))</f>
        <v/>
      </c>
      <c r="U53" s="9">
        <f>IF(OR(H53="",T53=""),"",IFERROR(MIN(MAX(H53,'Léeme'!$B$17),'Léeme'!$B$18)-T53,""))</f>
        <v/>
      </c>
      <c r="V53" s="16">
        <f>IF(OR(I53="",M53="",L53=""),"",IFERROR((I53/M53-J53-K53)/L53,""))</f>
        <v/>
      </c>
      <c r="W53" s="11">
        <f>IFERROR(P53/C53-1,"")</f>
        <v/>
      </c>
      <c r="X53" s="11">
        <f>IFERROR(S53/C53-1,"")</f>
        <v/>
      </c>
      <c r="Y53" s="11">
        <f>IFERROR(V53/C53-1,"")</f>
        <v/>
      </c>
      <c r="Z53" s="3">
        <f>IF(OR(W53="",ISTEXT(W53)),"sin dato",IF(W53&gt;='Léeme'!$B$19,"barato",IF(W53&lt;=-'Léeme'!$B$19,"caro","medio")))</f>
        <v/>
      </c>
      <c r="AA53" s="3">
        <f>IF(OR(X53="",ISTEXT(X53)),"sin dato",IF(X53&gt;='Léeme'!$B$19,"barato",IF(X53&lt;=-'Léeme'!$B$19,"caro","medio")))</f>
        <v/>
      </c>
      <c r="AB53" s="3">
        <f>IF(OR(U53="",ISTEXT(U53)),"sin dato",IF(U53&gt;='Léeme'!$B$20,"barato",IF(U53&lt;=-'Léeme'!$B$20,"caro","medio")))</f>
        <v/>
      </c>
      <c r="AC53" s="3">
        <f>IF(OR(Y53="",ISTEXT(Y53)),"sin dato",IF(Y53&gt;='Léeme'!$B$19,"barato",IF(Y53&lt;=-'Léeme'!$B$19,"caro","medio")))</f>
        <v/>
      </c>
      <c r="AD53" s="7" t="n">
        <v>0.015625</v>
      </c>
      <c r="AE53" s="7" t="n">
        <v>0.01829268292682927</v>
      </c>
      <c r="AF53" s="7" t="n">
        <v>0.01829268292682927</v>
      </c>
      <c r="AG53" s="7" t="n"/>
    </row>
    <row r="54">
      <c r="A54" s="3" t="inlineStr">
        <is>
          <t>2005-T1</t>
        </is>
      </c>
      <c r="B54" s="13" t="n">
        <v>38442</v>
      </c>
      <c r="C54" s="14" t="n">
        <v>18.450001</v>
      </c>
      <c r="D54" s="14" t="n">
        <v>1.3</v>
      </c>
      <c r="E54" s="14" t="n">
        <v>1.41</v>
      </c>
      <c r="F54" s="5" t="n">
        <v>0.045</v>
      </c>
      <c r="G54" s="5" t="n">
        <v>0.009495374682843893</v>
      </c>
      <c r="H54" s="5" t="n">
        <v>-0.01415832319034616</v>
      </c>
      <c r="N54" s="9">
        <f>IF(F54="","",F54+'Léeme'!$B$10)</f>
        <v/>
      </c>
      <c r="O54" s="9">
        <f>IF(OR(G54="",N54=""),"",MIN(MAX(G54,'Léeme'!$B$11),'Léeme'!$B$12,N54-'Léeme'!$B$16))</f>
        <v/>
      </c>
      <c r="P54" s="16">
        <f>IF(OR(D54="",O54=""),"",IFERROR(IF(D54&lt;=0,"",D54*(1+O54)/(N54-O54)),""))</f>
        <v/>
      </c>
      <c r="Q54" s="9">
        <f>IF(H54="","",MIN(MAX(H54,'Léeme'!$B$13),'Léeme'!$B$14))</f>
        <v/>
      </c>
      <c r="R54" s="9">
        <f>IF(N54="","",MIN('Léeme'!$B$15,N54-'Léeme'!$B$16))</f>
        <v/>
      </c>
      <c r="S54" s="16">
        <f>IF(OR(E54="",Q54=""),"",IFERROR(IF(E54&lt;=0,"",E54*(((1+Q54)/(1+N54))+((1+Q54)/(1+N54))^2+((1+Q54)/(1+N54))^3+((1+Q54)/(1+N54))^4+((1+Q54)/(1+N54))^5)+E54*(1+Q54)^5*(1+R54)/((N54-R54)*(1+N54)^5)),""))</f>
        <v/>
      </c>
      <c r="T54" s="9">
        <f>IF(OR(E54="",N54=""),"",IFERROR((C54*N54-E54)/(C54+E54),""))</f>
        <v/>
      </c>
      <c r="U54" s="9">
        <f>IF(OR(H54="",T54=""),"",IFERROR(MIN(MAX(H54,'Léeme'!$B$17),'Léeme'!$B$18)-T54,""))</f>
        <v/>
      </c>
      <c r="V54" s="16">
        <f>IF(OR(I54="",M54="",L54=""),"",IFERROR((I54/M54-J54-K54)/L54,""))</f>
        <v/>
      </c>
      <c r="W54" s="11">
        <f>IFERROR(P54/C54-1,"")</f>
        <v/>
      </c>
      <c r="X54" s="11">
        <f>IFERROR(S54/C54-1,"")</f>
        <v/>
      </c>
      <c r="Y54" s="11">
        <f>IFERROR(V54/C54-1,"")</f>
        <v/>
      </c>
      <c r="Z54" s="3">
        <f>IF(OR(W54="",ISTEXT(W54)),"sin dato",IF(W54&gt;='Léeme'!$B$19,"barato",IF(W54&lt;=-'Léeme'!$B$19,"caro","medio")))</f>
        <v/>
      </c>
      <c r="AA54" s="3">
        <f>IF(OR(X54="",ISTEXT(X54)),"sin dato",IF(X54&gt;='Léeme'!$B$19,"barato",IF(X54&lt;=-'Léeme'!$B$19,"caro","medio")))</f>
        <v/>
      </c>
      <c r="AB54" s="3">
        <f>IF(OR(U54="",ISTEXT(U54)),"sin dato",IF(U54&gt;='Léeme'!$B$20,"barato",IF(U54&lt;=-'Léeme'!$B$20,"caro","medio")))</f>
        <v/>
      </c>
      <c r="AC54" s="3">
        <f>IF(OR(Y54="",ISTEXT(Y54)),"sin dato",IF(Y54&gt;='Léeme'!$B$19,"barato",IF(Y54&lt;=-'Léeme'!$B$19,"caro","medio")))</f>
        <v/>
      </c>
      <c r="AD54" s="7" t="n">
        <v>0.196969696969697</v>
      </c>
      <c r="AE54" s="7" t="n">
        <v>0.02941176470588235</v>
      </c>
      <c r="AF54" s="7" t="n">
        <v>0.005882352941176471</v>
      </c>
      <c r="AG54" s="7" t="n"/>
    </row>
    <row r="55">
      <c r="A55" s="3" t="inlineStr">
        <is>
          <t>2005-T2</t>
        </is>
      </c>
      <c r="B55" s="13" t="n">
        <v>38533</v>
      </c>
      <c r="C55" s="14" t="n">
        <v>20.469999</v>
      </c>
      <c r="D55" s="14" t="n">
        <v>1.3</v>
      </c>
      <c r="E55" s="14" t="n">
        <v>1.41</v>
      </c>
      <c r="F55" s="5" t="n">
        <v>0.0394</v>
      </c>
      <c r="G55" s="5" t="n">
        <v>0.009495374682843893</v>
      </c>
      <c r="H55" s="5" t="n">
        <v>-0.01415832319034616</v>
      </c>
      <c r="N55" s="9">
        <f>IF(F55="","",F55+'Léeme'!$B$10)</f>
        <v/>
      </c>
      <c r="O55" s="9">
        <f>IF(OR(G55="",N55=""),"",MIN(MAX(G55,'Léeme'!$B$11),'Léeme'!$B$12,N55-'Léeme'!$B$16))</f>
        <v/>
      </c>
      <c r="P55" s="16">
        <f>IF(OR(D55="",O55=""),"",IFERROR(IF(D55&lt;=0,"",D55*(1+O55)/(N55-O55)),""))</f>
        <v/>
      </c>
      <c r="Q55" s="9">
        <f>IF(H55="","",MIN(MAX(H55,'Léeme'!$B$13),'Léeme'!$B$14))</f>
        <v/>
      </c>
      <c r="R55" s="9">
        <f>IF(N55="","",MIN('Léeme'!$B$15,N55-'Léeme'!$B$16))</f>
        <v/>
      </c>
      <c r="S55" s="16">
        <f>IF(OR(E55="",Q55=""),"",IFERROR(IF(E55&lt;=0,"",E55*(((1+Q55)/(1+N55))+((1+Q55)/(1+N55))^2+((1+Q55)/(1+N55))^3+((1+Q55)/(1+N55))^4+((1+Q55)/(1+N55))^5)+E55*(1+Q55)^5*(1+R55)/((N55-R55)*(1+N55)^5)),""))</f>
        <v/>
      </c>
      <c r="T55" s="9">
        <f>IF(OR(E55="",N55=""),"",IFERROR((C55*N55-E55)/(C55+E55),""))</f>
        <v/>
      </c>
      <c r="U55" s="9">
        <f>IF(OR(H55="",T55=""),"",IFERROR(MIN(MAX(H55,'Léeme'!$B$17),'Léeme'!$B$18)-T55,""))</f>
        <v/>
      </c>
      <c r="V55" s="16">
        <f>IF(OR(I55="",M55="",L55=""),"",IFERROR((I55/M55-J55-K55)/L55,""))</f>
        <v/>
      </c>
      <c r="W55" s="11">
        <f>IFERROR(P55/C55-1,"")</f>
        <v/>
      </c>
      <c r="X55" s="11">
        <f>IFERROR(S55/C55-1,"")</f>
        <v/>
      </c>
      <c r="Y55" s="11">
        <f>IFERROR(V55/C55-1,"")</f>
        <v/>
      </c>
      <c r="Z55" s="3">
        <f>IF(OR(W55="",ISTEXT(W55)),"sin dato",IF(W55&gt;='Léeme'!$B$19,"barato",IF(W55&lt;=-'Léeme'!$B$19,"caro","medio")))</f>
        <v/>
      </c>
      <c r="AA55" s="3">
        <f>IF(OR(X55="",ISTEXT(X55)),"sin dato",IF(X55&gt;='Léeme'!$B$19,"barato",IF(X55&lt;=-'Léeme'!$B$19,"caro","medio")))</f>
        <v/>
      </c>
      <c r="AB55" s="3">
        <f>IF(OR(U55="",ISTEXT(U55)),"sin dato",IF(U55&gt;='Léeme'!$B$20,"barato",IF(U55&lt;=-'Léeme'!$B$20,"caro","medio")))</f>
        <v/>
      </c>
      <c r="AC55" s="3">
        <f>IF(OR(Y55="",ISTEXT(Y55)),"sin dato",IF(Y55&gt;='Léeme'!$B$19,"barato",IF(Y55&lt;=-'Léeme'!$B$19,"caro","medio")))</f>
        <v/>
      </c>
      <c r="AD55" s="7" t="n">
        <v>0.1029411764705882</v>
      </c>
      <c r="AE55" s="7" t="n">
        <v>0.03977272727272727</v>
      </c>
      <c r="AF55" s="7" t="n">
        <v>0.005681818181818182</v>
      </c>
      <c r="AG55" s="7" t="n"/>
    </row>
    <row r="56">
      <c r="A56" s="3" t="inlineStr">
        <is>
          <t>2005-T3</t>
        </is>
      </c>
      <c r="B56" s="13" t="n">
        <v>38625</v>
      </c>
      <c r="C56" s="14" t="n">
        <v>20</v>
      </c>
      <c r="D56" s="14" t="n">
        <v>1.3</v>
      </c>
      <c r="E56" s="14" t="n">
        <v>1.41</v>
      </c>
      <c r="F56" s="5" t="n">
        <v>0.0434</v>
      </c>
      <c r="G56" s="5" t="n">
        <v>0.009495374682843893</v>
      </c>
      <c r="H56" s="5" t="n">
        <v>-0.01415832319034616</v>
      </c>
      <c r="N56" s="9">
        <f>IF(F56="","",F56+'Léeme'!$B$10)</f>
        <v/>
      </c>
      <c r="O56" s="9">
        <f>IF(OR(G56="",N56=""),"",MIN(MAX(G56,'Léeme'!$B$11),'Léeme'!$B$12,N56-'Léeme'!$B$16))</f>
        <v/>
      </c>
      <c r="P56" s="16">
        <f>IF(OR(D56="",O56=""),"",IFERROR(IF(D56&lt;=0,"",D56*(1+O56)/(N56-O56)),""))</f>
        <v/>
      </c>
      <c r="Q56" s="9">
        <f>IF(H56="","",MIN(MAX(H56,'Léeme'!$B$13),'Léeme'!$B$14))</f>
        <v/>
      </c>
      <c r="R56" s="9">
        <f>IF(N56="","",MIN('Léeme'!$B$15,N56-'Léeme'!$B$16))</f>
        <v/>
      </c>
      <c r="S56" s="16">
        <f>IF(OR(E56="",Q56=""),"",IFERROR(IF(E56&lt;=0,"",E56*(((1+Q56)/(1+N56))+((1+Q56)/(1+N56))^2+((1+Q56)/(1+N56))^3+((1+Q56)/(1+N56))^4+((1+Q56)/(1+N56))^5)+E56*(1+Q56)^5*(1+R56)/((N56-R56)*(1+N56)^5)),""))</f>
        <v/>
      </c>
      <c r="T56" s="9">
        <f>IF(OR(E56="",N56=""),"",IFERROR((C56*N56-E56)/(C56+E56),""))</f>
        <v/>
      </c>
      <c r="U56" s="9">
        <f>IF(OR(H56="",T56=""),"",IFERROR(MIN(MAX(H56,'Léeme'!$B$17),'Léeme'!$B$18)-T56,""))</f>
        <v/>
      </c>
      <c r="V56" s="16">
        <f>IF(OR(I56="",M56="",L56=""),"",IFERROR((I56/M56-J56-K56)/L56,""))</f>
        <v/>
      </c>
      <c r="W56" s="11">
        <f>IFERROR(P56/C56-1,"")</f>
        <v/>
      </c>
      <c r="X56" s="11">
        <f>IFERROR(S56/C56-1,"")</f>
        <v/>
      </c>
      <c r="Y56" s="11">
        <f>IFERROR(V56/C56-1,"")</f>
        <v/>
      </c>
      <c r="Z56" s="3">
        <f>IF(OR(W56="",ISTEXT(W56)),"sin dato",IF(W56&gt;='Léeme'!$B$19,"barato",IF(W56&lt;=-'Léeme'!$B$19,"caro","medio")))</f>
        <v/>
      </c>
      <c r="AA56" s="3">
        <f>IF(OR(X56="",ISTEXT(X56)),"sin dato",IF(X56&gt;='Léeme'!$B$19,"barato",IF(X56&lt;=-'Léeme'!$B$19,"caro","medio")))</f>
        <v/>
      </c>
      <c r="AB56" s="3">
        <f>IF(OR(U56="",ISTEXT(U56)),"sin dato",IF(U56&gt;='Léeme'!$B$20,"barato",IF(U56&lt;=-'Léeme'!$B$20,"caro","medio")))</f>
        <v/>
      </c>
      <c r="AC56" s="3">
        <f>IF(OR(Y56="",ISTEXT(Y56)),"sin dato",IF(Y56&gt;='Léeme'!$B$19,"barato",IF(Y56&lt;=-'Léeme'!$B$19,"caro","medio")))</f>
        <v/>
      </c>
      <c r="AD56" s="7" t="n">
        <v>0.03333333333333333</v>
      </c>
      <c r="AE56" s="7" t="n">
        <v>0.01648351648351648</v>
      </c>
      <c r="AF56" s="7" t="n">
        <v>0.01648351648351648</v>
      </c>
      <c r="AG56" s="7" t="n"/>
    </row>
    <row r="57">
      <c r="A57" s="3" t="inlineStr">
        <is>
          <t>2005-T4</t>
        </is>
      </c>
      <c r="B57" s="13" t="n">
        <v>38716</v>
      </c>
      <c r="C57" s="14" t="n">
        <v>20.370001</v>
      </c>
      <c r="D57" s="14" t="n">
        <v>1.3</v>
      </c>
      <c r="E57" s="14" t="n">
        <v>1.41</v>
      </c>
      <c r="F57" s="5" t="n">
        <v>0.04389999999999999</v>
      </c>
      <c r="G57" s="5" t="n">
        <v>0.006270083894049483</v>
      </c>
      <c r="H57" s="5" t="n">
        <v>-0.01415832319034616</v>
      </c>
      <c r="N57" s="9">
        <f>IF(F57="","",F57+'Léeme'!$B$10)</f>
        <v/>
      </c>
      <c r="O57" s="9">
        <f>IF(OR(G57="",N57=""),"",MIN(MAX(G57,'Léeme'!$B$11),'Léeme'!$B$12,N57-'Léeme'!$B$16))</f>
        <v/>
      </c>
      <c r="P57" s="16">
        <f>IF(OR(D57="",O57=""),"",IFERROR(IF(D57&lt;=0,"",D57*(1+O57)/(N57-O57)),""))</f>
        <v/>
      </c>
      <c r="Q57" s="9">
        <f>IF(H57="","",MIN(MAX(H57,'Léeme'!$B$13),'Léeme'!$B$14))</f>
        <v/>
      </c>
      <c r="R57" s="9">
        <f>IF(N57="","",MIN('Léeme'!$B$15,N57-'Léeme'!$B$16))</f>
        <v/>
      </c>
      <c r="S57" s="16">
        <f>IF(OR(E57="",Q57=""),"",IFERROR(IF(E57&lt;=0,"",E57*(((1+Q57)/(1+N57))+((1+Q57)/(1+N57))^2+((1+Q57)/(1+N57))^3+((1+Q57)/(1+N57))^4+((1+Q57)/(1+N57))^5)+E57*(1+Q57)^5*(1+R57)/((N57-R57)*(1+N57)^5)),""))</f>
        <v/>
      </c>
      <c r="T57" s="9">
        <f>IF(OR(E57="",N57=""),"",IFERROR((C57*N57-E57)/(C57+E57),""))</f>
        <v/>
      </c>
      <c r="U57" s="9">
        <f>IF(OR(H57="",T57=""),"",IFERROR(MIN(MAX(H57,'Léeme'!$B$17),'Léeme'!$B$18)-T57,""))</f>
        <v/>
      </c>
      <c r="V57" s="16">
        <f>IF(OR(I57="",M57="",L57=""),"",IFERROR((I57/M57-J57-K57)/L57,""))</f>
        <v/>
      </c>
      <c r="W57" s="11">
        <f>IFERROR(P57/C57-1,"")</f>
        <v/>
      </c>
      <c r="X57" s="11">
        <f>IFERROR(S57/C57-1,"")</f>
        <v/>
      </c>
      <c r="Y57" s="11">
        <f>IFERROR(V57/C57-1,"")</f>
        <v/>
      </c>
      <c r="Z57" s="3">
        <f>IF(OR(W57="",ISTEXT(W57)),"sin dato",IF(W57&gt;='Léeme'!$B$19,"barato",IF(W57&lt;=-'Léeme'!$B$19,"caro","medio")))</f>
        <v/>
      </c>
      <c r="AA57" s="3">
        <f>IF(OR(X57="",ISTEXT(X57)),"sin dato",IF(X57&gt;='Léeme'!$B$19,"barato",IF(X57&lt;=-'Léeme'!$B$19,"caro","medio")))</f>
        <v/>
      </c>
      <c r="AB57" s="3">
        <f>IF(OR(U57="",ISTEXT(U57)),"sin dato",IF(U57&gt;='Léeme'!$B$20,"barato",IF(U57&lt;=-'Léeme'!$B$20,"caro","medio")))</f>
        <v/>
      </c>
      <c r="AC57" s="3">
        <f>IF(OR(Y57="",ISTEXT(Y57)),"sin dato",IF(Y57&gt;='Léeme'!$B$19,"barato",IF(Y57&lt;=-'Léeme'!$B$19,"caro","medio")))</f>
        <v/>
      </c>
      <c r="AD57" s="7" t="n">
        <v>0.01388888888888889</v>
      </c>
      <c r="AE57" s="7" t="n">
        <v>0.01595744680851064</v>
      </c>
      <c r="AF57" s="7" t="n">
        <v>0.02659574468085106</v>
      </c>
      <c r="AG57" s="7" t="n"/>
    </row>
    <row r="58">
      <c r="A58" s="3" t="inlineStr">
        <is>
          <t>2006-T1</t>
        </is>
      </c>
      <c r="B58" s="13" t="n">
        <v>38807</v>
      </c>
      <c r="C58" s="14" t="n">
        <v>23.299999</v>
      </c>
      <c r="D58" s="14" t="n">
        <v>1.3</v>
      </c>
      <c r="E58" s="14" t="n">
        <v>1.5</v>
      </c>
      <c r="F58" s="5" t="n">
        <v>0.0486</v>
      </c>
      <c r="G58" s="5" t="n">
        <v>0.006270083894049483</v>
      </c>
      <c r="H58" s="5" t="n">
        <v>0.007457307375134725</v>
      </c>
      <c r="N58" s="9">
        <f>IF(F58="","",F58+'Léeme'!$B$10)</f>
        <v/>
      </c>
      <c r="O58" s="9">
        <f>IF(OR(G58="",N58=""),"",MIN(MAX(G58,'Léeme'!$B$11),'Léeme'!$B$12,N58-'Léeme'!$B$16))</f>
        <v/>
      </c>
      <c r="P58" s="16">
        <f>IF(OR(D58="",O58=""),"",IFERROR(IF(D58&lt;=0,"",D58*(1+O58)/(N58-O58)),""))</f>
        <v/>
      </c>
      <c r="Q58" s="9">
        <f>IF(H58="","",MIN(MAX(H58,'Léeme'!$B$13),'Léeme'!$B$14))</f>
        <v/>
      </c>
      <c r="R58" s="9">
        <f>IF(N58="","",MIN('Léeme'!$B$15,N58-'Léeme'!$B$16))</f>
        <v/>
      </c>
      <c r="S58" s="16">
        <f>IF(OR(E58="",Q58=""),"",IFERROR(IF(E58&lt;=0,"",E58*(((1+Q58)/(1+N58))+((1+Q58)/(1+N58))^2+((1+Q58)/(1+N58))^3+((1+Q58)/(1+N58))^4+((1+Q58)/(1+N58))^5)+E58*(1+Q58)^5*(1+R58)/((N58-R58)*(1+N58)^5)),""))</f>
        <v/>
      </c>
      <c r="T58" s="9">
        <f>IF(OR(E58="",N58=""),"",IFERROR((C58*N58-E58)/(C58+E58),""))</f>
        <v/>
      </c>
      <c r="U58" s="9">
        <f>IF(OR(H58="",T58=""),"",IFERROR(MIN(MAX(H58,'Léeme'!$B$17),'Léeme'!$B$18)-T58,""))</f>
        <v/>
      </c>
      <c r="V58" s="16">
        <f>IF(OR(I58="",M58="",L58=""),"",IFERROR((I58/M58-J58-K58)/L58,""))</f>
        <v/>
      </c>
      <c r="W58" s="11">
        <f>IFERROR(P58/C58-1,"")</f>
        <v/>
      </c>
      <c r="X58" s="11">
        <f>IFERROR(S58/C58-1,"")</f>
        <v/>
      </c>
      <c r="Y58" s="11">
        <f>IFERROR(V58/C58-1,"")</f>
        <v/>
      </c>
      <c r="Z58" s="3">
        <f>IF(OR(W58="",ISTEXT(W58)),"sin dato",IF(W58&gt;='Léeme'!$B$19,"barato",IF(W58&lt;=-'Léeme'!$B$19,"caro","medio")))</f>
        <v/>
      </c>
      <c r="AA58" s="3">
        <f>IF(OR(X58="",ISTEXT(X58)),"sin dato",IF(X58&gt;='Léeme'!$B$19,"barato",IF(X58&lt;=-'Léeme'!$B$19,"caro","medio")))</f>
        <v/>
      </c>
      <c r="AB58" s="3">
        <f>IF(OR(U58="",ISTEXT(U58)),"sin dato",IF(U58&gt;='Léeme'!$B$20,"barato",IF(U58&lt;=-'Léeme'!$B$20,"caro","medio")))</f>
        <v/>
      </c>
      <c r="AC58" s="3">
        <f>IF(OR(Y58="",ISTEXT(Y58)),"sin dato",IF(Y58&gt;='Léeme'!$B$19,"barato",IF(Y58&lt;=-'Léeme'!$B$19,"caro","medio")))</f>
        <v/>
      </c>
      <c r="AD58" s="7" t="n">
        <v>0.004504504504504504</v>
      </c>
      <c r="AE58" s="7" t="n">
        <v>0.0154639175257732</v>
      </c>
      <c r="AF58" s="7" t="n">
        <v>0.1288659793814433</v>
      </c>
      <c r="AG58" s="7" t="n"/>
    </row>
    <row r="59">
      <c r="A59" s="3" t="inlineStr">
        <is>
          <t>2006-T2</t>
        </is>
      </c>
      <c r="B59" s="13" t="n">
        <v>38898</v>
      </c>
      <c r="C59" s="14" t="n">
        <v>19.950001</v>
      </c>
      <c r="D59" s="14" t="n">
        <v>1.3</v>
      </c>
      <c r="E59" s="14" t="n">
        <v>1.5</v>
      </c>
      <c r="F59" s="5" t="n">
        <v>0.0515</v>
      </c>
      <c r="G59" s="5" t="n">
        <v>0.006270083894049483</v>
      </c>
      <c r="H59" s="5" t="n">
        <v>0.007457307375134725</v>
      </c>
      <c r="N59" s="9">
        <f>IF(F59="","",F59+'Léeme'!$B$10)</f>
        <v/>
      </c>
      <c r="O59" s="9">
        <f>IF(OR(G59="",N59=""),"",MIN(MAX(G59,'Léeme'!$B$11),'Léeme'!$B$12,N59-'Léeme'!$B$16))</f>
        <v/>
      </c>
      <c r="P59" s="16">
        <f>IF(OR(D59="",O59=""),"",IFERROR(IF(D59&lt;=0,"",D59*(1+O59)/(N59-O59)),""))</f>
        <v/>
      </c>
      <c r="Q59" s="9">
        <f>IF(H59="","",MIN(MAX(H59,'Léeme'!$B$13),'Léeme'!$B$14))</f>
        <v/>
      </c>
      <c r="R59" s="9">
        <f>IF(N59="","",MIN('Léeme'!$B$15,N59-'Léeme'!$B$16))</f>
        <v/>
      </c>
      <c r="S59" s="16">
        <f>IF(OR(E59="",Q59=""),"",IFERROR(IF(E59&lt;=0,"",E59*(((1+Q59)/(1+N59))+((1+Q59)/(1+N59))^2+((1+Q59)/(1+N59))^3+((1+Q59)/(1+N59))^4+((1+Q59)/(1+N59))^5)+E59*(1+Q59)^5*(1+R59)/((N59-R59)*(1+N59)^5)),""))</f>
        <v/>
      </c>
      <c r="T59" s="9">
        <f>IF(OR(E59="",N59=""),"",IFERROR((C59*N59-E59)/(C59+E59),""))</f>
        <v/>
      </c>
      <c r="U59" s="9">
        <f>IF(OR(H59="",T59=""),"",IFERROR(MIN(MAX(H59,'Léeme'!$B$17),'Léeme'!$B$18)-T59,""))</f>
        <v/>
      </c>
      <c r="V59" s="16">
        <f>IF(OR(I59="",M59="",L59=""),"",IFERROR((I59/M59-J59-K59)/L59,""))</f>
        <v/>
      </c>
      <c r="W59" s="11">
        <f>IFERROR(P59/C59-1,"")</f>
        <v/>
      </c>
      <c r="X59" s="11">
        <f>IFERROR(S59/C59-1,"")</f>
        <v/>
      </c>
      <c r="Y59" s="11">
        <f>IFERROR(V59/C59-1,"")</f>
        <v/>
      </c>
      <c r="Z59" s="3">
        <f>IF(OR(W59="",ISTEXT(W59)),"sin dato",IF(W59&gt;='Léeme'!$B$19,"barato",IF(W59&lt;=-'Léeme'!$B$19,"caro","medio")))</f>
        <v/>
      </c>
      <c r="AA59" s="3">
        <f>IF(OR(X59="",ISTEXT(X59)),"sin dato",IF(X59&gt;='Léeme'!$B$19,"barato",IF(X59&lt;=-'Léeme'!$B$19,"caro","medio")))</f>
        <v/>
      </c>
      <c r="AB59" s="3">
        <f>IF(OR(U59="",ISTEXT(U59)),"sin dato",IF(U59&gt;='Léeme'!$B$20,"barato",IF(U59&lt;=-'Léeme'!$B$20,"caro","medio")))</f>
        <v/>
      </c>
      <c r="AC59" s="3">
        <f>IF(OR(Y59="",ISTEXT(Y59)),"sin dato",IF(Y59&gt;='Léeme'!$B$19,"barato",IF(Y59&lt;=-'Léeme'!$B$19,"caro","medio")))</f>
        <v/>
      </c>
      <c r="AD59" s="7" t="n">
        <v>0.03947368421052631</v>
      </c>
      <c r="AE59" s="7" t="n">
        <v>0.045</v>
      </c>
      <c r="AF59" s="7" t="n">
        <v>0.175</v>
      </c>
      <c r="AG59" s="7" t="n"/>
    </row>
    <row r="60">
      <c r="A60" s="3" t="inlineStr">
        <is>
          <t>2006-T3</t>
        </is>
      </c>
      <c r="B60" s="13" t="n">
        <v>38989</v>
      </c>
      <c r="C60" s="14" t="n">
        <v>21.6</v>
      </c>
      <c r="D60" s="14" t="n">
        <v>1.34</v>
      </c>
      <c r="E60" s="14" t="n">
        <v>1.5</v>
      </c>
      <c r="F60" s="5" t="n">
        <v>0.0464</v>
      </c>
      <c r="G60" s="5" t="n">
        <v>0.01238767806453756</v>
      </c>
      <c r="H60" s="5" t="n">
        <v>0.007457307375134725</v>
      </c>
      <c r="N60" s="9">
        <f>IF(F60="","",F60+'Léeme'!$B$10)</f>
        <v/>
      </c>
      <c r="O60" s="9">
        <f>IF(OR(G60="",N60=""),"",MIN(MAX(G60,'Léeme'!$B$11),'Léeme'!$B$12,N60-'Léeme'!$B$16))</f>
        <v/>
      </c>
      <c r="P60" s="16">
        <f>IF(OR(D60="",O60=""),"",IFERROR(IF(D60&lt;=0,"",D60*(1+O60)/(N60-O60)),""))</f>
        <v/>
      </c>
      <c r="Q60" s="9">
        <f>IF(H60="","",MIN(MAX(H60,'Léeme'!$B$13),'Léeme'!$B$14))</f>
        <v/>
      </c>
      <c r="R60" s="9">
        <f>IF(N60="","",MIN('Léeme'!$B$15,N60-'Léeme'!$B$16))</f>
        <v/>
      </c>
      <c r="S60" s="16">
        <f>IF(OR(E60="",Q60=""),"",IFERROR(IF(E60&lt;=0,"",E60*(((1+Q60)/(1+N60))+((1+Q60)/(1+N60))^2+((1+Q60)/(1+N60))^3+((1+Q60)/(1+N60))^4+((1+Q60)/(1+N60))^5)+E60*(1+Q60)^5*(1+R60)/((N60-R60)*(1+N60)^5)),""))</f>
        <v/>
      </c>
      <c r="T60" s="9">
        <f>IF(OR(E60="",N60=""),"",IFERROR((C60*N60-E60)/(C60+E60),""))</f>
        <v/>
      </c>
      <c r="U60" s="9">
        <f>IF(OR(H60="",T60=""),"",IFERROR(MIN(MAX(H60,'Léeme'!$B$17),'Léeme'!$B$18)-T60,""))</f>
        <v/>
      </c>
      <c r="V60" s="16">
        <f>IF(OR(I60="",M60="",L60=""),"",IFERROR((I60/M60-J60-K60)/L60,""))</f>
        <v/>
      </c>
      <c r="W60" s="11">
        <f>IFERROR(P60/C60-1,"")</f>
        <v/>
      </c>
      <c r="X60" s="11">
        <f>IFERROR(S60/C60-1,"")</f>
        <v/>
      </c>
      <c r="Y60" s="11">
        <f>IFERROR(V60/C60-1,"")</f>
        <v/>
      </c>
      <c r="Z60" s="3">
        <f>IF(OR(W60="",ISTEXT(W60)),"sin dato",IF(W60&gt;='Léeme'!$B$19,"barato",IF(W60&lt;=-'Léeme'!$B$19,"caro","medio")))</f>
        <v/>
      </c>
      <c r="AA60" s="3">
        <f>IF(OR(X60="",ISTEXT(X60)),"sin dato",IF(X60&gt;='Léeme'!$B$19,"barato",IF(X60&lt;=-'Léeme'!$B$19,"caro","medio")))</f>
        <v/>
      </c>
      <c r="AB60" s="3">
        <f>IF(OR(U60="",ISTEXT(U60)),"sin dato",IF(U60&gt;='Léeme'!$B$20,"barato",IF(U60&lt;=-'Léeme'!$B$20,"caro","medio")))</f>
        <v/>
      </c>
      <c r="AC60" s="3">
        <f>IF(OR(Y60="",ISTEXT(Y60)),"sin dato",IF(Y60&gt;='Léeme'!$B$19,"barato",IF(Y60&lt;=-'Léeme'!$B$19,"caro","medio")))</f>
        <v/>
      </c>
      <c r="AD60" s="7" t="n">
        <v>0.09829059829059829</v>
      </c>
      <c r="AE60" s="7" t="n">
        <v>0.0825242718446602</v>
      </c>
      <c r="AF60" s="7" t="n">
        <v>0.1893203883495146</v>
      </c>
      <c r="AG60" s="7" t="n"/>
    </row>
    <row r="61">
      <c r="A61" s="3" t="inlineStr">
        <is>
          <t>2006-T4</t>
        </is>
      </c>
      <c r="B61" s="13" t="n">
        <v>39080</v>
      </c>
      <c r="C61" s="14" t="n">
        <v>22.950001</v>
      </c>
      <c r="D61" s="14" t="n">
        <v>1.34</v>
      </c>
      <c r="E61" s="14" t="n">
        <v>1.5</v>
      </c>
      <c r="F61" s="5" t="n">
        <v>0.0471</v>
      </c>
      <c r="G61" s="5" t="n">
        <v>0.01238767806453756</v>
      </c>
      <c r="H61" s="5" t="n">
        <v>0.007457307375134725</v>
      </c>
      <c r="N61" s="9">
        <f>IF(F61="","",F61+'Léeme'!$B$10)</f>
        <v/>
      </c>
      <c r="O61" s="9">
        <f>IF(OR(G61="",N61=""),"",MIN(MAX(G61,'Léeme'!$B$11),'Léeme'!$B$12,N61-'Léeme'!$B$16))</f>
        <v/>
      </c>
      <c r="P61" s="16">
        <f>IF(OR(D61="",O61=""),"",IFERROR(IF(D61&lt;=0,"",D61*(1+O61)/(N61-O61)),""))</f>
        <v/>
      </c>
      <c r="Q61" s="9">
        <f>IF(H61="","",MIN(MAX(H61,'Léeme'!$B$13),'Léeme'!$B$14))</f>
        <v/>
      </c>
      <c r="R61" s="9">
        <f>IF(N61="","",MIN('Léeme'!$B$15,N61-'Léeme'!$B$16))</f>
        <v/>
      </c>
      <c r="S61" s="16">
        <f>IF(OR(E61="",Q61=""),"",IFERROR(IF(E61&lt;=0,"",E61*(((1+Q61)/(1+N61))+((1+Q61)/(1+N61))^2+((1+Q61)/(1+N61))^3+((1+Q61)/(1+N61))^4+((1+Q61)/(1+N61))^5)+E61*(1+Q61)^5*(1+R61)/((N61-R61)*(1+N61)^5)),""))</f>
        <v/>
      </c>
      <c r="T61" s="9">
        <f>IF(OR(E61="",N61=""),"",IFERROR((C61*N61-E61)/(C61+E61),""))</f>
        <v/>
      </c>
      <c r="U61" s="9">
        <f>IF(OR(H61="",T61=""),"",IFERROR(MIN(MAX(H61,'Léeme'!$B$17),'Léeme'!$B$18)-T61,""))</f>
        <v/>
      </c>
      <c r="V61" s="16">
        <f>IF(OR(I61="",M61="",L61=""),"",IFERROR((I61/M61-J61-K61)/L61,""))</f>
        <v/>
      </c>
      <c r="W61" s="11">
        <f>IFERROR(P61/C61-1,"")</f>
        <v/>
      </c>
      <c r="X61" s="11">
        <f>IFERROR(S61/C61-1,"")</f>
        <v/>
      </c>
      <c r="Y61" s="11">
        <f>IFERROR(V61/C61-1,"")</f>
        <v/>
      </c>
      <c r="Z61" s="3">
        <f>IF(OR(W61="",ISTEXT(W61)),"sin dato",IF(W61&gt;='Léeme'!$B$19,"barato",IF(W61&lt;=-'Léeme'!$B$19,"caro","medio")))</f>
        <v/>
      </c>
      <c r="AA61" s="3">
        <f>IF(OR(X61="",ISTEXT(X61)),"sin dato",IF(X61&gt;='Léeme'!$B$19,"barato",IF(X61&lt;=-'Léeme'!$B$19,"caro","medio")))</f>
        <v/>
      </c>
      <c r="AB61" s="3">
        <f>IF(OR(U61="",ISTEXT(U61)),"sin dato",IF(U61&gt;='Léeme'!$B$20,"barato",IF(U61&lt;=-'Léeme'!$B$20,"caro","medio")))</f>
        <v/>
      </c>
      <c r="AC61" s="3">
        <f>IF(OR(Y61="",ISTEXT(Y61)),"sin dato",IF(Y61&gt;='Léeme'!$B$19,"barato",IF(Y61&lt;=-'Léeme'!$B$19,"caro","medio")))</f>
        <v/>
      </c>
      <c r="AD61" s="7" t="n">
        <v>0.05416666666666667</v>
      </c>
      <c r="AE61" s="7" t="n">
        <v>0.02358490566037736</v>
      </c>
      <c r="AF61" s="7" t="n">
        <v>0.1367924528301887</v>
      </c>
      <c r="AG61" s="7" t="n"/>
    </row>
    <row r="62">
      <c r="A62" s="3" t="inlineStr">
        <is>
          <t>2007-T1</t>
        </is>
      </c>
      <c r="B62" s="13" t="n">
        <v>39171</v>
      </c>
      <c r="C62" s="14" t="n">
        <v>24.190001</v>
      </c>
      <c r="D62" s="14" t="n">
        <v>1.34</v>
      </c>
      <c r="E62" s="14" t="n">
        <v>1.67</v>
      </c>
      <c r="F62" s="5" t="n">
        <v>0.04650000000000001</v>
      </c>
      <c r="G62" s="5" t="n">
        <v>0.01238767806453756</v>
      </c>
      <c r="H62" s="5" t="n">
        <v>0.03491098493960587</v>
      </c>
      <c r="N62" s="9">
        <f>IF(F62="","",F62+'Léeme'!$B$10)</f>
        <v/>
      </c>
      <c r="O62" s="9">
        <f>IF(OR(G62="",N62=""),"",MIN(MAX(G62,'Léeme'!$B$11),'Léeme'!$B$12,N62-'Léeme'!$B$16))</f>
        <v/>
      </c>
      <c r="P62" s="16">
        <f>IF(OR(D62="",O62=""),"",IFERROR(IF(D62&lt;=0,"",D62*(1+O62)/(N62-O62)),""))</f>
        <v/>
      </c>
      <c r="Q62" s="9">
        <f>IF(H62="","",MIN(MAX(H62,'Léeme'!$B$13),'Léeme'!$B$14))</f>
        <v/>
      </c>
      <c r="R62" s="9">
        <f>IF(N62="","",MIN('Léeme'!$B$15,N62-'Léeme'!$B$16))</f>
        <v/>
      </c>
      <c r="S62" s="16">
        <f>IF(OR(E62="",Q62=""),"",IFERROR(IF(E62&lt;=0,"",E62*(((1+Q62)/(1+N62))+((1+Q62)/(1+N62))^2+((1+Q62)/(1+N62))^3+((1+Q62)/(1+N62))^4+((1+Q62)/(1+N62))^5)+E62*(1+Q62)^5*(1+R62)/((N62-R62)*(1+N62)^5)),""))</f>
        <v/>
      </c>
      <c r="T62" s="9">
        <f>IF(OR(E62="",N62=""),"",IFERROR((C62*N62-E62)/(C62+E62),""))</f>
        <v/>
      </c>
      <c r="U62" s="9">
        <f>IF(OR(H62="",T62=""),"",IFERROR(MIN(MAX(H62,'Léeme'!$B$17),'Léeme'!$B$18)-T62,""))</f>
        <v/>
      </c>
      <c r="V62" s="16">
        <f>IF(OR(I62="",M62="",L62=""),"",IFERROR((I62/M62-J62-K62)/L62,""))</f>
        <v/>
      </c>
      <c r="W62" s="11">
        <f>IFERROR(P62/C62-1,"")</f>
        <v/>
      </c>
      <c r="X62" s="11">
        <f>IFERROR(S62/C62-1,"")</f>
        <v/>
      </c>
      <c r="Y62" s="11">
        <f>IFERROR(V62/C62-1,"")</f>
        <v/>
      </c>
      <c r="Z62" s="3">
        <f>IF(OR(W62="",ISTEXT(W62)),"sin dato",IF(W62&gt;='Léeme'!$B$19,"barato",IF(W62&lt;=-'Léeme'!$B$19,"caro","medio")))</f>
        <v/>
      </c>
      <c r="AA62" s="3">
        <f>IF(OR(X62="",ISTEXT(X62)),"sin dato",IF(X62&gt;='Léeme'!$B$19,"barato",IF(X62&lt;=-'Léeme'!$B$19,"caro","medio")))</f>
        <v/>
      </c>
      <c r="AB62" s="3">
        <f>IF(OR(U62="",ISTEXT(U62)),"sin dato",IF(U62&gt;='Léeme'!$B$20,"barato",IF(U62&lt;=-'Léeme'!$B$20,"caro","medio")))</f>
        <v/>
      </c>
      <c r="AC62" s="3">
        <f>IF(OR(Y62="",ISTEXT(Y62)),"sin dato",IF(Y62&gt;='Léeme'!$B$19,"barato",IF(Y62&lt;=-'Léeme'!$B$19,"caro","medio")))</f>
        <v/>
      </c>
      <c r="AD62" s="7" t="n">
        <v>0.05284552845528456</v>
      </c>
      <c r="AE62" s="7" t="n">
        <v>0.2431192660550459</v>
      </c>
      <c r="AF62" s="7" t="n">
        <v>0.5091743119266054</v>
      </c>
      <c r="AG62" s="7" t="n"/>
    </row>
    <row r="63">
      <c r="A63" s="3" t="inlineStr">
        <is>
          <t>2007-T2</t>
        </is>
      </c>
      <c r="B63" s="13" t="n">
        <v>39262</v>
      </c>
      <c r="C63" s="14" t="n">
        <v>21.860001</v>
      </c>
      <c r="D63" s="14" t="n">
        <v>1.42</v>
      </c>
      <c r="E63" s="14" t="n">
        <v>1.67</v>
      </c>
      <c r="F63" s="5" t="n">
        <v>0.0503</v>
      </c>
      <c r="G63" s="5" t="n">
        <v>0.02419714257165384</v>
      </c>
      <c r="H63" s="5" t="n">
        <v>0.03491098493960587</v>
      </c>
      <c r="N63" s="9">
        <f>IF(F63="","",F63+'Léeme'!$B$10)</f>
        <v/>
      </c>
      <c r="O63" s="9">
        <f>IF(OR(G63="",N63=""),"",MIN(MAX(G63,'Léeme'!$B$11),'Léeme'!$B$12,N63-'Léeme'!$B$16))</f>
        <v/>
      </c>
      <c r="P63" s="16">
        <f>IF(OR(D63="",O63=""),"",IFERROR(IF(D63&lt;=0,"",D63*(1+O63)/(N63-O63)),""))</f>
        <v/>
      </c>
      <c r="Q63" s="9">
        <f>IF(H63="","",MIN(MAX(H63,'Léeme'!$B$13),'Léeme'!$B$14))</f>
        <v/>
      </c>
      <c r="R63" s="9">
        <f>IF(N63="","",MIN('Léeme'!$B$15,N63-'Léeme'!$B$16))</f>
        <v/>
      </c>
      <c r="S63" s="16">
        <f>IF(OR(E63="",Q63=""),"",IFERROR(IF(E63&lt;=0,"",E63*(((1+Q63)/(1+N63))+((1+Q63)/(1+N63))^2+((1+Q63)/(1+N63))^3+((1+Q63)/(1+N63))^4+((1+Q63)/(1+N63))^5)+E63*(1+Q63)^5*(1+R63)/((N63-R63)*(1+N63)^5)),""))</f>
        <v/>
      </c>
      <c r="T63" s="9">
        <f>IF(OR(E63="",N63=""),"",IFERROR((C63*N63-E63)/(C63+E63),""))</f>
        <v/>
      </c>
      <c r="U63" s="9">
        <f>IF(OR(H63="",T63=""),"",IFERROR(MIN(MAX(H63,'Léeme'!$B$17),'Léeme'!$B$18)-T63,""))</f>
        <v/>
      </c>
      <c r="V63" s="16">
        <f>IF(OR(I63="",M63="",L63=""),"",IFERROR((I63/M63-J63-K63)/L63,""))</f>
        <v/>
      </c>
      <c r="W63" s="11">
        <f>IFERROR(P63/C63-1,"")</f>
        <v/>
      </c>
      <c r="X63" s="11">
        <f>IFERROR(S63/C63-1,"")</f>
        <v/>
      </c>
      <c r="Y63" s="11">
        <f>IFERROR(V63/C63-1,"")</f>
        <v/>
      </c>
      <c r="Z63" s="3">
        <f>IF(OR(W63="",ISTEXT(W63)),"sin dato",IF(W63&gt;='Léeme'!$B$19,"barato",IF(W63&lt;=-'Léeme'!$B$19,"caro","medio")))</f>
        <v/>
      </c>
      <c r="AA63" s="3">
        <f>IF(OR(X63="",ISTEXT(X63)),"sin dato",IF(X63&gt;='Léeme'!$B$19,"barato",IF(X63&lt;=-'Léeme'!$B$19,"caro","medio")))</f>
        <v/>
      </c>
      <c r="AB63" s="3">
        <f>IF(OR(U63="",ISTEXT(U63)),"sin dato",IF(U63&gt;='Léeme'!$B$20,"barato",IF(U63&lt;=-'Léeme'!$B$20,"caro","medio")))</f>
        <v/>
      </c>
      <c r="AC63" s="3">
        <f>IF(OR(Y63="",ISTEXT(Y63)),"sin dato",IF(Y63&gt;='Léeme'!$B$19,"barato",IF(Y63&lt;=-'Léeme'!$B$19,"caro","medio")))</f>
        <v/>
      </c>
      <c r="AD63" s="7" t="n">
        <v>0.496031746031746</v>
      </c>
      <c r="AE63" s="7" t="n">
        <v>0.28125</v>
      </c>
      <c r="AF63" s="7" t="n">
        <v>0.5491071428571429</v>
      </c>
      <c r="AG63" s="7" t="n"/>
    </row>
    <row r="64">
      <c r="A64" s="3" t="inlineStr">
        <is>
          <t>2007-T3</t>
        </is>
      </c>
      <c r="B64" s="13" t="n">
        <v>39353</v>
      </c>
      <c r="C64" s="14" t="n">
        <v>24.379999</v>
      </c>
      <c r="D64" s="14" t="n">
        <v>1.42</v>
      </c>
      <c r="E64" s="14" t="n">
        <v>1.67</v>
      </c>
      <c r="F64" s="5" t="n">
        <v>0.0459</v>
      </c>
      <c r="G64" s="5" t="n">
        <v>0.02097633303873647</v>
      </c>
      <c r="H64" s="5" t="n">
        <v>0.03491098493960587</v>
      </c>
      <c r="N64" s="9">
        <f>IF(F64="","",F64+'Léeme'!$B$10)</f>
        <v/>
      </c>
      <c r="O64" s="9">
        <f>IF(OR(G64="",N64=""),"",MIN(MAX(G64,'Léeme'!$B$11),'Léeme'!$B$12,N64-'Léeme'!$B$16))</f>
        <v/>
      </c>
      <c r="P64" s="16">
        <f>IF(OR(D64="",O64=""),"",IFERROR(IF(D64&lt;=0,"",D64*(1+O64)/(N64-O64)),""))</f>
        <v/>
      </c>
      <c r="Q64" s="9">
        <f>IF(H64="","",MIN(MAX(H64,'Léeme'!$B$13),'Léeme'!$B$14))</f>
        <v/>
      </c>
      <c r="R64" s="9">
        <f>IF(N64="","",MIN('Léeme'!$B$15,N64-'Léeme'!$B$16))</f>
        <v/>
      </c>
      <c r="S64" s="16">
        <f>IF(OR(E64="",Q64=""),"",IFERROR(IF(E64&lt;=0,"",E64*(((1+Q64)/(1+N64))+((1+Q64)/(1+N64))^2+((1+Q64)/(1+N64))^3+((1+Q64)/(1+N64))^4+((1+Q64)/(1+N64))^5)+E64*(1+Q64)^5*(1+R64)/((N64-R64)*(1+N64)^5)),""))</f>
        <v/>
      </c>
      <c r="T64" s="9">
        <f>IF(OR(E64="",N64=""),"",IFERROR((C64*N64-E64)/(C64+E64),""))</f>
        <v/>
      </c>
      <c r="U64" s="9">
        <f>IF(OR(H64="",T64=""),"",IFERROR(MIN(MAX(H64,'Léeme'!$B$17),'Léeme'!$B$18)-T64,""))</f>
        <v/>
      </c>
      <c r="V64" s="16">
        <f>IF(OR(I64="",M64="",L64=""),"",IFERROR((I64/M64-J64-K64)/L64,""))</f>
        <v/>
      </c>
      <c r="W64" s="11">
        <f>IFERROR(P64/C64-1,"")</f>
        <v/>
      </c>
      <c r="X64" s="11">
        <f>IFERROR(S64/C64-1,"")</f>
        <v/>
      </c>
      <c r="Y64" s="11">
        <f>IFERROR(V64/C64-1,"")</f>
        <v/>
      </c>
      <c r="Z64" s="3">
        <f>IF(OR(W64="",ISTEXT(W64)),"sin dato",IF(W64&gt;='Léeme'!$B$19,"barato",IF(W64&lt;=-'Léeme'!$B$19,"caro","medio")))</f>
        <v/>
      </c>
      <c r="AA64" s="3">
        <f>IF(OR(X64="",ISTEXT(X64)),"sin dato",IF(X64&gt;='Léeme'!$B$19,"barato",IF(X64&lt;=-'Léeme'!$B$19,"caro","medio")))</f>
        <v/>
      </c>
      <c r="AB64" s="3">
        <f>IF(OR(U64="",ISTEXT(U64)),"sin dato",IF(U64&gt;='Léeme'!$B$20,"barato",IF(U64&lt;=-'Léeme'!$B$20,"caro","medio")))</f>
        <v/>
      </c>
      <c r="AC64" s="3">
        <f>IF(OR(Y64="",ISTEXT(Y64)),"sin dato",IF(Y64&gt;='Léeme'!$B$19,"barato",IF(Y64&lt;=-'Léeme'!$B$19,"caro","medio")))</f>
        <v/>
      </c>
      <c r="AD64" s="7" t="n">
        <v>0.2906976744186047</v>
      </c>
      <c r="AE64" s="7" t="n">
        <v>0.2478260869565218</v>
      </c>
      <c r="AF64" s="7" t="n">
        <v>0.5</v>
      </c>
      <c r="AG64" s="7" t="n"/>
    </row>
    <row r="65">
      <c r="A65" s="3" t="inlineStr">
        <is>
          <t>2007-T4</t>
        </is>
      </c>
      <c r="B65" s="13" t="n">
        <v>39447</v>
      </c>
      <c r="C65" s="14" t="n">
        <v>23.379999</v>
      </c>
      <c r="D65" s="14" t="n">
        <v>1.42</v>
      </c>
      <c r="E65" s="14" t="n">
        <v>1.67</v>
      </c>
      <c r="F65" s="5" t="n">
        <v>0.0404</v>
      </c>
      <c r="G65" s="5" t="n">
        <v>0.02097633303873647</v>
      </c>
      <c r="H65" s="5" t="n">
        <v>0.03491098493960587</v>
      </c>
      <c r="N65" s="9">
        <f>IF(F65="","",F65+'Léeme'!$B$10)</f>
        <v/>
      </c>
      <c r="O65" s="9">
        <f>IF(OR(G65="",N65=""),"",MIN(MAX(G65,'Léeme'!$B$11),'Léeme'!$B$12,N65-'Léeme'!$B$16))</f>
        <v/>
      </c>
      <c r="P65" s="16">
        <f>IF(OR(D65="",O65=""),"",IFERROR(IF(D65&lt;=0,"",D65*(1+O65)/(N65-O65)),""))</f>
        <v/>
      </c>
      <c r="Q65" s="9">
        <f>IF(H65="","",MIN(MAX(H65,'Léeme'!$B$13),'Léeme'!$B$14))</f>
        <v/>
      </c>
      <c r="R65" s="9">
        <f>IF(N65="","",MIN('Léeme'!$B$15,N65-'Léeme'!$B$16))</f>
        <v/>
      </c>
      <c r="S65" s="16">
        <f>IF(OR(E65="",Q65=""),"",IFERROR(IF(E65&lt;=0,"",E65*(((1+Q65)/(1+N65))+((1+Q65)/(1+N65))^2+((1+Q65)/(1+N65))^3+((1+Q65)/(1+N65))^4+((1+Q65)/(1+N65))^5)+E65*(1+Q65)^5*(1+R65)/((N65-R65)*(1+N65)^5)),""))</f>
        <v/>
      </c>
      <c r="T65" s="9">
        <f>IF(OR(E65="",N65=""),"",IFERROR((C65*N65-E65)/(C65+E65),""))</f>
        <v/>
      </c>
      <c r="U65" s="9">
        <f>IF(OR(H65="",T65=""),"",IFERROR(MIN(MAX(H65,'Léeme'!$B$17),'Léeme'!$B$18)-T65,""))</f>
        <v/>
      </c>
      <c r="V65" s="16">
        <f>IF(OR(I65="",M65="",L65=""),"",IFERROR((I65/M65-J65-K65)/L65,""))</f>
        <v/>
      </c>
      <c r="W65" s="11">
        <f>IFERROR(P65/C65-1,"")</f>
        <v/>
      </c>
      <c r="X65" s="11">
        <f>IFERROR(S65/C65-1,"")</f>
        <v/>
      </c>
      <c r="Y65" s="11">
        <f>IFERROR(V65/C65-1,"")</f>
        <v/>
      </c>
      <c r="Z65" s="3">
        <f>IF(OR(W65="",ISTEXT(W65)),"sin dato",IF(W65&gt;='Léeme'!$B$19,"barato",IF(W65&lt;=-'Léeme'!$B$19,"caro","medio")))</f>
        <v/>
      </c>
      <c r="AA65" s="3">
        <f>IF(OR(X65="",ISTEXT(X65)),"sin dato",IF(X65&gt;='Léeme'!$B$19,"barato",IF(X65&lt;=-'Léeme'!$B$19,"caro","medio")))</f>
        <v/>
      </c>
      <c r="AB65" s="3">
        <f>IF(OR(U65="",ISTEXT(U65)),"sin dato",IF(U65&gt;='Léeme'!$B$20,"barato",IF(U65&lt;=-'Léeme'!$B$20,"caro","medio")))</f>
        <v/>
      </c>
      <c r="AC65" s="3">
        <f>IF(OR(Y65="",ISTEXT(Y65)),"sin dato",IF(Y65&gt;='Léeme'!$B$19,"barato",IF(Y65&lt;=-'Léeme'!$B$19,"caro","medio")))</f>
        <v/>
      </c>
      <c r="AD65" s="7" t="n">
        <v>0.5568181818181818</v>
      </c>
      <c r="AE65" s="7" t="n">
        <v>0.5211864406779662</v>
      </c>
      <c r="AF65" s="7" t="n">
        <v>0.5889830508474576</v>
      </c>
      <c r="AG65" s="7" t="n"/>
    </row>
    <row r="66">
      <c r="A66" s="3" t="inlineStr">
        <is>
          <t>2008-T1</t>
        </is>
      </c>
      <c r="B66" s="13" t="n">
        <v>39538</v>
      </c>
      <c r="C66" s="14" t="n">
        <v>22.049999</v>
      </c>
      <c r="D66" s="14" t="n">
        <v>1.42</v>
      </c>
      <c r="E66" s="14" t="n">
        <v>1.87</v>
      </c>
      <c r="F66" s="5" t="n">
        <v>0.0345</v>
      </c>
      <c r="G66" s="5" t="n">
        <v>0.02097633303873647</v>
      </c>
      <c r="H66" s="5" t="n">
        <v>0.05511819868320456</v>
      </c>
      <c r="N66" s="9">
        <f>IF(F66="","",F66+'Léeme'!$B$10)</f>
        <v/>
      </c>
      <c r="O66" s="9">
        <f>IF(OR(G66="",N66=""),"",MIN(MAX(G66,'Léeme'!$B$11),'Léeme'!$B$12,N66-'Léeme'!$B$16))</f>
        <v/>
      </c>
      <c r="P66" s="16">
        <f>IF(OR(D66="",O66=""),"",IFERROR(IF(D66&lt;=0,"",D66*(1+O66)/(N66-O66)),""))</f>
        <v/>
      </c>
      <c r="Q66" s="9">
        <f>IF(H66="","",MIN(MAX(H66,'Léeme'!$B$13),'Léeme'!$B$14))</f>
        <v/>
      </c>
      <c r="R66" s="9">
        <f>IF(N66="","",MIN('Léeme'!$B$15,N66-'Léeme'!$B$16))</f>
        <v/>
      </c>
      <c r="S66" s="16">
        <f>IF(OR(E66="",Q66=""),"",IFERROR(IF(E66&lt;=0,"",E66*(((1+Q66)/(1+N66))+((1+Q66)/(1+N66))^2+((1+Q66)/(1+N66))^3+((1+Q66)/(1+N66))^4+((1+Q66)/(1+N66))^5)+E66*(1+Q66)^5*(1+R66)/((N66-R66)*(1+N66)^5)),""))</f>
        <v/>
      </c>
      <c r="T66" s="9">
        <f>IF(OR(E66="",N66=""),"",IFERROR((C66*N66-E66)/(C66+E66),""))</f>
        <v/>
      </c>
      <c r="U66" s="9">
        <f>IF(OR(H66="",T66=""),"",IFERROR(MIN(MAX(H66,'Léeme'!$B$17),'Léeme'!$B$18)-T66,""))</f>
        <v/>
      </c>
      <c r="V66" s="16">
        <f>IF(OR(I66="",M66="",L66=""),"",IFERROR((I66/M66-J66-K66)/L66,""))</f>
        <v/>
      </c>
      <c r="W66" s="11">
        <f>IFERROR(P66/C66-1,"")</f>
        <v/>
      </c>
      <c r="X66" s="11">
        <f>IFERROR(S66/C66-1,"")</f>
        <v/>
      </c>
      <c r="Y66" s="11">
        <f>IFERROR(V66/C66-1,"")</f>
        <v/>
      </c>
      <c r="Z66" s="3">
        <f>IF(OR(W66="",ISTEXT(W66)),"sin dato",IF(W66&gt;='Léeme'!$B$19,"barato",IF(W66&lt;=-'Léeme'!$B$19,"caro","medio")))</f>
        <v/>
      </c>
      <c r="AA66" s="3">
        <f>IF(OR(X66="",ISTEXT(X66)),"sin dato",IF(X66&gt;='Léeme'!$B$19,"barato",IF(X66&lt;=-'Léeme'!$B$19,"caro","medio")))</f>
        <v/>
      </c>
      <c r="AB66" s="3">
        <f>IF(OR(U66="",ISTEXT(U66)),"sin dato",IF(U66&gt;='Léeme'!$B$20,"barato",IF(U66&lt;=-'Léeme'!$B$20,"caro","medio")))</f>
        <v/>
      </c>
      <c r="AC66" s="3">
        <f>IF(OR(Y66="",ISTEXT(Y66)),"sin dato",IF(Y66&gt;='Léeme'!$B$19,"barato",IF(Y66&lt;=-'Léeme'!$B$19,"caro","medio")))</f>
        <v/>
      </c>
      <c r="AD66" s="7" t="n">
        <v>0.7814814814814814</v>
      </c>
      <c r="AE66" s="7" t="n">
        <v>0.8471074380165289</v>
      </c>
      <c r="AF66" s="7" t="n">
        <v>0.7892561983471075</v>
      </c>
      <c r="AG66" s="7" t="n"/>
    </row>
    <row r="67">
      <c r="A67" s="3" t="inlineStr">
        <is>
          <t>2008-T2</t>
        </is>
      </c>
      <c r="B67" s="13" t="n">
        <v>39629</v>
      </c>
      <c r="C67" s="14" t="n">
        <v>20.9</v>
      </c>
      <c r="D67" s="14" t="n">
        <v>1.5</v>
      </c>
      <c r="E67" s="14" t="n">
        <v>1.87</v>
      </c>
      <c r="F67" s="5" t="n">
        <v>0.0399</v>
      </c>
      <c r="G67" s="5" t="n">
        <v>0.03222947933334197</v>
      </c>
      <c r="H67" s="5" t="n">
        <v>0.05511819868320456</v>
      </c>
      <c r="N67" s="9">
        <f>IF(F67="","",F67+'Léeme'!$B$10)</f>
        <v/>
      </c>
      <c r="O67" s="9">
        <f>IF(OR(G67="",N67=""),"",MIN(MAX(G67,'Léeme'!$B$11),'Léeme'!$B$12,N67-'Léeme'!$B$16))</f>
        <v/>
      </c>
      <c r="P67" s="16">
        <f>IF(OR(D67="",O67=""),"",IFERROR(IF(D67&lt;=0,"",D67*(1+O67)/(N67-O67)),""))</f>
        <v/>
      </c>
      <c r="Q67" s="9">
        <f>IF(H67="","",MIN(MAX(H67,'Léeme'!$B$13),'Léeme'!$B$14))</f>
        <v/>
      </c>
      <c r="R67" s="9">
        <f>IF(N67="","",MIN('Léeme'!$B$15,N67-'Léeme'!$B$16))</f>
        <v/>
      </c>
      <c r="S67" s="16">
        <f>IF(OR(E67="",Q67=""),"",IFERROR(IF(E67&lt;=0,"",E67*(((1+Q67)/(1+N67))+((1+Q67)/(1+N67))^2+((1+Q67)/(1+N67))^3+((1+Q67)/(1+N67))^4+((1+Q67)/(1+N67))^5)+E67*(1+Q67)^5*(1+R67)/((N67-R67)*(1+N67)^5)),""))</f>
        <v/>
      </c>
      <c r="T67" s="9">
        <f>IF(OR(E67="",N67=""),"",IFERROR((C67*N67-E67)/(C67+E67),""))</f>
        <v/>
      </c>
      <c r="U67" s="9">
        <f>IF(OR(H67="",T67=""),"",IFERROR(MIN(MAX(H67,'Léeme'!$B$17),'Léeme'!$B$18)-T67,""))</f>
        <v/>
      </c>
      <c r="V67" s="16">
        <f>IF(OR(I67="",M67="",L67=""),"",IFERROR((I67/M67-J67-K67)/L67,""))</f>
        <v/>
      </c>
      <c r="W67" s="11">
        <f>IFERROR(P67/C67-1,"")</f>
        <v/>
      </c>
      <c r="X67" s="11">
        <f>IFERROR(S67/C67-1,"")</f>
        <v/>
      </c>
      <c r="Y67" s="11">
        <f>IFERROR(V67/C67-1,"")</f>
        <v/>
      </c>
      <c r="Z67" s="3">
        <f>IF(OR(W67="",ISTEXT(W67)),"sin dato",IF(W67&gt;='Léeme'!$B$19,"barato",IF(W67&lt;=-'Léeme'!$B$19,"caro","medio")))</f>
        <v/>
      </c>
      <c r="AA67" s="3">
        <f>IF(OR(X67="",ISTEXT(X67)),"sin dato",IF(X67&gt;='Léeme'!$B$19,"barato",IF(X67&lt;=-'Léeme'!$B$19,"caro","medio")))</f>
        <v/>
      </c>
      <c r="AB67" s="3">
        <f>IF(OR(U67="",ISTEXT(U67)),"sin dato",IF(U67&gt;='Léeme'!$B$20,"barato",IF(U67&lt;=-'Léeme'!$B$20,"caro","medio")))</f>
        <v/>
      </c>
      <c r="AC67" s="3">
        <f>IF(OR(Y67="",ISTEXT(Y67)),"sin dato",IF(Y67&gt;='Léeme'!$B$19,"barato",IF(Y67&lt;=-'Léeme'!$B$19,"caro","medio")))</f>
        <v/>
      </c>
      <c r="AD67" s="7" t="n">
        <v>0.9963768115942029</v>
      </c>
      <c r="AE67" s="7" t="n">
        <v>0.7782258064516129</v>
      </c>
      <c r="AF67" s="7" t="n">
        <v>0.7862903225806451</v>
      </c>
      <c r="AG67" s="7" t="n"/>
    </row>
    <row r="68">
      <c r="A68" s="3" t="inlineStr">
        <is>
          <t>2008-T3</t>
        </is>
      </c>
      <c r="B68" s="13" t="n">
        <v>39721</v>
      </c>
      <c r="C68" s="14" t="n">
        <v>23.950001</v>
      </c>
      <c r="D68" s="14" t="n">
        <v>1.5</v>
      </c>
      <c r="E68" s="14" t="n">
        <v>1.87</v>
      </c>
      <c r="F68" s="5" t="n">
        <v>0.0385</v>
      </c>
      <c r="G68" s="5" t="n">
        <v>0.03222947933334197</v>
      </c>
      <c r="H68" s="5" t="n">
        <v>0.05511819868320456</v>
      </c>
      <c r="N68" s="9">
        <f>IF(F68="","",F68+'Léeme'!$B$10)</f>
        <v/>
      </c>
      <c r="O68" s="9">
        <f>IF(OR(G68="",N68=""),"",MIN(MAX(G68,'Léeme'!$B$11),'Léeme'!$B$12,N68-'Léeme'!$B$16))</f>
        <v/>
      </c>
      <c r="P68" s="16">
        <f>IF(OR(D68="",O68=""),"",IFERROR(IF(D68&lt;=0,"",D68*(1+O68)/(N68-O68)),""))</f>
        <v/>
      </c>
      <c r="Q68" s="9">
        <f>IF(H68="","",MIN(MAX(H68,'Léeme'!$B$13),'Léeme'!$B$14))</f>
        <v/>
      </c>
      <c r="R68" s="9">
        <f>IF(N68="","",MIN('Léeme'!$B$15,N68-'Léeme'!$B$16))</f>
        <v/>
      </c>
      <c r="S68" s="16">
        <f>IF(OR(E68="",Q68=""),"",IFERROR(IF(E68&lt;=0,"",E68*(((1+Q68)/(1+N68))+((1+Q68)/(1+N68))^2+((1+Q68)/(1+N68))^3+((1+Q68)/(1+N68))^4+((1+Q68)/(1+N68))^5)+E68*(1+Q68)^5*(1+R68)/((N68-R68)*(1+N68)^5)),""))</f>
        <v/>
      </c>
      <c r="T68" s="9">
        <f>IF(OR(E68="",N68=""),"",IFERROR((C68*N68-E68)/(C68+E68),""))</f>
        <v/>
      </c>
      <c r="U68" s="9">
        <f>IF(OR(H68="",T68=""),"",IFERROR(MIN(MAX(H68,'Léeme'!$B$17),'Léeme'!$B$18)-T68,""))</f>
        <v/>
      </c>
      <c r="V68" s="16">
        <f>IF(OR(I68="",M68="",L68=""),"",IFERROR((I68/M68-J68-K68)/L68,""))</f>
        <v/>
      </c>
      <c r="W68" s="11">
        <f>IFERROR(P68/C68-1,"")</f>
        <v/>
      </c>
      <c r="X68" s="11">
        <f>IFERROR(S68/C68-1,"")</f>
        <v/>
      </c>
      <c r="Y68" s="11">
        <f>IFERROR(V68/C68-1,"")</f>
        <v/>
      </c>
      <c r="Z68" s="3">
        <f>IF(OR(W68="",ISTEXT(W68)),"sin dato",IF(W68&gt;='Léeme'!$B$19,"barato",IF(W68&lt;=-'Léeme'!$B$19,"caro","medio")))</f>
        <v/>
      </c>
      <c r="AA68" s="3">
        <f>IF(OR(X68="",ISTEXT(X68)),"sin dato",IF(X68&gt;='Léeme'!$B$19,"barato",IF(X68&lt;=-'Léeme'!$B$19,"caro","medio")))</f>
        <v/>
      </c>
      <c r="AB68" s="3">
        <f>IF(OR(U68="",ISTEXT(U68)),"sin dato",IF(U68&gt;='Léeme'!$B$20,"barato",IF(U68&lt;=-'Léeme'!$B$20,"caro","medio")))</f>
        <v/>
      </c>
      <c r="AC68" s="3">
        <f>IF(OR(Y68="",ISTEXT(Y68)),"sin dato",IF(Y68&gt;='Léeme'!$B$19,"barato",IF(Y68&lt;=-'Léeme'!$B$19,"caro","medio")))</f>
        <v/>
      </c>
      <c r="AD68" s="7" t="n">
        <v>0.9397163120567376</v>
      </c>
      <c r="AE68" s="7" t="n">
        <v>0.6338582677165354</v>
      </c>
      <c r="AF68" s="7" t="n">
        <v>0.7047244094488189</v>
      </c>
      <c r="AG68" s="7" t="n"/>
    </row>
    <row r="69">
      <c r="A69" s="3" t="inlineStr">
        <is>
          <t>2008-T4</t>
        </is>
      </c>
      <c r="B69" s="13" t="n">
        <v>39813</v>
      </c>
      <c r="C69" s="14" t="n">
        <v>17.190001</v>
      </c>
      <c r="D69" s="14" t="n">
        <v>1.5</v>
      </c>
      <c r="E69" s="14" t="n">
        <v>1.87</v>
      </c>
      <c r="F69" s="5" t="n">
        <v>0.0225</v>
      </c>
      <c r="G69" s="5" t="n">
        <v>0.03222947933334197</v>
      </c>
      <c r="H69" s="5" t="n">
        <v>0.05511819868320456</v>
      </c>
      <c r="N69" s="9">
        <f>IF(F69="","",F69+'Léeme'!$B$10)</f>
        <v/>
      </c>
      <c r="O69" s="9">
        <f>IF(OR(G69="",N69=""),"",MIN(MAX(G69,'Léeme'!$B$11),'Léeme'!$B$12,N69-'Léeme'!$B$16))</f>
        <v/>
      </c>
      <c r="P69" s="16">
        <f>IF(OR(D69="",O69=""),"",IFERROR(IF(D69&lt;=0,"",D69*(1+O69)/(N69-O69)),""))</f>
        <v/>
      </c>
      <c r="Q69" s="9">
        <f>IF(H69="","",MIN(MAX(H69,'Léeme'!$B$13),'Léeme'!$B$14))</f>
        <v/>
      </c>
      <c r="R69" s="9">
        <f>IF(N69="","",MIN('Léeme'!$B$15,N69-'Léeme'!$B$16))</f>
        <v/>
      </c>
      <c r="S69" s="16">
        <f>IF(OR(E69="",Q69=""),"",IFERROR(IF(E69&lt;=0,"",E69*(((1+Q69)/(1+N69))+((1+Q69)/(1+N69))^2+((1+Q69)/(1+N69))^3+((1+Q69)/(1+N69))^4+((1+Q69)/(1+N69))^5)+E69*(1+Q69)^5*(1+R69)/((N69-R69)*(1+N69)^5)),""))</f>
        <v/>
      </c>
      <c r="T69" s="9">
        <f>IF(OR(E69="",N69=""),"",IFERROR((C69*N69-E69)/(C69+E69),""))</f>
        <v/>
      </c>
      <c r="U69" s="9">
        <f>IF(OR(H69="",T69=""),"",IFERROR(MIN(MAX(H69,'Léeme'!$B$17),'Léeme'!$B$18)-T69,""))</f>
        <v/>
      </c>
      <c r="V69" s="16">
        <f>IF(OR(I69="",M69="",L69=""),"",IFERROR((I69/M69-J69-K69)/L69,""))</f>
        <v/>
      </c>
      <c r="W69" s="11">
        <f>IFERROR(P69/C69-1,"")</f>
        <v/>
      </c>
      <c r="X69" s="11">
        <f>IFERROR(S69/C69-1,"")</f>
        <v/>
      </c>
      <c r="Y69" s="11">
        <f>IFERROR(V69/C69-1,"")</f>
        <v/>
      </c>
      <c r="Z69" s="3">
        <f>IF(OR(W69="",ISTEXT(W69)),"sin dato",IF(W69&gt;='Léeme'!$B$19,"barato",IF(W69&lt;=-'Léeme'!$B$19,"caro","medio")))</f>
        <v/>
      </c>
      <c r="AA69" s="3">
        <f>IF(OR(X69="",ISTEXT(X69)),"sin dato",IF(X69&gt;='Léeme'!$B$19,"barato",IF(X69&lt;=-'Léeme'!$B$19,"caro","medio")))</f>
        <v/>
      </c>
      <c r="AB69" s="3">
        <f>IF(OR(U69="",ISTEXT(U69)),"sin dato",IF(U69&gt;='Léeme'!$B$20,"barato",IF(U69&lt;=-'Léeme'!$B$20,"caro","medio")))</f>
        <v/>
      </c>
      <c r="AC69" s="3">
        <f>IF(OR(Y69="",ISTEXT(Y69)),"sin dato",IF(Y69&gt;='Léeme'!$B$19,"barato",IF(Y69&lt;=-'Léeme'!$B$19,"caro","medio")))</f>
        <v/>
      </c>
      <c r="AD69" s="7" t="n">
        <v>0.9965277777777778</v>
      </c>
      <c r="AE69" s="7" t="n">
        <v>0.9884615384615385</v>
      </c>
      <c r="AF69" s="7" t="n">
        <v>0.9346153846153846</v>
      </c>
      <c r="AG69" s="7" t="n"/>
    </row>
    <row r="70">
      <c r="A70" s="3" t="inlineStr">
        <is>
          <t>2009-T1</t>
        </is>
      </c>
      <c r="B70" s="13" t="n">
        <v>39903</v>
      </c>
      <c r="C70" s="14" t="n">
        <v>15.84</v>
      </c>
      <c r="D70" s="14" t="n">
        <v>1.5</v>
      </c>
      <c r="E70" s="14" t="n">
        <v>1.99</v>
      </c>
      <c r="F70" s="5" t="n">
        <v>0.0271</v>
      </c>
      <c r="G70" s="5" t="n">
        <v>0.03222947933334197</v>
      </c>
      <c r="H70" s="5" t="n">
        <v>0.06389812654082627</v>
      </c>
      <c r="N70" s="9">
        <f>IF(F70="","",F70+'Léeme'!$B$10)</f>
        <v/>
      </c>
      <c r="O70" s="9">
        <f>IF(OR(G70="",N70=""),"",MIN(MAX(G70,'Léeme'!$B$11),'Léeme'!$B$12,N70-'Léeme'!$B$16))</f>
        <v/>
      </c>
      <c r="P70" s="16">
        <f>IF(OR(D70="",O70=""),"",IFERROR(IF(D70&lt;=0,"",D70*(1+O70)/(N70-O70)),""))</f>
        <v/>
      </c>
      <c r="Q70" s="9">
        <f>IF(H70="","",MIN(MAX(H70,'Léeme'!$B$13),'Léeme'!$B$14))</f>
        <v/>
      </c>
      <c r="R70" s="9">
        <f>IF(N70="","",MIN('Léeme'!$B$15,N70-'Léeme'!$B$16))</f>
        <v/>
      </c>
      <c r="S70" s="16">
        <f>IF(OR(E70="",Q70=""),"",IFERROR(IF(E70&lt;=0,"",E70*(((1+Q70)/(1+N70))+((1+Q70)/(1+N70))^2+((1+Q70)/(1+N70))^3+((1+Q70)/(1+N70))^4+((1+Q70)/(1+N70))^5)+E70*(1+Q70)^5*(1+R70)/((N70-R70)*(1+N70)^5)),""))</f>
        <v/>
      </c>
      <c r="T70" s="9">
        <f>IF(OR(E70="",N70=""),"",IFERROR((C70*N70-E70)/(C70+E70),""))</f>
        <v/>
      </c>
      <c r="U70" s="9">
        <f>IF(OR(H70="",T70=""),"",IFERROR(MIN(MAX(H70,'Léeme'!$B$17),'Léeme'!$B$18)-T70,""))</f>
        <v/>
      </c>
      <c r="V70" s="16">
        <f>IF(OR(I70="",M70="",L70=""),"",IFERROR((I70/M70-J70-K70)/L70,""))</f>
        <v/>
      </c>
      <c r="W70" s="11">
        <f>IFERROR(P70/C70-1,"")</f>
        <v/>
      </c>
      <c r="X70" s="11">
        <f>IFERROR(S70/C70-1,"")</f>
        <v/>
      </c>
      <c r="Y70" s="11">
        <f>IFERROR(V70/C70-1,"")</f>
        <v/>
      </c>
      <c r="Z70" s="3">
        <f>IF(OR(W70="",ISTEXT(W70)),"sin dato",IF(W70&gt;='Léeme'!$B$19,"barato",IF(W70&lt;=-'Léeme'!$B$19,"caro","medio")))</f>
        <v/>
      </c>
      <c r="AA70" s="3">
        <f>IF(OR(X70="",ISTEXT(X70)),"sin dato",IF(X70&gt;='Léeme'!$B$19,"barato",IF(X70&lt;=-'Léeme'!$B$19,"caro","medio")))</f>
        <v/>
      </c>
      <c r="AB70" s="3">
        <f>IF(OR(U70="",ISTEXT(U70)),"sin dato",IF(U70&gt;='Léeme'!$B$20,"barato",IF(U70&lt;=-'Léeme'!$B$20,"caro","medio")))</f>
        <v/>
      </c>
      <c r="AC70" s="3">
        <f>IF(OR(Y70="",ISTEXT(Y70)),"sin dato",IF(Y70&gt;='Léeme'!$B$19,"barato",IF(Y70&lt;=-'Léeme'!$B$19,"caro","medio")))</f>
        <v/>
      </c>
      <c r="AD70" s="7" t="n">
        <v>0.9761904761904762</v>
      </c>
      <c r="AE70" s="7" t="n">
        <v>0.981203007518797</v>
      </c>
      <c r="AF70" s="7" t="n">
        <v>0.981203007518797</v>
      </c>
      <c r="AG70" s="7" t="n"/>
    </row>
    <row r="71">
      <c r="A71" s="3" t="inlineStr">
        <is>
          <t>2009-T2</t>
        </is>
      </c>
      <c r="B71" s="13" t="n">
        <v>39994</v>
      </c>
      <c r="C71" s="14" t="n">
        <v>17.35</v>
      </c>
      <c r="D71" s="14" t="n">
        <v>1.5</v>
      </c>
      <c r="E71" s="14" t="n">
        <v>1.99</v>
      </c>
      <c r="F71" s="5" t="n">
        <v>0.0353</v>
      </c>
      <c r="G71" s="5" t="n">
        <v>0.03222947933334197</v>
      </c>
      <c r="H71" s="5" t="n">
        <v>0.06389812654082627</v>
      </c>
      <c r="N71" s="9">
        <f>IF(F71="","",F71+'Léeme'!$B$10)</f>
        <v/>
      </c>
      <c r="O71" s="9">
        <f>IF(OR(G71="",N71=""),"",MIN(MAX(G71,'Léeme'!$B$11),'Léeme'!$B$12,N71-'Léeme'!$B$16))</f>
        <v/>
      </c>
      <c r="P71" s="16">
        <f>IF(OR(D71="",O71=""),"",IFERROR(IF(D71&lt;=0,"",D71*(1+O71)/(N71-O71)),""))</f>
        <v/>
      </c>
      <c r="Q71" s="9">
        <f>IF(H71="","",MIN(MAX(H71,'Léeme'!$B$13),'Léeme'!$B$14))</f>
        <v/>
      </c>
      <c r="R71" s="9">
        <f>IF(N71="","",MIN('Léeme'!$B$15,N71-'Léeme'!$B$16))</f>
        <v/>
      </c>
      <c r="S71" s="16">
        <f>IF(OR(E71="",Q71=""),"",IFERROR(IF(E71&lt;=0,"",E71*(((1+Q71)/(1+N71))+((1+Q71)/(1+N71))^2+((1+Q71)/(1+N71))^3+((1+Q71)/(1+N71))^4+((1+Q71)/(1+N71))^5)+E71*(1+Q71)^5*(1+R71)/((N71-R71)*(1+N71)^5)),""))</f>
        <v/>
      </c>
      <c r="T71" s="9">
        <f>IF(OR(E71="",N71=""),"",IFERROR((C71*N71-E71)/(C71+E71),""))</f>
        <v/>
      </c>
      <c r="U71" s="9">
        <f>IF(OR(H71="",T71=""),"",IFERROR(MIN(MAX(H71,'Léeme'!$B$17),'Léeme'!$B$18)-T71,""))</f>
        <v/>
      </c>
      <c r="V71" s="16">
        <f>IF(OR(I71="",M71="",L71=""),"",IFERROR((I71/M71-J71-K71)/L71,""))</f>
        <v/>
      </c>
      <c r="W71" s="11">
        <f>IFERROR(P71/C71-1,"")</f>
        <v/>
      </c>
      <c r="X71" s="11">
        <f>IFERROR(S71/C71-1,"")</f>
        <v/>
      </c>
      <c r="Y71" s="11">
        <f>IFERROR(V71/C71-1,"")</f>
        <v/>
      </c>
      <c r="Z71" s="3">
        <f>IF(OR(W71="",ISTEXT(W71)),"sin dato",IF(W71&gt;='Léeme'!$B$19,"barato",IF(W71&lt;=-'Léeme'!$B$19,"caro","medio")))</f>
        <v/>
      </c>
      <c r="AA71" s="3">
        <f>IF(OR(X71="",ISTEXT(X71)),"sin dato",IF(X71&gt;='Léeme'!$B$19,"barato",IF(X71&lt;=-'Léeme'!$B$19,"caro","medio")))</f>
        <v/>
      </c>
      <c r="AB71" s="3">
        <f>IF(OR(U71="",ISTEXT(U71)),"sin dato",IF(U71&gt;='Léeme'!$B$20,"barato",IF(U71&lt;=-'Léeme'!$B$20,"caro","medio")))</f>
        <v/>
      </c>
      <c r="AC71" s="3">
        <f>IF(OR(Y71="",ISTEXT(Y71)),"sin dato",IF(Y71&gt;='Léeme'!$B$19,"barato",IF(Y71&lt;=-'Léeme'!$B$19,"caro","medio")))</f>
        <v/>
      </c>
      <c r="AD71" s="7" t="n">
        <v>0.95</v>
      </c>
      <c r="AE71" s="7" t="n">
        <v>0.9448529411764706</v>
      </c>
      <c r="AF71" s="7" t="n">
        <v>0.9227941176470589</v>
      </c>
      <c r="AG71" s="7" t="n"/>
    </row>
    <row r="72">
      <c r="A72" s="3" t="inlineStr">
        <is>
          <t>2009-T3</t>
        </is>
      </c>
      <c r="B72" s="13" t="n">
        <v>40086</v>
      </c>
      <c r="C72" s="14" t="n">
        <v>21.469999</v>
      </c>
      <c r="D72" s="14" t="n">
        <v>1.5</v>
      </c>
      <c r="E72" s="14" t="n">
        <v>1.99</v>
      </c>
      <c r="F72" s="5" t="n">
        <v>0.0331</v>
      </c>
      <c r="G72" s="5" t="n">
        <v>0.02903366107118788</v>
      </c>
      <c r="H72" s="5" t="n">
        <v>0.06389812654082627</v>
      </c>
      <c r="N72" s="9">
        <f>IF(F72="","",F72+'Léeme'!$B$10)</f>
        <v/>
      </c>
      <c r="O72" s="9">
        <f>IF(OR(G72="",N72=""),"",MIN(MAX(G72,'Léeme'!$B$11),'Léeme'!$B$12,N72-'Léeme'!$B$16))</f>
        <v/>
      </c>
      <c r="P72" s="16">
        <f>IF(OR(D72="",O72=""),"",IFERROR(IF(D72&lt;=0,"",D72*(1+O72)/(N72-O72)),""))</f>
        <v/>
      </c>
      <c r="Q72" s="9">
        <f>IF(H72="","",MIN(MAX(H72,'Léeme'!$B$13),'Léeme'!$B$14))</f>
        <v/>
      </c>
      <c r="R72" s="9">
        <f>IF(N72="","",MIN('Léeme'!$B$15,N72-'Léeme'!$B$16))</f>
        <v/>
      </c>
      <c r="S72" s="16">
        <f>IF(OR(E72="",Q72=""),"",IFERROR(IF(E72&lt;=0,"",E72*(((1+Q72)/(1+N72))+((1+Q72)/(1+N72))^2+((1+Q72)/(1+N72))^3+((1+Q72)/(1+N72))^4+((1+Q72)/(1+N72))^5)+E72*(1+Q72)^5*(1+R72)/((N72-R72)*(1+N72)^5)),""))</f>
        <v/>
      </c>
      <c r="T72" s="9">
        <f>IF(OR(E72="",N72=""),"",IFERROR((C72*N72-E72)/(C72+E72),""))</f>
        <v/>
      </c>
      <c r="U72" s="9">
        <f>IF(OR(H72="",T72=""),"",IFERROR(MIN(MAX(H72,'Léeme'!$B$17),'Léeme'!$B$18)-T72,""))</f>
        <v/>
      </c>
      <c r="V72" s="16">
        <f>IF(OR(I72="",M72="",L72=""),"",IFERROR((I72/M72-J72-K72)/L72,""))</f>
        <v/>
      </c>
      <c r="W72" s="11">
        <f>IFERROR(P72/C72-1,"")</f>
        <v/>
      </c>
      <c r="X72" s="11">
        <f>IFERROR(S72/C72-1,"")</f>
        <v/>
      </c>
      <c r="Y72" s="11">
        <f>IFERROR(V72/C72-1,"")</f>
        <v/>
      </c>
      <c r="Z72" s="3">
        <f>IF(OR(W72="",ISTEXT(W72)),"sin dato",IF(W72&gt;='Léeme'!$B$19,"barato",IF(W72&lt;=-'Léeme'!$B$19,"caro","medio")))</f>
        <v/>
      </c>
      <c r="AA72" s="3">
        <f>IF(OR(X72="",ISTEXT(X72)),"sin dato",IF(X72&gt;='Léeme'!$B$19,"barato",IF(X72&lt;=-'Léeme'!$B$19,"caro","medio")))</f>
        <v/>
      </c>
      <c r="AB72" s="3">
        <f>IF(OR(U72="",ISTEXT(U72)),"sin dato",IF(U72&gt;='Léeme'!$B$20,"barato",IF(U72&lt;=-'Léeme'!$B$20,"caro","medio")))</f>
        <v/>
      </c>
      <c r="AC72" s="3">
        <f>IF(OR(Y72="",ISTEXT(Y72)),"sin dato",IF(Y72&gt;='Léeme'!$B$19,"barato",IF(Y72&lt;=-'Léeme'!$B$19,"caro","medio")))</f>
        <v/>
      </c>
      <c r="AD72" s="7" t="n">
        <v>0.9248366013071896</v>
      </c>
      <c r="AE72" s="7" t="n">
        <v>0.9028776978417267</v>
      </c>
      <c r="AF72" s="7" t="n">
        <v>0.7661870503597122</v>
      </c>
      <c r="AG72" s="7" t="n"/>
    </row>
    <row r="73">
      <c r="A73" s="3" t="inlineStr">
        <is>
          <t>2009-T4</t>
        </is>
      </c>
      <c r="B73" s="13" t="n">
        <v>40178</v>
      </c>
      <c r="C73" s="14" t="n">
        <v>21.219999</v>
      </c>
      <c r="D73" s="14" t="n">
        <v>1.5</v>
      </c>
      <c r="E73" s="14" t="n">
        <v>1.99</v>
      </c>
      <c r="F73" s="5" t="n">
        <v>0.0385</v>
      </c>
      <c r="G73" s="5" t="n">
        <v>0.02903366107118788</v>
      </c>
      <c r="H73" s="5" t="n">
        <v>0.06389812654082627</v>
      </c>
      <c r="N73" s="9">
        <f>IF(F73="","",F73+'Léeme'!$B$10)</f>
        <v/>
      </c>
      <c r="O73" s="9">
        <f>IF(OR(G73="",N73=""),"",MIN(MAX(G73,'Léeme'!$B$11),'Léeme'!$B$12,N73-'Léeme'!$B$16))</f>
        <v/>
      </c>
      <c r="P73" s="16">
        <f>IF(OR(D73="",O73=""),"",IFERROR(IF(D73&lt;=0,"",D73*(1+O73)/(N73-O73)),""))</f>
        <v/>
      </c>
      <c r="Q73" s="9">
        <f>IF(H73="","",MIN(MAX(H73,'Léeme'!$B$13),'Léeme'!$B$14))</f>
        <v/>
      </c>
      <c r="R73" s="9">
        <f>IF(N73="","",MIN('Léeme'!$B$15,N73-'Léeme'!$B$16))</f>
        <v/>
      </c>
      <c r="S73" s="16">
        <f>IF(OR(E73="",Q73=""),"",IFERROR(IF(E73&lt;=0,"",E73*(((1+Q73)/(1+N73))+((1+Q73)/(1+N73))^2+((1+Q73)/(1+N73))^3+((1+Q73)/(1+N73))^4+((1+Q73)/(1+N73))^5)+E73*(1+Q73)^5*(1+R73)/((N73-R73)*(1+N73)^5)),""))</f>
        <v/>
      </c>
      <c r="T73" s="9">
        <f>IF(OR(E73="",N73=""),"",IFERROR((C73*N73-E73)/(C73+E73),""))</f>
        <v/>
      </c>
      <c r="U73" s="9">
        <f>IF(OR(H73="",T73=""),"",IFERROR(MIN(MAX(H73,'Léeme'!$B$17),'Léeme'!$B$18)-T73,""))</f>
        <v/>
      </c>
      <c r="V73" s="16">
        <f>IF(OR(I73="",M73="",L73=""),"",IFERROR((I73/M73-J73-K73)/L73,""))</f>
        <v/>
      </c>
      <c r="W73" s="11">
        <f>IFERROR(P73/C73-1,"")</f>
        <v/>
      </c>
      <c r="X73" s="11">
        <f>IFERROR(S73/C73-1,"")</f>
        <v/>
      </c>
      <c r="Y73" s="11">
        <f>IFERROR(V73/C73-1,"")</f>
        <v/>
      </c>
      <c r="Z73" s="3">
        <f>IF(OR(W73="",ISTEXT(W73)),"sin dato",IF(W73&gt;='Léeme'!$B$19,"barato",IF(W73&lt;=-'Léeme'!$B$19,"caro","medio")))</f>
        <v/>
      </c>
      <c r="AA73" s="3">
        <f>IF(OR(X73="",ISTEXT(X73)),"sin dato",IF(X73&gt;='Léeme'!$B$19,"barato",IF(X73&lt;=-'Léeme'!$B$19,"caro","medio")))</f>
        <v/>
      </c>
      <c r="AB73" s="3">
        <f>IF(OR(U73="",ISTEXT(U73)),"sin dato",IF(U73&gt;='Léeme'!$B$20,"barato",IF(U73&lt;=-'Léeme'!$B$20,"caro","medio")))</f>
        <v/>
      </c>
      <c r="AC73" s="3">
        <f>IF(OR(Y73="",ISTEXT(Y73)),"sin dato",IF(Y73&gt;='Léeme'!$B$19,"barato",IF(Y73&lt;=-'Léeme'!$B$19,"caro","medio")))</f>
        <v/>
      </c>
      <c r="AD73" s="7" t="n">
        <v>0.8685897435897436</v>
      </c>
      <c r="AE73" s="7" t="n">
        <v>0.8063380281690141</v>
      </c>
      <c r="AF73" s="7" t="n">
        <v>0.7359154929577465</v>
      </c>
      <c r="AG73" s="7" t="n"/>
    </row>
    <row r="74">
      <c r="A74" s="3" t="inlineStr">
        <is>
          <t>2010-T1</t>
        </is>
      </c>
      <c r="B74" s="13" t="n">
        <v>40268</v>
      </c>
      <c r="C74" s="14" t="n">
        <v>22.83</v>
      </c>
      <c r="D74" s="14" t="n">
        <v>1.5</v>
      </c>
      <c r="E74" s="14" t="n">
        <v>1.6547</v>
      </c>
      <c r="F74" s="5" t="n">
        <v>0.0384</v>
      </c>
      <c r="G74" s="5" t="n">
        <v>0.02903366107118788</v>
      </c>
      <c r="H74" s="5" t="n">
        <v>0.03252370437825958</v>
      </c>
      <c r="N74" s="9">
        <f>IF(F74="","",F74+'Léeme'!$B$10)</f>
        <v/>
      </c>
      <c r="O74" s="9">
        <f>IF(OR(G74="",N74=""),"",MIN(MAX(G74,'Léeme'!$B$11),'Léeme'!$B$12,N74-'Léeme'!$B$16))</f>
        <v/>
      </c>
      <c r="P74" s="16">
        <f>IF(OR(D74="",O74=""),"",IFERROR(IF(D74&lt;=0,"",D74*(1+O74)/(N74-O74)),""))</f>
        <v/>
      </c>
      <c r="Q74" s="9">
        <f>IF(H74="","",MIN(MAX(H74,'Léeme'!$B$13),'Léeme'!$B$14))</f>
        <v/>
      </c>
      <c r="R74" s="9">
        <f>IF(N74="","",MIN('Léeme'!$B$15,N74-'Léeme'!$B$16))</f>
        <v/>
      </c>
      <c r="S74" s="16">
        <f>IF(OR(E74="",Q74=""),"",IFERROR(IF(E74&lt;=0,"",E74*(((1+Q74)/(1+N74))+((1+Q74)/(1+N74))^2+((1+Q74)/(1+N74))^3+((1+Q74)/(1+N74))^4+((1+Q74)/(1+N74))^5)+E74*(1+Q74)^5*(1+R74)/((N74-R74)*(1+N74)^5)),""))</f>
        <v/>
      </c>
      <c r="T74" s="9">
        <f>IF(OR(E74="",N74=""),"",IFERROR((C74*N74-E74)/(C74+E74),""))</f>
        <v/>
      </c>
      <c r="U74" s="9">
        <f>IF(OR(H74="",T74=""),"",IFERROR(MIN(MAX(H74,'Léeme'!$B$17),'Léeme'!$B$18)-T74,""))</f>
        <v/>
      </c>
      <c r="V74" s="16">
        <f>IF(OR(I74="",M74="",L74=""),"",IFERROR((I74/M74-J74-K74)/L74,""))</f>
        <v/>
      </c>
      <c r="W74" s="11">
        <f>IFERROR(P74/C74-1,"")</f>
        <v/>
      </c>
      <c r="X74" s="11">
        <f>IFERROR(S74/C74-1,"")</f>
        <v/>
      </c>
      <c r="Y74" s="11">
        <f>IFERROR(V74/C74-1,"")</f>
        <v/>
      </c>
      <c r="Z74" s="3">
        <f>IF(OR(W74="",ISTEXT(W74)),"sin dato",IF(W74&gt;='Léeme'!$B$19,"barato",IF(W74&lt;=-'Léeme'!$B$19,"caro","medio")))</f>
        <v/>
      </c>
      <c r="AA74" s="3">
        <f>IF(OR(X74="",ISTEXT(X74)),"sin dato",IF(X74&gt;='Léeme'!$B$19,"barato",IF(X74&lt;=-'Léeme'!$B$19,"caro","medio")))</f>
        <v/>
      </c>
      <c r="AB74" s="3">
        <f>IF(OR(U74="",ISTEXT(U74)),"sin dato",IF(U74&gt;='Léeme'!$B$20,"barato",IF(U74&lt;=-'Léeme'!$B$20,"caro","medio")))</f>
        <v/>
      </c>
      <c r="AC74" s="3">
        <f>IF(OR(Y74="",ISTEXT(Y74)),"sin dato",IF(Y74&gt;='Léeme'!$B$19,"barato",IF(Y74&lt;=-'Léeme'!$B$19,"caro","medio")))</f>
        <v/>
      </c>
      <c r="AD74" s="7" t="n">
        <v>0.8081761006289309</v>
      </c>
      <c r="AE74" s="7" t="n">
        <v>0.4448275862068966</v>
      </c>
      <c r="AF74" s="7" t="n">
        <v>0.4931034482758621</v>
      </c>
      <c r="AG74" s="7" t="n"/>
    </row>
    <row r="75">
      <c r="A75" s="3" t="inlineStr">
        <is>
          <t>2010-T2</t>
        </is>
      </c>
      <c r="B75" s="13" t="n">
        <v>40359</v>
      </c>
      <c r="C75" s="14" t="n">
        <v>21.440001</v>
      </c>
      <c r="D75" s="14" t="n">
        <v>1.5</v>
      </c>
      <c r="E75" s="14" t="n">
        <v>1.6547</v>
      </c>
      <c r="F75" s="5" t="n">
        <v>0.0297</v>
      </c>
      <c r="G75" s="5" t="n">
        <v>0.02903366107118788</v>
      </c>
      <c r="H75" s="5" t="n">
        <v>0.03252370437825958</v>
      </c>
      <c r="N75" s="9">
        <f>IF(F75="","",F75+'Léeme'!$B$10)</f>
        <v/>
      </c>
      <c r="O75" s="9">
        <f>IF(OR(G75="",N75=""),"",MIN(MAX(G75,'Léeme'!$B$11),'Léeme'!$B$12,N75-'Léeme'!$B$16))</f>
        <v/>
      </c>
      <c r="P75" s="16">
        <f>IF(OR(D75="",O75=""),"",IFERROR(IF(D75&lt;=0,"",D75*(1+O75)/(N75-O75)),""))</f>
        <v/>
      </c>
      <c r="Q75" s="9">
        <f>IF(H75="","",MIN(MAX(H75,'Léeme'!$B$13),'Léeme'!$B$14))</f>
        <v/>
      </c>
      <c r="R75" s="9">
        <f>IF(N75="","",MIN('Léeme'!$B$15,N75-'Léeme'!$B$16))</f>
        <v/>
      </c>
      <c r="S75" s="16">
        <f>IF(OR(E75="",Q75=""),"",IFERROR(IF(E75&lt;=0,"",E75*(((1+Q75)/(1+N75))+((1+Q75)/(1+N75))^2+((1+Q75)/(1+N75))^3+((1+Q75)/(1+N75))^4+((1+Q75)/(1+N75))^5)+E75*(1+Q75)^5*(1+R75)/((N75-R75)*(1+N75)^5)),""))</f>
        <v/>
      </c>
      <c r="T75" s="9">
        <f>IF(OR(E75="",N75=""),"",IFERROR((C75*N75-E75)/(C75+E75),""))</f>
        <v/>
      </c>
      <c r="U75" s="9">
        <f>IF(OR(H75="",T75=""),"",IFERROR(MIN(MAX(H75,'Léeme'!$B$17),'Léeme'!$B$18)-T75,""))</f>
        <v/>
      </c>
      <c r="V75" s="16">
        <f>IF(OR(I75="",M75="",L75=""),"",IFERROR((I75/M75-J75-K75)/L75,""))</f>
        <v/>
      </c>
      <c r="W75" s="11">
        <f>IFERROR(P75/C75-1,"")</f>
        <v/>
      </c>
      <c r="X75" s="11">
        <f>IFERROR(S75/C75-1,"")</f>
        <v/>
      </c>
      <c r="Y75" s="11">
        <f>IFERROR(V75/C75-1,"")</f>
        <v/>
      </c>
      <c r="Z75" s="3">
        <f>IF(OR(W75="",ISTEXT(W75)),"sin dato",IF(W75&gt;='Léeme'!$B$19,"barato",IF(W75&lt;=-'Léeme'!$B$19,"caro","medio")))</f>
        <v/>
      </c>
      <c r="AA75" s="3">
        <f>IF(OR(X75="",ISTEXT(X75)),"sin dato",IF(X75&gt;='Léeme'!$B$19,"barato",IF(X75&lt;=-'Léeme'!$B$19,"caro","medio")))</f>
        <v/>
      </c>
      <c r="AB75" s="3">
        <f>IF(OR(U75="",ISTEXT(U75)),"sin dato",IF(U75&gt;='Léeme'!$B$20,"barato",IF(U75&lt;=-'Léeme'!$B$20,"caro","medio")))</f>
        <v/>
      </c>
      <c r="AC75" s="3">
        <f>IF(OR(Y75="",ISTEXT(Y75)),"sin dato",IF(Y75&gt;='Léeme'!$B$19,"barato",IF(Y75&lt;=-'Léeme'!$B$19,"caro","medio")))</f>
        <v/>
      </c>
      <c r="AD75" s="7" t="n">
        <v>0.9475308641975309</v>
      </c>
      <c r="AE75" s="7" t="n">
        <v>0.6858108108108109</v>
      </c>
      <c r="AF75" s="7" t="n">
        <v>0.5574324324324325</v>
      </c>
      <c r="AG75" s="7" t="n"/>
    </row>
    <row r="76">
      <c r="A76" s="3" t="inlineStr">
        <is>
          <t>2010-T3</t>
        </is>
      </c>
      <c r="B76" s="13" t="n">
        <v>40451</v>
      </c>
      <c r="C76" s="14" t="n">
        <v>25.110001</v>
      </c>
      <c r="D76" s="14" t="n">
        <v>1.52</v>
      </c>
      <c r="E76" s="14" t="n">
        <v>1.6547</v>
      </c>
      <c r="F76" s="5" t="n">
        <v>0.0253</v>
      </c>
      <c r="G76" s="5" t="n">
        <v>0.03176323168800477</v>
      </c>
      <c r="H76" s="5" t="n">
        <v>0.03252370437825958</v>
      </c>
      <c r="N76" s="9">
        <f>IF(F76="","",F76+'Léeme'!$B$10)</f>
        <v/>
      </c>
      <c r="O76" s="9">
        <f>IF(OR(G76="",N76=""),"",MIN(MAX(G76,'Léeme'!$B$11),'Léeme'!$B$12,N76-'Léeme'!$B$16))</f>
        <v/>
      </c>
      <c r="P76" s="16">
        <f>IF(OR(D76="",O76=""),"",IFERROR(IF(D76&lt;=0,"",D76*(1+O76)/(N76-O76)),""))</f>
        <v/>
      </c>
      <c r="Q76" s="9">
        <f>IF(H76="","",MIN(MAX(H76,'Léeme'!$B$13),'Léeme'!$B$14))</f>
        <v/>
      </c>
      <c r="R76" s="9">
        <f>IF(N76="","",MIN('Léeme'!$B$15,N76-'Léeme'!$B$16))</f>
        <v/>
      </c>
      <c r="S76" s="16">
        <f>IF(OR(E76="",Q76=""),"",IFERROR(IF(E76&lt;=0,"",E76*(((1+Q76)/(1+N76))+((1+Q76)/(1+N76))^2+((1+Q76)/(1+N76))^3+((1+Q76)/(1+N76))^4+((1+Q76)/(1+N76))^5)+E76*(1+Q76)^5*(1+R76)/((N76-R76)*(1+N76)^5)),""))</f>
        <v/>
      </c>
      <c r="T76" s="9">
        <f>IF(OR(E76="",N76=""),"",IFERROR((C76*N76-E76)/(C76+E76),""))</f>
        <v/>
      </c>
      <c r="U76" s="9">
        <f>IF(OR(H76="",T76=""),"",IFERROR(MIN(MAX(H76,'Léeme'!$B$17),'Léeme'!$B$18)-T76,""))</f>
        <v/>
      </c>
      <c r="V76" s="16">
        <f>IF(OR(I76="",M76="",L76=""),"",IFERROR((I76/M76-J76-K76)/L76,""))</f>
        <v/>
      </c>
      <c r="W76" s="11">
        <f>IFERROR(P76/C76-1,"")</f>
        <v/>
      </c>
      <c r="X76" s="11">
        <f>IFERROR(S76/C76-1,"")</f>
        <v/>
      </c>
      <c r="Y76" s="11">
        <f>IFERROR(V76/C76-1,"")</f>
        <v/>
      </c>
      <c r="Z76" s="3">
        <f>IF(OR(W76="",ISTEXT(W76)),"sin dato",IF(W76&gt;='Léeme'!$B$19,"barato",IF(W76&lt;=-'Léeme'!$B$19,"caro","medio")))</f>
        <v/>
      </c>
      <c r="AA76" s="3">
        <f>IF(OR(X76="",ISTEXT(X76)),"sin dato",IF(X76&gt;='Léeme'!$B$19,"barato",IF(X76&lt;=-'Léeme'!$B$19,"caro","medio")))</f>
        <v/>
      </c>
      <c r="AB76" s="3">
        <f>IF(OR(U76="",ISTEXT(U76)),"sin dato",IF(U76&gt;='Léeme'!$B$20,"barato",IF(U76&lt;=-'Léeme'!$B$20,"caro","medio")))</f>
        <v/>
      </c>
      <c r="AC76" s="3">
        <f>IF(OR(Y76="",ISTEXT(Y76)),"sin dato",IF(Y76&gt;='Léeme'!$B$19,"barato",IF(Y76&lt;=-'Léeme'!$B$19,"caro","medio")))</f>
        <v/>
      </c>
      <c r="AD76" s="7" t="n">
        <v>0.9424242424242424</v>
      </c>
      <c r="AE76" s="7" t="n">
        <v>0.6324503311258278</v>
      </c>
      <c r="AF76" s="7" t="n">
        <v>0.5</v>
      </c>
      <c r="AG76" s="7" t="n"/>
    </row>
    <row r="77">
      <c r="A77" s="3" t="inlineStr">
        <is>
          <t>2010-T4</t>
        </is>
      </c>
      <c r="B77" s="13" t="n">
        <v>40543</v>
      </c>
      <c r="C77" s="14" t="n">
        <v>26.5</v>
      </c>
      <c r="D77" s="14" t="n">
        <v>1.52</v>
      </c>
      <c r="E77" s="14" t="n">
        <v>1.6547</v>
      </c>
      <c r="F77" s="5" t="n">
        <v>0.033</v>
      </c>
      <c r="G77" s="5" t="n">
        <v>0.03176323168800477</v>
      </c>
      <c r="H77" s="5" t="n">
        <v>0.03252370437825958</v>
      </c>
      <c r="N77" s="9">
        <f>IF(F77="","",F77+'Léeme'!$B$10)</f>
        <v/>
      </c>
      <c r="O77" s="9">
        <f>IF(OR(G77="",N77=""),"",MIN(MAX(G77,'Léeme'!$B$11),'Léeme'!$B$12,N77-'Léeme'!$B$16))</f>
        <v/>
      </c>
      <c r="P77" s="16">
        <f>IF(OR(D77="",O77=""),"",IFERROR(IF(D77&lt;=0,"",D77*(1+O77)/(N77-O77)),""))</f>
        <v/>
      </c>
      <c r="Q77" s="9">
        <f>IF(H77="","",MIN(MAX(H77,'Léeme'!$B$13),'Léeme'!$B$14))</f>
        <v/>
      </c>
      <c r="R77" s="9">
        <f>IF(N77="","",MIN('Léeme'!$B$15,N77-'Léeme'!$B$16))</f>
        <v/>
      </c>
      <c r="S77" s="16">
        <f>IF(OR(E77="",Q77=""),"",IFERROR(IF(E77&lt;=0,"",E77*(((1+Q77)/(1+N77))+((1+Q77)/(1+N77))^2+((1+Q77)/(1+N77))^3+((1+Q77)/(1+N77))^4+((1+Q77)/(1+N77))^5)+E77*(1+Q77)^5*(1+R77)/((N77-R77)*(1+N77)^5)),""))</f>
        <v/>
      </c>
      <c r="T77" s="9">
        <f>IF(OR(E77="",N77=""),"",IFERROR((C77*N77-E77)/(C77+E77),""))</f>
        <v/>
      </c>
      <c r="U77" s="9">
        <f>IF(OR(H77="",T77=""),"",IFERROR(MIN(MAX(H77,'Léeme'!$B$17),'Léeme'!$B$18)-T77,""))</f>
        <v/>
      </c>
      <c r="V77" s="16">
        <f>IF(OR(I77="",M77="",L77=""),"",IFERROR((I77/M77-J77-K77)/L77,""))</f>
        <v/>
      </c>
      <c r="W77" s="11">
        <f>IFERROR(P77/C77-1,"")</f>
        <v/>
      </c>
      <c r="X77" s="11">
        <f>IFERROR(S77/C77-1,"")</f>
        <v/>
      </c>
      <c r="Y77" s="11">
        <f>IFERROR(V77/C77-1,"")</f>
        <v/>
      </c>
      <c r="Z77" s="3">
        <f>IF(OR(W77="",ISTEXT(W77)),"sin dato",IF(W77&gt;='Léeme'!$B$19,"barato",IF(W77&lt;=-'Léeme'!$B$19,"caro","medio")))</f>
        <v/>
      </c>
      <c r="AA77" s="3">
        <f>IF(OR(X77="",ISTEXT(X77)),"sin dato",IF(X77&gt;='Léeme'!$B$19,"barato",IF(X77&lt;=-'Léeme'!$B$19,"caro","medio")))</f>
        <v/>
      </c>
      <c r="AB77" s="3">
        <f>IF(OR(U77="",ISTEXT(U77)),"sin dato",IF(U77&gt;='Léeme'!$B$20,"barato",IF(U77&lt;=-'Léeme'!$B$20,"caro","medio")))</f>
        <v/>
      </c>
      <c r="AC77" s="3">
        <f>IF(OR(Y77="",ISTEXT(Y77)),"sin dato",IF(Y77&gt;='Léeme'!$B$19,"barato",IF(Y77&lt;=-'Léeme'!$B$19,"caro","medio")))</f>
        <v/>
      </c>
      <c r="AD77" s="7" t="n">
        <v>0.8363095238095238</v>
      </c>
      <c r="AE77" s="7" t="n">
        <v>0.4123376623376623</v>
      </c>
      <c r="AF77" s="7" t="n">
        <v>0.4253246753246753</v>
      </c>
      <c r="AG77" s="7" t="n"/>
    </row>
    <row r="78">
      <c r="A78" s="3" t="inlineStr">
        <is>
          <t>2011-T1</t>
        </is>
      </c>
      <c r="B78" s="13" t="n">
        <v>40633</v>
      </c>
      <c r="C78" s="14" t="n">
        <v>26.129999</v>
      </c>
      <c r="D78" s="14" t="n">
        <v>1.52</v>
      </c>
      <c r="E78" s="14" t="n">
        <v>1.45</v>
      </c>
      <c r="F78" s="5" t="n">
        <v>0.0347</v>
      </c>
      <c r="G78" s="5" t="n">
        <v>0.03176323168800477</v>
      </c>
      <c r="H78" s="5" t="n">
        <v>-0.006757375894498652</v>
      </c>
      <c r="N78" s="9">
        <f>IF(F78="","",F78+'Léeme'!$B$10)</f>
        <v/>
      </c>
      <c r="O78" s="9">
        <f>IF(OR(G78="",N78=""),"",MIN(MAX(G78,'Léeme'!$B$11),'Léeme'!$B$12,N78-'Léeme'!$B$16))</f>
        <v/>
      </c>
      <c r="P78" s="16">
        <f>IF(OR(D78="",O78=""),"",IFERROR(IF(D78&lt;=0,"",D78*(1+O78)/(N78-O78)),""))</f>
        <v/>
      </c>
      <c r="Q78" s="9">
        <f>IF(H78="","",MIN(MAX(H78,'Léeme'!$B$13),'Léeme'!$B$14))</f>
        <v/>
      </c>
      <c r="R78" s="9">
        <f>IF(N78="","",MIN('Léeme'!$B$15,N78-'Léeme'!$B$16))</f>
        <v/>
      </c>
      <c r="S78" s="16">
        <f>IF(OR(E78="",Q78=""),"",IFERROR(IF(E78&lt;=0,"",E78*(((1+Q78)/(1+N78))+((1+Q78)/(1+N78))^2+((1+Q78)/(1+N78))^3+((1+Q78)/(1+N78))^4+((1+Q78)/(1+N78))^5)+E78*(1+Q78)^5*(1+R78)/((N78-R78)*(1+N78)^5)),""))</f>
        <v/>
      </c>
      <c r="T78" s="9">
        <f>IF(OR(E78="",N78=""),"",IFERROR((C78*N78-E78)/(C78+E78),""))</f>
        <v/>
      </c>
      <c r="U78" s="9">
        <f>IF(OR(H78="",T78=""),"",IFERROR(MIN(MAX(H78,'Léeme'!$B$17),'Léeme'!$B$18)-T78,""))</f>
        <v/>
      </c>
      <c r="V78" s="16">
        <f>IF(OR(I78="",M78="",L78=""),"",IFERROR((I78/M78-J78-K78)/L78,""))</f>
        <v/>
      </c>
      <c r="W78" s="11">
        <f>IFERROR(P78/C78-1,"")</f>
        <v/>
      </c>
      <c r="X78" s="11">
        <f>IFERROR(S78/C78-1,"")</f>
        <v/>
      </c>
      <c r="Y78" s="11">
        <f>IFERROR(V78/C78-1,"")</f>
        <v/>
      </c>
      <c r="Z78" s="3">
        <f>IF(OR(W78="",ISTEXT(W78)),"sin dato",IF(W78&gt;='Léeme'!$B$19,"barato",IF(W78&lt;=-'Léeme'!$B$19,"caro","medio")))</f>
        <v/>
      </c>
      <c r="AA78" s="3">
        <f>IF(OR(X78="",ISTEXT(X78)),"sin dato",IF(X78&gt;='Léeme'!$B$19,"barato",IF(X78&lt;=-'Léeme'!$B$19,"caro","medio")))</f>
        <v/>
      </c>
      <c r="AB78" s="3">
        <f>IF(OR(U78="",ISTEXT(U78)),"sin dato",IF(U78&gt;='Léeme'!$B$20,"barato",IF(U78&lt;=-'Léeme'!$B$20,"caro","medio")))</f>
        <v/>
      </c>
      <c r="AC78" s="3">
        <f>IF(OR(Y78="",ISTEXT(Y78)),"sin dato",IF(Y78&gt;='Léeme'!$B$19,"barato",IF(Y78&lt;=-'Léeme'!$B$19,"caro","medio")))</f>
        <v/>
      </c>
      <c r="AD78" s="7" t="n">
        <v>0.7982456140350878</v>
      </c>
      <c r="AE78" s="7" t="n">
        <v>0.05414012738853503</v>
      </c>
      <c r="AF78" s="7" t="n">
        <v>0.04140127388535032</v>
      </c>
      <c r="AG78" s="7" t="n"/>
    </row>
    <row r="79">
      <c r="A79" s="3" t="inlineStr">
        <is>
          <t>2011-T2</t>
        </is>
      </c>
      <c r="B79" s="13" t="n">
        <v>40724</v>
      </c>
      <c r="C79" s="14" t="n">
        <v>24.51</v>
      </c>
      <c r="D79" s="14" t="n">
        <v>1.52</v>
      </c>
      <c r="E79" s="14" t="n">
        <v>1.45</v>
      </c>
      <c r="F79" s="5" t="n">
        <v>0.0318</v>
      </c>
      <c r="G79" s="5" t="n">
        <v>0.03176323168800477</v>
      </c>
      <c r="H79" s="5" t="n">
        <v>-0.006757375894498652</v>
      </c>
      <c r="N79" s="9">
        <f>IF(F79="","",F79+'Léeme'!$B$10)</f>
        <v/>
      </c>
      <c r="O79" s="9">
        <f>IF(OR(G79="",N79=""),"",MIN(MAX(G79,'Léeme'!$B$11),'Léeme'!$B$12,N79-'Léeme'!$B$16))</f>
        <v/>
      </c>
      <c r="P79" s="16">
        <f>IF(OR(D79="",O79=""),"",IFERROR(IF(D79&lt;=0,"",D79*(1+O79)/(N79-O79)),""))</f>
        <v/>
      </c>
      <c r="Q79" s="9">
        <f>IF(H79="","",MIN(MAX(H79,'Léeme'!$B$13),'Léeme'!$B$14))</f>
        <v/>
      </c>
      <c r="R79" s="9">
        <f>IF(N79="","",MIN('Léeme'!$B$15,N79-'Léeme'!$B$16))</f>
        <v/>
      </c>
      <c r="S79" s="16">
        <f>IF(OR(E79="",Q79=""),"",IFERROR(IF(E79&lt;=0,"",E79*(((1+Q79)/(1+N79))+((1+Q79)/(1+N79))^2+((1+Q79)/(1+N79))^3+((1+Q79)/(1+N79))^4+((1+Q79)/(1+N79))^5)+E79*(1+Q79)^5*(1+R79)/((N79-R79)*(1+N79)^5)),""))</f>
        <v/>
      </c>
      <c r="T79" s="9">
        <f>IF(OR(E79="",N79=""),"",IFERROR((C79*N79-E79)/(C79+E79),""))</f>
        <v/>
      </c>
      <c r="U79" s="9">
        <f>IF(OR(H79="",T79=""),"",IFERROR(MIN(MAX(H79,'Léeme'!$B$17),'Léeme'!$B$18)-T79,""))</f>
        <v/>
      </c>
      <c r="V79" s="16">
        <f>IF(OR(I79="",M79="",L79=""),"",IFERROR((I79/M79-J79-K79)/L79,""))</f>
        <v/>
      </c>
      <c r="W79" s="11">
        <f>IFERROR(P79/C79-1,"")</f>
        <v/>
      </c>
      <c r="X79" s="11">
        <f>IFERROR(S79/C79-1,"")</f>
        <v/>
      </c>
      <c r="Y79" s="11">
        <f>IFERROR(V79/C79-1,"")</f>
        <v/>
      </c>
      <c r="Z79" s="3">
        <f>IF(OR(W79="",ISTEXT(W79)),"sin dato",IF(W79&gt;='Léeme'!$B$19,"barato",IF(W79&lt;=-'Léeme'!$B$19,"caro","medio")))</f>
        <v/>
      </c>
      <c r="AA79" s="3">
        <f>IF(OR(X79="",ISTEXT(X79)),"sin dato",IF(X79&gt;='Léeme'!$B$19,"barato",IF(X79&lt;=-'Léeme'!$B$19,"caro","medio")))</f>
        <v/>
      </c>
      <c r="AB79" s="3">
        <f>IF(OR(U79="",ISTEXT(U79)),"sin dato",IF(U79&gt;='Léeme'!$B$20,"barato",IF(U79&lt;=-'Léeme'!$B$20,"caro","medio")))</f>
        <v/>
      </c>
      <c r="AC79" s="3">
        <f>IF(OR(Y79="",ISTEXT(Y79)),"sin dato",IF(Y79&gt;='Léeme'!$B$19,"barato",IF(Y79&lt;=-'Léeme'!$B$19,"caro","medio")))</f>
        <v/>
      </c>
      <c r="AD79" s="7" t="n">
        <v>0.8879310344827587</v>
      </c>
      <c r="AE79" s="7" t="n">
        <v>0.190625</v>
      </c>
      <c r="AF79" s="7" t="n">
        <v>0.103125</v>
      </c>
      <c r="AG79" s="7" t="n"/>
    </row>
    <row r="80">
      <c r="A80" s="3" t="inlineStr">
        <is>
          <t>2011-T3</t>
        </is>
      </c>
      <c r="B80" s="13" t="n">
        <v>40816</v>
      </c>
      <c r="C80" s="14" t="n">
        <v>26.870001</v>
      </c>
      <c r="D80" s="14" t="n">
        <v>1.54</v>
      </c>
      <c r="E80" s="14" t="n">
        <v>1.45</v>
      </c>
      <c r="F80" s="5" t="n">
        <v>0.0192</v>
      </c>
      <c r="G80" s="5" t="n">
        <v>0.02821322258615888</v>
      </c>
      <c r="H80" s="5" t="n">
        <v>-0.006757375894498652</v>
      </c>
      <c r="N80" s="9">
        <f>IF(F80="","",F80+'Léeme'!$B$10)</f>
        <v/>
      </c>
      <c r="O80" s="9">
        <f>IF(OR(G80="",N80=""),"",MIN(MAX(G80,'Léeme'!$B$11),'Léeme'!$B$12,N80-'Léeme'!$B$16))</f>
        <v/>
      </c>
      <c r="P80" s="16">
        <f>IF(OR(D80="",O80=""),"",IFERROR(IF(D80&lt;=0,"",D80*(1+O80)/(N80-O80)),""))</f>
        <v/>
      </c>
      <c r="Q80" s="9">
        <f>IF(H80="","",MIN(MAX(H80,'Léeme'!$B$13),'Léeme'!$B$14))</f>
        <v/>
      </c>
      <c r="R80" s="9">
        <f>IF(N80="","",MIN('Léeme'!$B$15,N80-'Léeme'!$B$16))</f>
        <v/>
      </c>
      <c r="S80" s="16">
        <f>IF(OR(E80="",Q80=""),"",IFERROR(IF(E80&lt;=0,"",E80*(((1+Q80)/(1+N80))+((1+Q80)/(1+N80))^2+((1+Q80)/(1+N80))^3+((1+Q80)/(1+N80))^4+((1+Q80)/(1+N80))^5)+E80*(1+Q80)^5*(1+R80)/((N80-R80)*(1+N80)^5)),""))</f>
        <v/>
      </c>
      <c r="T80" s="9">
        <f>IF(OR(E80="",N80=""),"",IFERROR((C80*N80-E80)/(C80+E80),""))</f>
        <v/>
      </c>
      <c r="U80" s="9">
        <f>IF(OR(H80="",T80=""),"",IFERROR(MIN(MAX(H80,'Léeme'!$B$17),'Léeme'!$B$18)-T80,""))</f>
        <v/>
      </c>
      <c r="V80" s="16">
        <f>IF(OR(I80="",M80="",L80=""),"",IFERROR((I80/M80-J80-K80)/L80,""))</f>
        <v/>
      </c>
      <c r="W80" s="11">
        <f>IFERROR(P80/C80-1,"")</f>
        <v/>
      </c>
      <c r="X80" s="11">
        <f>IFERROR(S80/C80-1,"")</f>
        <v/>
      </c>
      <c r="Y80" s="11">
        <f>IFERROR(V80/C80-1,"")</f>
        <v/>
      </c>
      <c r="Z80" s="3">
        <f>IF(OR(W80="",ISTEXT(W80)),"sin dato",IF(W80&gt;='Léeme'!$B$19,"barato",IF(W80&lt;=-'Léeme'!$B$19,"caro","medio")))</f>
        <v/>
      </c>
      <c r="AA80" s="3">
        <f>IF(OR(X80="",ISTEXT(X80)),"sin dato",IF(X80&gt;='Léeme'!$B$19,"barato",IF(X80&lt;=-'Léeme'!$B$19,"caro","medio")))</f>
        <v/>
      </c>
      <c r="AB80" s="3">
        <f>IF(OR(U80="",ISTEXT(U80)),"sin dato",IF(U80&gt;='Léeme'!$B$20,"barato",IF(U80&lt;=-'Léeme'!$B$20,"caro","medio")))</f>
        <v/>
      </c>
      <c r="AC80" s="3">
        <f>IF(OR(Y80="",ISTEXT(Y80)),"sin dato",IF(Y80&gt;='Léeme'!$B$19,"barato",IF(Y80&lt;=-'Léeme'!$B$19,"caro","medio")))</f>
        <v/>
      </c>
      <c r="AD80" s="7" t="n">
        <v>0.963276836158192</v>
      </c>
      <c r="AE80" s="7" t="n">
        <v>0.4938650306748466</v>
      </c>
      <c r="AF80" s="7" t="n">
        <v>0.1441717791411043</v>
      </c>
      <c r="AG80" s="7" t="n"/>
    </row>
    <row r="81">
      <c r="A81" s="3" t="inlineStr">
        <is>
          <t>2011-T4</t>
        </is>
      </c>
      <c r="B81" s="13" t="n">
        <v>40907</v>
      </c>
      <c r="C81" s="14" t="n">
        <v>26.379999</v>
      </c>
      <c r="D81" s="14" t="n">
        <v>1.54</v>
      </c>
      <c r="E81" s="14" t="n">
        <v>1.45</v>
      </c>
      <c r="F81" s="5" t="n">
        <v>0.0189</v>
      </c>
      <c r="G81" s="5" t="n">
        <v>0.02821322258615888</v>
      </c>
      <c r="H81" s="5" t="n">
        <v>-0.006757375894498652</v>
      </c>
      <c r="N81" s="9">
        <f>IF(F81="","",F81+'Léeme'!$B$10)</f>
        <v/>
      </c>
      <c r="O81" s="9">
        <f>IF(OR(G81="",N81=""),"",MIN(MAX(G81,'Léeme'!$B$11),'Léeme'!$B$12,N81-'Léeme'!$B$16))</f>
        <v/>
      </c>
      <c r="P81" s="16">
        <f>IF(OR(D81="",O81=""),"",IFERROR(IF(D81&lt;=0,"",D81*(1+O81)/(N81-O81)),""))</f>
        <v/>
      </c>
      <c r="Q81" s="9">
        <f>IF(H81="","",MIN(MAX(H81,'Léeme'!$B$13),'Léeme'!$B$14))</f>
        <v/>
      </c>
      <c r="R81" s="9">
        <f>IF(N81="","",MIN('Léeme'!$B$15,N81-'Léeme'!$B$16))</f>
        <v/>
      </c>
      <c r="S81" s="16">
        <f>IF(OR(E81="",Q81=""),"",IFERROR(IF(E81&lt;=0,"",E81*(((1+Q81)/(1+N81))+((1+Q81)/(1+N81))^2+((1+Q81)/(1+N81))^3+((1+Q81)/(1+N81))^4+((1+Q81)/(1+N81))^5)+E81*(1+Q81)^5*(1+R81)/((N81-R81)*(1+N81)^5)),""))</f>
        <v/>
      </c>
      <c r="T81" s="9">
        <f>IF(OR(E81="",N81=""),"",IFERROR((C81*N81-E81)/(C81+E81),""))</f>
        <v/>
      </c>
      <c r="U81" s="9">
        <f>IF(OR(H81="",T81=""),"",IFERROR(MIN(MAX(H81,'Léeme'!$B$17),'Léeme'!$B$18)-T81,""))</f>
        <v/>
      </c>
      <c r="V81" s="16">
        <f>IF(OR(I81="",M81="",L81=""),"",IFERROR((I81/M81-J81-K81)/L81,""))</f>
        <v/>
      </c>
      <c r="W81" s="11">
        <f>IFERROR(P81/C81-1,"")</f>
        <v/>
      </c>
      <c r="X81" s="11">
        <f>IFERROR(S81/C81-1,"")</f>
        <v/>
      </c>
      <c r="Y81" s="11">
        <f>IFERROR(V81/C81-1,"")</f>
        <v/>
      </c>
      <c r="Z81" s="3">
        <f>IF(OR(W81="",ISTEXT(W81)),"sin dato",IF(W81&gt;='Léeme'!$B$19,"barato",IF(W81&lt;=-'Léeme'!$B$19,"caro","medio")))</f>
        <v/>
      </c>
      <c r="AA81" s="3">
        <f>IF(OR(X81="",ISTEXT(X81)),"sin dato",IF(X81&gt;='Léeme'!$B$19,"barato",IF(X81&lt;=-'Léeme'!$B$19,"caro","medio")))</f>
        <v/>
      </c>
      <c r="AB81" s="3">
        <f>IF(OR(U81="",ISTEXT(U81)),"sin dato",IF(U81&gt;='Léeme'!$B$20,"barato",IF(U81&lt;=-'Léeme'!$B$20,"caro","medio")))</f>
        <v/>
      </c>
      <c r="AC81" s="3">
        <f>IF(OR(Y81="",ISTEXT(Y81)),"sin dato",IF(Y81&gt;='Léeme'!$B$19,"barato",IF(Y81&lt;=-'Léeme'!$B$19,"caro","medio")))</f>
        <v/>
      </c>
      <c r="AD81" s="7" t="n">
        <v>0.9638888888888889</v>
      </c>
      <c r="AE81" s="7" t="n">
        <v>0.5090361445783133</v>
      </c>
      <c r="AF81" s="7" t="n">
        <v>0.177710843373494</v>
      </c>
      <c r="AG81" s="7" t="n"/>
    </row>
    <row r="82">
      <c r="A82" s="3" t="inlineStr">
        <is>
          <t>2012-T1</t>
        </is>
      </c>
      <c r="B82" s="13" t="n">
        <v>40998</v>
      </c>
      <c r="C82" s="14" t="n">
        <v>27.190001</v>
      </c>
      <c r="D82" s="14" t="n">
        <v>1.54</v>
      </c>
      <c r="E82" s="14" t="n">
        <v>1.57</v>
      </c>
      <c r="F82" s="5" t="n">
        <v>0.0223</v>
      </c>
      <c r="G82" s="5" t="n">
        <v>0.02821322258615888</v>
      </c>
      <c r="H82" s="5" t="n">
        <v>-0.01227365803111868</v>
      </c>
      <c r="N82" s="9">
        <f>IF(F82="","",F82+'Léeme'!$B$10)</f>
        <v/>
      </c>
      <c r="O82" s="9">
        <f>IF(OR(G82="",N82=""),"",MIN(MAX(G82,'Léeme'!$B$11),'Léeme'!$B$12,N82-'Léeme'!$B$16))</f>
        <v/>
      </c>
      <c r="P82" s="16">
        <f>IF(OR(D82="",O82=""),"",IFERROR(IF(D82&lt;=0,"",D82*(1+O82)/(N82-O82)),""))</f>
        <v/>
      </c>
      <c r="Q82" s="9">
        <f>IF(H82="","",MIN(MAX(H82,'Léeme'!$B$13),'Léeme'!$B$14))</f>
        <v/>
      </c>
      <c r="R82" s="9">
        <f>IF(N82="","",MIN('Léeme'!$B$15,N82-'Léeme'!$B$16))</f>
        <v/>
      </c>
      <c r="S82" s="16">
        <f>IF(OR(E82="",Q82=""),"",IFERROR(IF(E82&lt;=0,"",E82*(((1+Q82)/(1+N82))+((1+Q82)/(1+N82))^2+((1+Q82)/(1+N82))^3+((1+Q82)/(1+N82))^4+((1+Q82)/(1+N82))^5)+E82*(1+Q82)^5*(1+R82)/((N82-R82)*(1+N82)^5)),""))</f>
        <v/>
      </c>
      <c r="T82" s="9">
        <f>IF(OR(E82="",N82=""),"",IFERROR((C82*N82-E82)/(C82+E82),""))</f>
        <v/>
      </c>
      <c r="U82" s="9">
        <f>IF(OR(H82="",T82=""),"",IFERROR(MIN(MAX(H82,'Léeme'!$B$17),'Léeme'!$B$18)-T82,""))</f>
        <v/>
      </c>
      <c r="V82" s="16">
        <f>IF(OR(I82="",M82="",L82=""),"",IFERROR((I82/M82-J82-K82)/L82,""))</f>
        <v/>
      </c>
      <c r="W82" s="11">
        <f>IFERROR(P82/C82-1,"")</f>
        <v/>
      </c>
      <c r="X82" s="11">
        <f>IFERROR(S82/C82-1,"")</f>
        <v/>
      </c>
      <c r="Y82" s="11">
        <f>IFERROR(V82/C82-1,"")</f>
        <v/>
      </c>
      <c r="Z82" s="3">
        <f>IF(OR(W82="",ISTEXT(W82)),"sin dato",IF(W82&gt;='Léeme'!$B$19,"barato",IF(W82&lt;=-'Léeme'!$B$19,"caro","medio")))</f>
        <v/>
      </c>
      <c r="AA82" s="3">
        <f>IF(OR(X82="",ISTEXT(X82)),"sin dato",IF(X82&gt;='Léeme'!$B$19,"barato",IF(X82&lt;=-'Léeme'!$B$19,"caro","medio")))</f>
        <v/>
      </c>
      <c r="AB82" s="3">
        <f>IF(OR(U82="",ISTEXT(U82)),"sin dato",IF(U82&gt;='Léeme'!$B$20,"barato",IF(U82&lt;=-'Léeme'!$B$20,"caro","medio")))</f>
        <v/>
      </c>
      <c r="AC82" s="3">
        <f>IF(OR(Y82="",ISTEXT(Y82)),"sin dato",IF(Y82&gt;='Léeme'!$B$19,"barato",IF(Y82&lt;=-'Léeme'!$B$19,"caro","medio")))</f>
        <v/>
      </c>
      <c r="AD82" s="7" t="n">
        <v>0.9043715846994536</v>
      </c>
      <c r="AE82" s="7" t="n">
        <v>0.4585798816568047</v>
      </c>
      <c r="AF82" s="7" t="n">
        <v>0.1153846153846154</v>
      </c>
      <c r="AG82" s="7" t="n"/>
    </row>
    <row r="83">
      <c r="A83" s="3" t="inlineStr">
        <is>
          <t>2012-T2</t>
        </is>
      </c>
      <c r="B83" s="13" t="n">
        <v>41089</v>
      </c>
      <c r="C83" s="14" t="n">
        <v>28.290001</v>
      </c>
      <c r="D83" s="14" t="n">
        <v>1.54</v>
      </c>
      <c r="E83" s="14" t="n">
        <v>1.57</v>
      </c>
      <c r="F83" s="5" t="n">
        <v>0.0167</v>
      </c>
      <c r="G83" s="5" t="n">
        <v>0.0163574508278137</v>
      </c>
      <c r="H83" s="5" t="n">
        <v>-0.01227365803111868</v>
      </c>
      <c r="N83" s="9">
        <f>IF(F83="","",F83+'Léeme'!$B$10)</f>
        <v/>
      </c>
      <c r="O83" s="9">
        <f>IF(OR(G83="",N83=""),"",MIN(MAX(G83,'Léeme'!$B$11),'Léeme'!$B$12,N83-'Léeme'!$B$16))</f>
        <v/>
      </c>
      <c r="P83" s="16">
        <f>IF(OR(D83="",O83=""),"",IFERROR(IF(D83&lt;=0,"",D83*(1+O83)/(N83-O83)),""))</f>
        <v/>
      </c>
      <c r="Q83" s="9">
        <f>IF(H83="","",MIN(MAX(H83,'Léeme'!$B$13),'Léeme'!$B$14))</f>
        <v/>
      </c>
      <c r="R83" s="9">
        <f>IF(N83="","",MIN('Léeme'!$B$15,N83-'Léeme'!$B$16))</f>
        <v/>
      </c>
      <c r="S83" s="16">
        <f>IF(OR(E83="",Q83=""),"",IFERROR(IF(E83&lt;=0,"",E83*(((1+Q83)/(1+N83))+((1+Q83)/(1+N83))^2+((1+Q83)/(1+N83))^3+((1+Q83)/(1+N83))^4+((1+Q83)/(1+N83))^5)+E83*(1+Q83)^5*(1+R83)/((N83-R83)*(1+N83)^5)),""))</f>
        <v/>
      </c>
      <c r="T83" s="9">
        <f>IF(OR(E83="",N83=""),"",IFERROR((C83*N83-E83)/(C83+E83),""))</f>
        <v/>
      </c>
      <c r="U83" s="9">
        <f>IF(OR(H83="",T83=""),"",IFERROR(MIN(MAX(H83,'Léeme'!$B$17),'Léeme'!$B$18)-T83,""))</f>
        <v/>
      </c>
      <c r="V83" s="16">
        <f>IF(OR(I83="",M83="",L83=""),"",IFERROR((I83/M83-J83-K83)/L83,""))</f>
        <v/>
      </c>
      <c r="W83" s="11">
        <f>IFERROR(P83/C83-1,"")</f>
        <v/>
      </c>
      <c r="X83" s="11">
        <f>IFERROR(S83/C83-1,"")</f>
        <v/>
      </c>
      <c r="Y83" s="11">
        <f>IFERROR(V83/C83-1,"")</f>
        <v/>
      </c>
      <c r="Z83" s="3">
        <f>IF(OR(W83="",ISTEXT(W83)),"sin dato",IF(W83&gt;='Léeme'!$B$19,"barato",IF(W83&lt;=-'Léeme'!$B$19,"caro","medio")))</f>
        <v/>
      </c>
      <c r="AA83" s="3">
        <f>IF(OR(X83="",ISTEXT(X83)),"sin dato",IF(X83&gt;='Léeme'!$B$19,"barato",IF(X83&lt;=-'Léeme'!$B$19,"caro","medio")))</f>
        <v/>
      </c>
      <c r="AB83" s="3">
        <f>IF(OR(U83="",ISTEXT(U83)),"sin dato",IF(U83&gt;='Léeme'!$B$20,"barato",IF(U83&lt;=-'Léeme'!$B$20,"caro","medio")))</f>
        <v/>
      </c>
      <c r="AC83" s="3">
        <f>IF(OR(Y83="",ISTEXT(Y83)),"sin dato",IF(Y83&gt;='Léeme'!$B$19,"barato",IF(Y83&lt;=-'Léeme'!$B$19,"caro","medio")))</f>
        <v/>
      </c>
      <c r="AD83" s="7" t="n">
        <v>0.7446236559139785</v>
      </c>
      <c r="AE83" s="7" t="n">
        <v>0.6133720930232558</v>
      </c>
      <c r="AF83" s="7" t="n">
        <v>0.1482558139534884</v>
      </c>
      <c r="AG83" s="7" t="n"/>
    </row>
    <row r="84">
      <c r="A84" s="3" t="inlineStr">
        <is>
          <t>2012-T3</t>
        </is>
      </c>
      <c r="B84" s="13" t="n">
        <v>41180</v>
      </c>
      <c r="C84" s="14" t="n">
        <v>30.5</v>
      </c>
      <c r="D84" s="14" t="n">
        <v>1.58</v>
      </c>
      <c r="E84" s="14" t="n">
        <v>1.57</v>
      </c>
      <c r="F84" s="5" t="n">
        <v>0.0165</v>
      </c>
      <c r="G84" s="5" t="n">
        <v>0.02158321458478407</v>
      </c>
      <c r="H84" s="5" t="n">
        <v>-0.01227365803111868</v>
      </c>
      <c r="N84" s="9">
        <f>IF(F84="","",F84+'Léeme'!$B$10)</f>
        <v/>
      </c>
      <c r="O84" s="9">
        <f>IF(OR(G84="",N84=""),"",MIN(MAX(G84,'Léeme'!$B$11),'Léeme'!$B$12,N84-'Léeme'!$B$16))</f>
        <v/>
      </c>
      <c r="P84" s="16">
        <f>IF(OR(D84="",O84=""),"",IFERROR(IF(D84&lt;=0,"",D84*(1+O84)/(N84-O84)),""))</f>
        <v/>
      </c>
      <c r="Q84" s="9">
        <f>IF(H84="","",MIN(MAX(H84,'Léeme'!$B$13),'Léeme'!$B$14))</f>
        <v/>
      </c>
      <c r="R84" s="9">
        <f>IF(N84="","",MIN('Léeme'!$B$15,N84-'Léeme'!$B$16))</f>
        <v/>
      </c>
      <c r="S84" s="16">
        <f>IF(OR(E84="",Q84=""),"",IFERROR(IF(E84&lt;=0,"",E84*(((1+Q84)/(1+N84))+((1+Q84)/(1+N84))^2+((1+Q84)/(1+N84))^3+((1+Q84)/(1+N84))^4+((1+Q84)/(1+N84))^5)+E84*(1+Q84)^5*(1+R84)/((N84-R84)*(1+N84)^5)),""))</f>
        <v/>
      </c>
      <c r="T84" s="9">
        <f>IF(OR(E84="",N84=""),"",IFERROR((C84*N84-E84)/(C84+E84),""))</f>
        <v/>
      </c>
      <c r="U84" s="9">
        <f>IF(OR(H84="",T84=""),"",IFERROR(MIN(MAX(H84,'Léeme'!$B$17),'Léeme'!$B$18)-T84,""))</f>
        <v/>
      </c>
      <c r="V84" s="16">
        <f>IF(OR(I84="",M84="",L84=""),"",IFERROR((I84/M84-J84-K84)/L84,""))</f>
        <v/>
      </c>
      <c r="W84" s="11">
        <f>IFERROR(P84/C84-1,"")</f>
        <v/>
      </c>
      <c r="X84" s="11">
        <f>IFERROR(S84/C84-1,"")</f>
        <v/>
      </c>
      <c r="Y84" s="11">
        <f>IFERROR(V84/C84-1,"")</f>
        <v/>
      </c>
      <c r="Z84" s="3">
        <f>IF(OR(W84="",ISTEXT(W84)),"sin dato",IF(W84&gt;='Léeme'!$B$19,"barato",IF(W84&lt;=-'Léeme'!$B$19,"caro","medio")))</f>
        <v/>
      </c>
      <c r="AA84" s="3">
        <f>IF(OR(X84="",ISTEXT(X84)),"sin dato",IF(X84&gt;='Léeme'!$B$19,"barato",IF(X84&lt;=-'Léeme'!$B$19,"caro","medio")))</f>
        <v/>
      </c>
      <c r="AB84" s="3">
        <f>IF(OR(U84="",ISTEXT(U84)),"sin dato",IF(U84&gt;='Léeme'!$B$20,"barato",IF(U84&lt;=-'Léeme'!$B$20,"caro","medio")))</f>
        <v/>
      </c>
      <c r="AC84" s="3">
        <f>IF(OR(Y84="",ISTEXT(Y84)),"sin dato",IF(Y84&gt;='Léeme'!$B$19,"barato",IF(Y84&lt;=-'Léeme'!$B$19,"caro","medio")))</f>
        <v/>
      </c>
      <c r="AD84" s="7" t="n">
        <v>0.8386243386243386</v>
      </c>
      <c r="AE84" s="7" t="n">
        <v>0.5114285714285715</v>
      </c>
      <c r="AF84" s="7" t="n">
        <v>0.1114285714285714</v>
      </c>
      <c r="AG84" s="7" t="n"/>
    </row>
    <row r="85">
      <c r="A85" s="3" t="inlineStr">
        <is>
          <t>2012-T4</t>
        </is>
      </c>
      <c r="B85" s="13" t="n">
        <v>41274</v>
      </c>
      <c r="C85" s="14" t="n">
        <v>31.200001</v>
      </c>
      <c r="D85" s="14" t="n">
        <v>1.58</v>
      </c>
      <c r="E85" s="14" t="n">
        <v>1.57</v>
      </c>
      <c r="F85" s="5" t="n">
        <v>0.0178</v>
      </c>
      <c r="G85" s="5" t="n">
        <v>0.02158321458478407</v>
      </c>
      <c r="H85" s="5" t="n">
        <v>-0.01227365803111868</v>
      </c>
      <c r="N85" s="9">
        <f>IF(F85="","",F85+'Léeme'!$B$10)</f>
        <v/>
      </c>
      <c r="O85" s="9">
        <f>IF(OR(G85="",N85=""),"",MIN(MAX(G85,'Léeme'!$B$11),'Léeme'!$B$12,N85-'Léeme'!$B$16))</f>
        <v/>
      </c>
      <c r="P85" s="16">
        <f>IF(OR(D85="",O85=""),"",IFERROR(IF(D85&lt;=0,"",D85*(1+O85)/(N85-O85)),""))</f>
        <v/>
      </c>
      <c r="Q85" s="9">
        <f>IF(H85="","",MIN(MAX(H85,'Léeme'!$B$13),'Léeme'!$B$14))</f>
        <v/>
      </c>
      <c r="R85" s="9">
        <f>IF(N85="","",MIN('Léeme'!$B$15,N85-'Léeme'!$B$16))</f>
        <v/>
      </c>
      <c r="S85" s="16">
        <f>IF(OR(E85="",Q85=""),"",IFERROR(IF(E85&lt;=0,"",E85*(((1+Q85)/(1+N85))+((1+Q85)/(1+N85))^2+((1+Q85)/(1+N85))^3+((1+Q85)/(1+N85))^4+((1+Q85)/(1+N85))^5)+E85*(1+Q85)^5*(1+R85)/((N85-R85)*(1+N85)^5)),""))</f>
        <v/>
      </c>
      <c r="T85" s="9">
        <f>IF(OR(E85="",N85=""),"",IFERROR((C85*N85-E85)/(C85+E85),""))</f>
        <v/>
      </c>
      <c r="U85" s="9">
        <f>IF(OR(H85="",T85=""),"",IFERROR(MIN(MAX(H85,'Léeme'!$B$17),'Léeme'!$B$18)-T85,""))</f>
        <v/>
      </c>
      <c r="V85" s="16">
        <f>IF(OR(I85="",M85="",L85=""),"",IFERROR((I85/M85-J85-K85)/L85,""))</f>
        <v/>
      </c>
      <c r="W85" s="11">
        <f>IFERROR(P85/C85-1,"")</f>
        <v/>
      </c>
      <c r="X85" s="11">
        <f>IFERROR(S85/C85-1,"")</f>
        <v/>
      </c>
      <c r="Y85" s="11">
        <f>IFERROR(V85/C85-1,"")</f>
        <v/>
      </c>
      <c r="Z85" s="3">
        <f>IF(OR(W85="",ISTEXT(W85)),"sin dato",IF(W85&gt;='Léeme'!$B$19,"barato",IF(W85&lt;=-'Léeme'!$B$19,"caro","medio")))</f>
        <v/>
      </c>
      <c r="AA85" s="3">
        <f>IF(OR(X85="",ISTEXT(X85)),"sin dato",IF(X85&gt;='Léeme'!$B$19,"barato",IF(X85&lt;=-'Léeme'!$B$19,"caro","medio")))</f>
        <v/>
      </c>
      <c r="AB85" s="3">
        <f>IF(OR(U85="",ISTEXT(U85)),"sin dato",IF(U85&gt;='Léeme'!$B$20,"barato",IF(U85&lt;=-'Léeme'!$B$20,"caro","medio")))</f>
        <v/>
      </c>
      <c r="AC85" s="3">
        <f>IF(OR(Y85="",ISTEXT(Y85)),"sin dato",IF(Y85&gt;='Léeme'!$B$19,"barato",IF(Y85&lt;=-'Léeme'!$B$19,"caro","medio")))</f>
        <v/>
      </c>
      <c r="AD85" s="7" t="n">
        <v>0.7942708333333334</v>
      </c>
      <c r="AE85" s="7" t="n">
        <v>0.4410112359550562</v>
      </c>
      <c r="AF85" s="7" t="n">
        <v>0.1039325842696629</v>
      </c>
      <c r="AG85" s="7" t="n"/>
    </row>
    <row r="86">
      <c r="A86" s="3" t="inlineStr">
        <is>
          <t>2013-T1</t>
        </is>
      </c>
      <c r="B86" s="13" t="n">
        <v>41361</v>
      </c>
      <c r="C86" s="14" t="n">
        <v>36.169998</v>
      </c>
      <c r="D86" s="14" t="n">
        <v>1.58</v>
      </c>
      <c r="E86" s="14" t="n">
        <v>1.77</v>
      </c>
      <c r="F86" s="5" t="n">
        <v>0.0187</v>
      </c>
      <c r="G86" s="5" t="n">
        <v>0.02158321458478407</v>
      </c>
      <c r="H86" s="5" t="n">
        <v>-0.01093158800624383</v>
      </c>
      <c r="N86" s="9">
        <f>IF(F86="","",F86+'Léeme'!$B$10)</f>
        <v/>
      </c>
      <c r="O86" s="9">
        <f>IF(OR(G86="",N86=""),"",MIN(MAX(G86,'Léeme'!$B$11),'Léeme'!$B$12,N86-'Léeme'!$B$16))</f>
        <v/>
      </c>
      <c r="P86" s="16">
        <f>IF(OR(D86="",O86=""),"",IFERROR(IF(D86&lt;=0,"",D86*(1+O86)/(N86-O86)),""))</f>
        <v/>
      </c>
      <c r="Q86" s="9">
        <f>IF(H86="","",MIN(MAX(H86,'Léeme'!$B$13),'Léeme'!$B$14))</f>
        <v/>
      </c>
      <c r="R86" s="9">
        <f>IF(N86="","",MIN('Léeme'!$B$15,N86-'Léeme'!$B$16))</f>
        <v/>
      </c>
      <c r="S86" s="16">
        <f>IF(OR(E86="",Q86=""),"",IFERROR(IF(E86&lt;=0,"",E86*(((1+Q86)/(1+N86))+((1+Q86)/(1+N86))^2+((1+Q86)/(1+N86))^3+((1+Q86)/(1+N86))^4+((1+Q86)/(1+N86))^5)+E86*(1+Q86)^5*(1+R86)/((N86-R86)*(1+N86)^5)),""))</f>
        <v/>
      </c>
      <c r="T86" s="9">
        <f>IF(OR(E86="",N86=""),"",IFERROR((C86*N86-E86)/(C86+E86),""))</f>
        <v/>
      </c>
      <c r="U86" s="9">
        <f>IF(OR(H86="",T86=""),"",IFERROR(MIN(MAX(H86,'Léeme'!$B$17),'Léeme'!$B$18)-T86,""))</f>
        <v/>
      </c>
      <c r="V86" s="16">
        <f>IF(OR(I86="",M86="",L86=""),"",IFERROR((I86/M86-J86-K86)/L86,""))</f>
        <v/>
      </c>
      <c r="W86" s="11">
        <f>IFERROR(P86/C86-1,"")</f>
        <v/>
      </c>
      <c r="X86" s="11">
        <f>IFERROR(S86/C86-1,"")</f>
        <v/>
      </c>
      <c r="Y86" s="11">
        <f>IFERROR(V86/C86-1,"")</f>
        <v/>
      </c>
      <c r="Z86" s="3">
        <f>IF(OR(W86="",ISTEXT(W86)),"sin dato",IF(W86&gt;='Léeme'!$B$19,"barato",IF(W86&lt;=-'Léeme'!$B$19,"caro","medio")))</f>
        <v/>
      </c>
      <c r="AA86" s="3">
        <f>IF(OR(X86="",ISTEXT(X86)),"sin dato",IF(X86&gt;='Léeme'!$B$19,"barato",IF(X86&lt;=-'Léeme'!$B$19,"caro","medio")))</f>
        <v/>
      </c>
      <c r="AB86" s="3">
        <f>IF(OR(U86="",ISTEXT(U86)),"sin dato",IF(U86&gt;='Léeme'!$B$20,"barato",IF(U86&lt;=-'Léeme'!$B$20,"caro","medio")))</f>
        <v/>
      </c>
      <c r="AC86" s="3">
        <f>IF(OR(Y86="",ISTEXT(Y86)),"sin dato",IF(Y86&gt;='Léeme'!$B$19,"barato",IF(Y86&lt;=-'Léeme'!$B$19,"caro","medio")))</f>
        <v/>
      </c>
      <c r="AD86" s="7" t="n">
        <v>0.6487179487179487</v>
      </c>
      <c r="AE86" s="7" t="n">
        <v>0.4060773480662984</v>
      </c>
      <c r="AF86" s="7" t="n">
        <v>0.1022099447513812</v>
      </c>
      <c r="AG86" s="7" t="n"/>
    </row>
    <row r="87">
      <c r="A87" s="3" t="inlineStr">
        <is>
          <t>2013-T2</t>
        </is>
      </c>
      <c r="B87" s="13" t="n">
        <v>41453</v>
      </c>
      <c r="C87" s="14" t="n">
        <v>34.400002</v>
      </c>
      <c r="D87" s="14" t="n">
        <v>1.58</v>
      </c>
      <c r="E87" s="14" t="n">
        <v>1.77</v>
      </c>
      <c r="F87" s="5" t="n">
        <v>0.0252</v>
      </c>
      <c r="G87" s="5" t="n">
        <v>0.01044613160468888</v>
      </c>
      <c r="H87" s="5" t="n">
        <v>-0.01093158800624383</v>
      </c>
      <c r="N87" s="9">
        <f>IF(F87="","",F87+'Léeme'!$B$10)</f>
        <v/>
      </c>
      <c r="O87" s="9">
        <f>IF(OR(G87="",N87=""),"",MIN(MAX(G87,'Léeme'!$B$11),'Léeme'!$B$12,N87-'Léeme'!$B$16))</f>
        <v/>
      </c>
      <c r="P87" s="16">
        <f>IF(OR(D87="",O87=""),"",IFERROR(IF(D87&lt;=0,"",D87*(1+O87)/(N87-O87)),""))</f>
        <v/>
      </c>
      <c r="Q87" s="9">
        <f>IF(H87="","",MIN(MAX(H87,'Léeme'!$B$13),'Léeme'!$B$14))</f>
        <v/>
      </c>
      <c r="R87" s="9">
        <f>IF(N87="","",MIN('Léeme'!$B$15,N87-'Léeme'!$B$16))</f>
        <v/>
      </c>
      <c r="S87" s="16">
        <f>IF(OR(E87="",Q87=""),"",IFERROR(IF(E87&lt;=0,"",E87*(((1+Q87)/(1+N87))+((1+Q87)/(1+N87))^2+((1+Q87)/(1+N87))^3+((1+Q87)/(1+N87))^4+((1+Q87)/(1+N87))^5)+E87*(1+Q87)^5*(1+R87)/((N87-R87)*(1+N87)^5)),""))</f>
        <v/>
      </c>
      <c r="T87" s="9">
        <f>IF(OR(E87="",N87=""),"",IFERROR((C87*N87-E87)/(C87+E87),""))</f>
        <v/>
      </c>
      <c r="U87" s="9">
        <f>IF(OR(H87="",T87=""),"",IFERROR(MIN(MAX(H87,'Léeme'!$B$17),'Léeme'!$B$18)-T87,""))</f>
        <v/>
      </c>
      <c r="V87" s="16">
        <f>IF(OR(I87="",M87="",L87=""),"",IFERROR((I87/M87-J87-K87)/L87,""))</f>
        <v/>
      </c>
      <c r="W87" s="11">
        <f>IFERROR(P87/C87-1,"")</f>
        <v/>
      </c>
      <c r="X87" s="11">
        <f>IFERROR(S87/C87-1,"")</f>
        <v/>
      </c>
      <c r="Y87" s="11">
        <f>IFERROR(V87/C87-1,"")</f>
        <v/>
      </c>
      <c r="Z87" s="3">
        <f>IF(OR(W87="",ISTEXT(W87)),"sin dato",IF(W87&gt;='Léeme'!$B$19,"barato",IF(W87&lt;=-'Léeme'!$B$19,"caro","medio")))</f>
        <v/>
      </c>
      <c r="AA87" s="3">
        <f>IF(OR(X87="",ISTEXT(X87)),"sin dato",IF(X87&gt;='Léeme'!$B$19,"barato",IF(X87&lt;=-'Léeme'!$B$19,"caro","medio")))</f>
        <v/>
      </c>
      <c r="AB87" s="3">
        <f>IF(OR(U87="",ISTEXT(U87)),"sin dato",IF(U87&gt;='Léeme'!$B$20,"barato",IF(U87&lt;=-'Léeme'!$B$20,"caro","medio")))</f>
        <v/>
      </c>
      <c r="AC87" s="3">
        <f>IF(OR(Y87="",ISTEXT(Y87)),"sin dato",IF(Y87&gt;='Léeme'!$B$19,"barato",IF(Y87&lt;=-'Léeme'!$B$19,"caro","medio")))</f>
        <v/>
      </c>
      <c r="AD87" s="7" t="n">
        <v>0.1186868686868687</v>
      </c>
      <c r="AE87" s="7" t="n">
        <v>0.2092391304347826</v>
      </c>
      <c r="AF87" s="7" t="n">
        <v>0.0516304347826087</v>
      </c>
      <c r="AG87" s="7" t="n"/>
    </row>
    <row r="88">
      <c r="A88" s="3" t="inlineStr">
        <is>
          <t>2013-T3</t>
        </is>
      </c>
      <c r="B88" s="13" t="n">
        <v>41547</v>
      </c>
      <c r="C88" s="14" t="n">
        <v>31.82</v>
      </c>
      <c r="D88" s="14" t="n">
        <v>1.62</v>
      </c>
      <c r="E88" s="14" t="n">
        <v>1.77</v>
      </c>
      <c r="F88" s="5" t="n">
        <v>0.0264</v>
      </c>
      <c r="G88" s="5" t="n">
        <v>0.01551127839748156</v>
      </c>
      <c r="H88" s="5" t="n">
        <v>-0.01093158800624383</v>
      </c>
      <c r="N88" s="9">
        <f>IF(F88="","",F88+'Léeme'!$B$10)</f>
        <v/>
      </c>
      <c r="O88" s="9">
        <f>IF(OR(G88="",N88=""),"",MIN(MAX(G88,'Léeme'!$B$11),'Léeme'!$B$12,N88-'Léeme'!$B$16))</f>
        <v/>
      </c>
      <c r="P88" s="16">
        <f>IF(OR(D88="",O88=""),"",IFERROR(IF(D88&lt;=0,"",D88*(1+O88)/(N88-O88)),""))</f>
        <v/>
      </c>
      <c r="Q88" s="9">
        <f>IF(H88="","",MIN(MAX(H88,'Léeme'!$B$13),'Léeme'!$B$14))</f>
        <v/>
      </c>
      <c r="R88" s="9">
        <f>IF(N88="","",MIN('Léeme'!$B$15,N88-'Léeme'!$B$16))</f>
        <v/>
      </c>
      <c r="S88" s="16">
        <f>IF(OR(E88="",Q88=""),"",IFERROR(IF(E88&lt;=0,"",E88*(((1+Q88)/(1+N88))+((1+Q88)/(1+N88))^2+((1+Q88)/(1+N88))^3+((1+Q88)/(1+N88))^4+((1+Q88)/(1+N88))^5)+E88*(1+Q88)^5*(1+R88)/((N88-R88)*(1+N88)^5)),""))</f>
        <v/>
      </c>
      <c r="T88" s="9">
        <f>IF(OR(E88="",N88=""),"",IFERROR((C88*N88-E88)/(C88+E88),""))</f>
        <v/>
      </c>
      <c r="U88" s="9">
        <f>IF(OR(H88="",T88=""),"",IFERROR(MIN(MAX(H88,'Léeme'!$B$17),'Léeme'!$B$18)-T88,""))</f>
        <v/>
      </c>
      <c r="V88" s="16">
        <f>IF(OR(I88="",M88="",L88=""),"",IFERROR((I88/M88-J88-K88)/L88,""))</f>
        <v/>
      </c>
      <c r="W88" s="11">
        <f>IFERROR(P88/C88-1,"")</f>
        <v/>
      </c>
      <c r="X88" s="11">
        <f>IFERROR(S88/C88-1,"")</f>
        <v/>
      </c>
      <c r="Y88" s="11">
        <f>IFERROR(V88/C88-1,"")</f>
        <v/>
      </c>
      <c r="Z88" s="3">
        <f>IF(OR(W88="",ISTEXT(W88)),"sin dato",IF(W88&gt;='Léeme'!$B$19,"barato",IF(W88&lt;=-'Léeme'!$B$19,"caro","medio")))</f>
        <v/>
      </c>
      <c r="AA88" s="3">
        <f>IF(OR(X88="",ISTEXT(X88)),"sin dato",IF(X88&gt;='Léeme'!$B$19,"barato",IF(X88&lt;=-'Léeme'!$B$19,"caro","medio")))</f>
        <v/>
      </c>
      <c r="AB88" s="3">
        <f>IF(OR(U88="",ISTEXT(U88)),"sin dato",IF(U88&gt;='Léeme'!$B$20,"barato",IF(U88&lt;=-'Léeme'!$B$20,"caro","medio")))</f>
        <v/>
      </c>
      <c r="AC88" s="3">
        <f>IF(OR(Y88="",ISTEXT(Y88)),"sin dato",IF(Y88&gt;='Léeme'!$B$19,"barato",IF(Y88&lt;=-'Léeme'!$B$19,"caro","medio")))</f>
        <v/>
      </c>
      <c r="AD88" s="7" t="n">
        <v>0.390547263681592</v>
      </c>
      <c r="AE88" s="7" t="n">
        <v>0.2486631016042781</v>
      </c>
      <c r="AF88" s="7" t="n">
        <v>0.1042780748663102</v>
      </c>
      <c r="AG88" s="7" t="n"/>
    </row>
    <row r="89">
      <c r="A89" s="3" t="inlineStr">
        <is>
          <t>2013-T4</t>
        </is>
      </c>
      <c r="B89" s="13" t="n">
        <v>41639</v>
      </c>
      <c r="C89" s="14" t="n">
        <v>30.33</v>
      </c>
      <c r="D89" s="14" t="n">
        <v>1.62</v>
      </c>
      <c r="E89" s="14" t="n">
        <v>1.77</v>
      </c>
      <c r="F89" s="5" t="n">
        <v>0.0304</v>
      </c>
      <c r="G89" s="5" t="n">
        <v>0.01551127839748156</v>
      </c>
      <c r="H89" s="5" t="n">
        <v>-0.01093158800624383</v>
      </c>
      <c r="N89" s="9">
        <f>IF(F89="","",F89+'Léeme'!$B$10)</f>
        <v/>
      </c>
      <c r="O89" s="9">
        <f>IF(OR(G89="",N89=""),"",MIN(MAX(G89,'Léeme'!$B$11),'Léeme'!$B$12,N89-'Léeme'!$B$16))</f>
        <v/>
      </c>
      <c r="P89" s="16">
        <f>IF(OR(D89="",O89=""),"",IFERROR(IF(D89&lt;=0,"",D89*(1+O89)/(N89-O89)),""))</f>
        <v/>
      </c>
      <c r="Q89" s="9">
        <f>IF(H89="","",MIN(MAX(H89,'Léeme'!$B$13),'Léeme'!$B$14))</f>
        <v/>
      </c>
      <c r="R89" s="9">
        <f>IF(N89="","",MIN('Léeme'!$B$15,N89-'Léeme'!$B$16))</f>
        <v/>
      </c>
      <c r="S89" s="16">
        <f>IF(OR(E89="",Q89=""),"",IFERROR(IF(E89&lt;=0,"",E89*(((1+Q89)/(1+N89))+((1+Q89)/(1+N89))^2+((1+Q89)/(1+N89))^3+((1+Q89)/(1+N89))^4+((1+Q89)/(1+N89))^5)+E89*(1+Q89)^5*(1+R89)/((N89-R89)*(1+N89)^5)),""))</f>
        <v/>
      </c>
      <c r="T89" s="9">
        <f>IF(OR(E89="",N89=""),"",IFERROR((C89*N89-E89)/(C89+E89),""))</f>
        <v/>
      </c>
      <c r="U89" s="9">
        <f>IF(OR(H89="",T89=""),"",IFERROR(MIN(MAX(H89,'Léeme'!$B$17),'Léeme'!$B$18)-T89,""))</f>
        <v/>
      </c>
      <c r="V89" s="16">
        <f>IF(OR(I89="",M89="",L89=""),"",IFERROR((I89/M89-J89-K89)/L89,""))</f>
        <v/>
      </c>
      <c r="W89" s="11">
        <f>IFERROR(P89/C89-1,"")</f>
        <v/>
      </c>
      <c r="X89" s="11">
        <f>IFERROR(S89/C89-1,"")</f>
        <v/>
      </c>
      <c r="Y89" s="11">
        <f>IFERROR(V89/C89-1,"")</f>
        <v/>
      </c>
      <c r="Z89" s="3">
        <f>IF(OR(W89="",ISTEXT(W89)),"sin dato",IF(W89&gt;='Léeme'!$B$19,"barato",IF(W89&lt;=-'Léeme'!$B$19,"caro","medio")))</f>
        <v/>
      </c>
      <c r="AA89" s="3">
        <f>IF(OR(X89="",ISTEXT(X89)),"sin dato",IF(X89&gt;='Léeme'!$B$19,"barato",IF(X89&lt;=-'Léeme'!$B$19,"caro","medio")))</f>
        <v/>
      </c>
      <c r="AB89" s="3">
        <f>IF(OR(U89="",ISTEXT(U89)),"sin dato",IF(U89&gt;='Léeme'!$B$20,"barato",IF(U89&lt;=-'Léeme'!$B$20,"caro","medio")))</f>
        <v/>
      </c>
      <c r="AC89" s="3">
        <f>IF(OR(Y89="",ISTEXT(Y89)),"sin dato",IF(Y89&gt;='Léeme'!$B$19,"barato",IF(Y89&lt;=-'Léeme'!$B$19,"caro","medio")))</f>
        <v/>
      </c>
      <c r="AD89" s="7" t="n">
        <v>0.3700980392156863</v>
      </c>
      <c r="AE89" s="7" t="n">
        <v>0.1973684210526316</v>
      </c>
      <c r="AF89" s="7" t="n">
        <v>0.09736842105263158</v>
      </c>
      <c r="AG89" s="7" t="n"/>
    </row>
    <row r="90">
      <c r="A90" s="3" t="inlineStr">
        <is>
          <t>2014-T1</t>
        </is>
      </c>
      <c r="B90" s="13" t="n">
        <v>41729</v>
      </c>
      <c r="C90" s="14" t="n">
        <v>34.32</v>
      </c>
      <c r="D90" s="14" t="n">
        <v>1.62</v>
      </c>
      <c r="E90" s="14" t="n">
        <v>1.91</v>
      </c>
      <c r="F90" s="5" t="n">
        <v>0.0273</v>
      </c>
      <c r="G90" s="5" t="n">
        <v>0.01551127839748156</v>
      </c>
      <c r="H90" s="5" t="n">
        <v>-0.008172699742593381</v>
      </c>
      <c r="I90" s="17" t="n">
        <v>387836000</v>
      </c>
      <c r="J90" s="17" t="n">
        <v>1568574000</v>
      </c>
      <c r="K90" s="17" t="n">
        <v>0</v>
      </c>
      <c r="L90" s="17" t="n">
        <v>111554997</v>
      </c>
      <c r="M90" s="5" t="n">
        <v>0.078</v>
      </c>
      <c r="N90" s="9">
        <f>IF(F90="","",F90+'Léeme'!$B$10)</f>
        <v/>
      </c>
      <c r="O90" s="9">
        <f>IF(OR(G90="",N90=""),"",MIN(MAX(G90,'Léeme'!$B$11),'Léeme'!$B$12,N90-'Léeme'!$B$16))</f>
        <v/>
      </c>
      <c r="P90" s="16">
        <f>IF(OR(D90="",O90=""),"",IFERROR(IF(D90&lt;=0,"",D90*(1+O90)/(N90-O90)),""))</f>
        <v/>
      </c>
      <c r="Q90" s="9">
        <f>IF(H90="","",MIN(MAX(H90,'Léeme'!$B$13),'Léeme'!$B$14))</f>
        <v/>
      </c>
      <c r="R90" s="9">
        <f>IF(N90="","",MIN('Léeme'!$B$15,N90-'Léeme'!$B$16))</f>
        <v/>
      </c>
      <c r="S90" s="16">
        <f>IF(OR(E90="",Q90=""),"",IFERROR(IF(E90&lt;=0,"",E90*(((1+Q90)/(1+N90))+((1+Q90)/(1+N90))^2+((1+Q90)/(1+N90))^3+((1+Q90)/(1+N90))^4+((1+Q90)/(1+N90))^5)+E90*(1+Q90)^5*(1+R90)/((N90-R90)*(1+N90)^5)),""))</f>
        <v/>
      </c>
      <c r="T90" s="9">
        <f>IF(OR(E90="",N90=""),"",IFERROR((C90*N90-E90)/(C90+E90),""))</f>
        <v/>
      </c>
      <c r="U90" s="9">
        <f>IF(OR(H90="",T90=""),"",IFERROR(MIN(MAX(H90,'Léeme'!$B$17),'Léeme'!$B$18)-T90,""))</f>
        <v/>
      </c>
      <c r="V90" s="16">
        <f>IF(OR(I90="",M90="",L90=""),"",IFERROR((I90/M90-J90-K90)/L90,""))</f>
        <v/>
      </c>
      <c r="W90" s="11">
        <f>IFERROR(P90/C90-1,"")</f>
        <v/>
      </c>
      <c r="X90" s="11">
        <f>IFERROR(S90/C90-1,"")</f>
        <v/>
      </c>
      <c r="Y90" s="11">
        <f>IFERROR(V90/C90-1,"")</f>
        <v/>
      </c>
      <c r="Z90" s="3">
        <f>IF(OR(W90="",ISTEXT(W90)),"sin dato",IF(W90&gt;='Léeme'!$B$19,"barato",IF(W90&lt;=-'Léeme'!$B$19,"caro","medio")))</f>
        <v/>
      </c>
      <c r="AA90" s="3">
        <f>IF(OR(X90="",ISTEXT(X90)),"sin dato",IF(X90&gt;='Léeme'!$B$19,"barato",IF(X90&lt;=-'Léeme'!$B$19,"caro","medio")))</f>
        <v/>
      </c>
      <c r="AB90" s="3">
        <f>IF(OR(U90="",ISTEXT(U90)),"sin dato",IF(U90&gt;='Léeme'!$B$20,"barato",IF(U90&lt;=-'Léeme'!$B$20,"caro","medio")))</f>
        <v/>
      </c>
      <c r="AC90" s="3">
        <f>IF(OR(Y90="",ISTEXT(Y90)),"sin dato",IF(Y90&gt;='Léeme'!$B$19,"barato",IF(Y90&lt;=-'Léeme'!$B$19,"caro","medio")))</f>
        <v/>
      </c>
      <c r="AD90" s="7" t="n">
        <v>0.3067632850241546</v>
      </c>
      <c r="AE90" s="7" t="n">
        <v>0.2409326424870466</v>
      </c>
      <c r="AF90" s="7" t="n">
        <v>0.1683937823834197</v>
      </c>
      <c r="AG90" s="7" t="n"/>
    </row>
    <row r="91">
      <c r="A91" s="3" t="inlineStr">
        <is>
          <t>2014-T2</t>
        </is>
      </c>
      <c r="B91" s="13" t="n">
        <v>41820</v>
      </c>
      <c r="C91" s="14" t="n">
        <v>37.189999</v>
      </c>
      <c r="D91" s="14" t="n">
        <v>1.62</v>
      </c>
      <c r="E91" s="14" t="n">
        <v>1.91</v>
      </c>
      <c r="F91" s="5" t="n">
        <v>0.0253</v>
      </c>
      <c r="G91" s="5" t="n">
        <v>0.01551127839748156</v>
      </c>
      <c r="H91" s="5" t="n">
        <v>-0.008172699742593381</v>
      </c>
      <c r="I91" s="17" t="n">
        <v>396680000</v>
      </c>
      <c r="J91" s="17" t="n">
        <v>1609241000</v>
      </c>
      <c r="K91" s="17" t="n">
        <v>0</v>
      </c>
      <c r="L91" s="17" t="n">
        <v>122971965</v>
      </c>
      <c r="M91" s="5" t="n">
        <v>0.078</v>
      </c>
      <c r="N91" s="9">
        <f>IF(F91="","",F91+'Léeme'!$B$10)</f>
        <v/>
      </c>
      <c r="O91" s="9">
        <f>IF(OR(G91="",N91=""),"",MIN(MAX(G91,'Léeme'!$B$11),'Léeme'!$B$12,N91-'Léeme'!$B$16))</f>
        <v/>
      </c>
      <c r="P91" s="16">
        <f>IF(OR(D91="",O91=""),"",IFERROR(IF(D91&lt;=0,"",D91*(1+O91)/(N91-O91)),""))</f>
        <v/>
      </c>
      <c r="Q91" s="9">
        <f>IF(H91="","",MIN(MAX(H91,'Léeme'!$B$13),'Léeme'!$B$14))</f>
        <v/>
      </c>
      <c r="R91" s="9">
        <f>IF(N91="","",MIN('Léeme'!$B$15,N91-'Léeme'!$B$16))</f>
        <v/>
      </c>
      <c r="S91" s="16">
        <f>IF(OR(E91="",Q91=""),"",IFERROR(IF(E91&lt;=0,"",E91*(((1+Q91)/(1+N91))+((1+Q91)/(1+N91))^2+((1+Q91)/(1+N91))^3+((1+Q91)/(1+N91))^4+((1+Q91)/(1+N91))^5)+E91*(1+Q91)^5*(1+R91)/((N91-R91)*(1+N91)^5)),""))</f>
        <v/>
      </c>
      <c r="T91" s="9">
        <f>IF(OR(E91="",N91=""),"",IFERROR((C91*N91-E91)/(C91+E91),""))</f>
        <v/>
      </c>
      <c r="U91" s="9">
        <f>IF(OR(H91="",T91=""),"",IFERROR(MIN(MAX(H91,'Léeme'!$B$17),'Léeme'!$B$18)-T91,""))</f>
        <v/>
      </c>
      <c r="V91" s="16">
        <f>IF(OR(I91="",M91="",L91=""),"",IFERROR((I91/M91-J91-K91)/L91,""))</f>
        <v/>
      </c>
      <c r="W91" s="11">
        <f>IFERROR(P91/C91-1,"")</f>
        <v/>
      </c>
      <c r="X91" s="11">
        <f>IFERROR(S91/C91-1,"")</f>
        <v/>
      </c>
      <c r="Y91" s="11">
        <f>IFERROR(V91/C91-1,"")</f>
        <v/>
      </c>
      <c r="Z91" s="3">
        <f>IF(OR(W91="",ISTEXT(W91)),"sin dato",IF(W91&gt;='Léeme'!$B$19,"barato",IF(W91&lt;=-'Léeme'!$B$19,"caro","medio")))</f>
        <v/>
      </c>
      <c r="AA91" s="3">
        <f>IF(OR(X91="",ISTEXT(X91)),"sin dato",IF(X91&gt;='Léeme'!$B$19,"barato",IF(X91&lt;=-'Léeme'!$B$19,"caro","medio")))</f>
        <v/>
      </c>
      <c r="AB91" s="3">
        <f>IF(OR(U91="",ISTEXT(U91)),"sin dato",IF(U91&gt;='Léeme'!$B$20,"barato",IF(U91&lt;=-'Léeme'!$B$20,"caro","medio")))</f>
        <v/>
      </c>
      <c r="AC91" s="3">
        <f>IF(OR(Y91="",ISTEXT(Y91)),"sin dato",IF(Y91&gt;='Léeme'!$B$19,"barato",IF(Y91&lt;=-'Léeme'!$B$19,"caro","medio")))</f>
        <v/>
      </c>
      <c r="AD91" s="7" t="n">
        <v>0.2547619047619047</v>
      </c>
      <c r="AE91" s="7" t="n">
        <v>0.2168367346938775</v>
      </c>
      <c r="AF91" s="7" t="n">
        <v>0.1198979591836735</v>
      </c>
      <c r="AG91" s="7" t="n"/>
    </row>
    <row r="92">
      <c r="A92" s="3" t="inlineStr">
        <is>
          <t>2014-T3</t>
        </is>
      </c>
      <c r="B92" s="13" t="n">
        <v>41912</v>
      </c>
      <c r="C92" s="14" t="n">
        <v>34.57</v>
      </c>
      <c r="D92" s="14" t="n">
        <v>1.68</v>
      </c>
      <c r="E92" s="14" t="n">
        <v>1.91</v>
      </c>
      <c r="F92" s="5" t="n">
        <v>0.0252</v>
      </c>
      <c r="G92" s="5" t="n">
        <v>0.02292455662603032</v>
      </c>
      <c r="H92" s="5" t="n">
        <v>-0.008172699742593381</v>
      </c>
      <c r="I92" s="17" t="n">
        <v>402804000</v>
      </c>
      <c r="J92" s="17" t="n">
        <v>1637625000</v>
      </c>
      <c r="K92" s="17" t="n">
        <v>0</v>
      </c>
      <c r="L92" s="17" t="n">
        <v>124510923</v>
      </c>
      <c r="M92" s="5" t="n">
        <v>0.078</v>
      </c>
      <c r="N92" s="9">
        <f>IF(F92="","",F92+'Léeme'!$B$10)</f>
        <v/>
      </c>
      <c r="O92" s="9">
        <f>IF(OR(G92="",N92=""),"",MIN(MAX(G92,'Léeme'!$B$11),'Léeme'!$B$12,N92-'Léeme'!$B$16))</f>
        <v/>
      </c>
      <c r="P92" s="16">
        <f>IF(OR(D92="",O92=""),"",IFERROR(IF(D92&lt;=0,"",D92*(1+O92)/(N92-O92)),""))</f>
        <v/>
      </c>
      <c r="Q92" s="9">
        <f>IF(H92="","",MIN(MAX(H92,'Léeme'!$B$13),'Léeme'!$B$14))</f>
        <v/>
      </c>
      <c r="R92" s="9">
        <f>IF(N92="","",MIN('Léeme'!$B$15,N92-'Léeme'!$B$16))</f>
        <v/>
      </c>
      <c r="S92" s="16">
        <f>IF(OR(E92="",Q92=""),"",IFERROR(IF(E92&lt;=0,"",E92*(((1+Q92)/(1+N92))+((1+Q92)/(1+N92))^2+((1+Q92)/(1+N92))^3+((1+Q92)/(1+N92))^4+((1+Q92)/(1+N92))^5)+E92*(1+Q92)^5*(1+R92)/((N92-R92)*(1+N92)^5)),""))</f>
        <v/>
      </c>
      <c r="T92" s="9">
        <f>IF(OR(E92="",N92=""),"",IFERROR((C92*N92-E92)/(C92+E92),""))</f>
        <v/>
      </c>
      <c r="U92" s="9">
        <f>IF(OR(H92="",T92=""),"",IFERROR(MIN(MAX(H92,'Léeme'!$B$17),'Léeme'!$B$18)-T92,""))</f>
        <v/>
      </c>
      <c r="V92" s="16">
        <f>IF(OR(I92="",M92="",L92=""),"",IFERROR((I92/M92-J92-K92)/L92,""))</f>
        <v/>
      </c>
      <c r="W92" s="11">
        <f>IFERROR(P92/C92-1,"")</f>
        <v/>
      </c>
      <c r="X92" s="11">
        <f>IFERROR(S92/C92-1,"")</f>
        <v/>
      </c>
      <c r="Y92" s="11">
        <f>IFERROR(V92/C92-1,"")</f>
        <v/>
      </c>
      <c r="Z92" s="3">
        <f>IF(OR(W92="",ISTEXT(W92)),"sin dato",IF(W92&gt;='Léeme'!$B$19,"barato",IF(W92&lt;=-'Léeme'!$B$19,"caro","medio")))</f>
        <v/>
      </c>
      <c r="AA92" s="3">
        <f>IF(OR(X92="",ISTEXT(X92)),"sin dato",IF(X92&gt;='Léeme'!$B$19,"barato",IF(X92&lt;=-'Léeme'!$B$19,"caro","medio")))</f>
        <v/>
      </c>
      <c r="AB92" s="3">
        <f>IF(OR(U92="",ISTEXT(U92)),"sin dato",IF(U92&gt;='Léeme'!$B$20,"barato",IF(U92&lt;=-'Léeme'!$B$20,"caro","medio")))</f>
        <v/>
      </c>
      <c r="AC92" s="3">
        <f>IF(OR(Y92="",ISTEXT(Y92)),"sin dato",IF(Y92&gt;='Léeme'!$B$19,"barato",IF(Y92&lt;=-'Léeme'!$B$19,"caro","medio")))</f>
        <v/>
      </c>
      <c r="AD92" s="7" t="n">
        <v>0.5938967136150235</v>
      </c>
      <c r="AE92" s="7" t="n">
        <v>0.3442211055276382</v>
      </c>
      <c r="AF92" s="7" t="n">
        <v>0.2035175879396985</v>
      </c>
      <c r="AG92" s="7" t="n"/>
    </row>
    <row r="93">
      <c r="A93" s="3" t="inlineStr">
        <is>
          <t>2014-T4</t>
        </is>
      </c>
      <c r="B93" s="13" t="n">
        <v>42004</v>
      </c>
      <c r="C93" s="14" t="n">
        <v>39.369999</v>
      </c>
      <c r="D93" s="14" t="n">
        <v>1.68</v>
      </c>
      <c r="E93" s="14" t="n">
        <v>1.91</v>
      </c>
      <c r="F93" s="5" t="n">
        <v>0.0217</v>
      </c>
      <c r="G93" s="5" t="n">
        <v>0.02292455662603032</v>
      </c>
      <c r="H93" s="5" t="n">
        <v>-0.008172699742593381</v>
      </c>
      <c r="I93" s="17" t="n">
        <v>420700000</v>
      </c>
      <c r="J93" s="17" t="n">
        <v>1855955000</v>
      </c>
      <c r="K93" s="17" t="n">
        <v>0</v>
      </c>
      <c r="L93" s="17" t="n">
        <v>126421631</v>
      </c>
      <c r="M93" s="5" t="n">
        <v>0.078</v>
      </c>
      <c r="N93" s="9">
        <f>IF(F93="","",F93+'Léeme'!$B$10)</f>
        <v/>
      </c>
      <c r="O93" s="9">
        <f>IF(OR(G93="",N93=""),"",MIN(MAX(G93,'Léeme'!$B$11),'Léeme'!$B$12,N93-'Léeme'!$B$16))</f>
        <v/>
      </c>
      <c r="P93" s="16">
        <f>IF(OR(D93="",O93=""),"",IFERROR(IF(D93&lt;=0,"",D93*(1+O93)/(N93-O93)),""))</f>
        <v/>
      </c>
      <c r="Q93" s="9">
        <f>IF(H93="","",MIN(MAX(H93,'Léeme'!$B$13),'Léeme'!$B$14))</f>
        <v/>
      </c>
      <c r="R93" s="9">
        <f>IF(N93="","",MIN('Léeme'!$B$15,N93-'Léeme'!$B$16))</f>
        <v/>
      </c>
      <c r="S93" s="16">
        <f>IF(OR(E93="",Q93=""),"",IFERROR(IF(E93&lt;=0,"",E93*(((1+Q93)/(1+N93))+((1+Q93)/(1+N93))^2+((1+Q93)/(1+N93))^3+((1+Q93)/(1+N93))^4+((1+Q93)/(1+N93))^5)+E93*(1+Q93)^5*(1+R93)/((N93-R93)*(1+N93)^5)),""))</f>
        <v/>
      </c>
      <c r="T93" s="9">
        <f>IF(OR(E93="",N93=""),"",IFERROR((C93*N93-E93)/(C93+E93),""))</f>
        <v/>
      </c>
      <c r="U93" s="9">
        <f>IF(OR(H93="",T93=""),"",IFERROR(MIN(MAX(H93,'Léeme'!$B$17),'Léeme'!$B$18)-T93,""))</f>
        <v/>
      </c>
      <c r="V93" s="16">
        <f>IF(OR(I93="",M93="",L93=""),"",IFERROR((I93/M93-J93-K93)/L93,""))</f>
        <v/>
      </c>
      <c r="W93" s="11">
        <f>IFERROR(P93/C93-1,"")</f>
        <v/>
      </c>
      <c r="X93" s="11">
        <f>IFERROR(S93/C93-1,"")</f>
        <v/>
      </c>
      <c r="Y93" s="11">
        <f>IFERROR(V93/C93-1,"")</f>
        <v/>
      </c>
      <c r="Z93" s="3">
        <f>IF(OR(W93="",ISTEXT(W93)),"sin dato",IF(W93&gt;='Léeme'!$B$19,"barato",IF(W93&lt;=-'Léeme'!$B$19,"caro","medio")))</f>
        <v/>
      </c>
      <c r="AA93" s="3">
        <f>IF(OR(X93="",ISTEXT(X93)),"sin dato",IF(X93&gt;='Léeme'!$B$19,"barato",IF(X93&lt;=-'Léeme'!$B$19,"caro","medio")))</f>
        <v/>
      </c>
      <c r="AB93" s="3">
        <f>IF(OR(U93="",ISTEXT(U93)),"sin dato",IF(U93&gt;='Léeme'!$B$20,"barato",IF(U93&lt;=-'Léeme'!$B$20,"caro","medio")))</f>
        <v/>
      </c>
      <c r="AC93" s="3">
        <f>IF(OR(Y93="",ISTEXT(Y93)),"sin dato",IF(Y93&gt;='Léeme'!$B$19,"barato",IF(Y93&lt;=-'Léeme'!$B$19,"caro","medio")))</f>
        <v/>
      </c>
      <c r="AD93" s="7" t="n">
        <v>0.5763888888888888</v>
      </c>
      <c r="AE93" s="7" t="n">
        <v>0.2995049504950495</v>
      </c>
      <c r="AF93" s="7" t="n">
        <v>0.1410891089108911</v>
      </c>
      <c r="AG93" s="7" t="n"/>
    </row>
    <row r="94">
      <c r="A94" s="3" t="inlineStr">
        <is>
          <t>2015-T1</t>
        </is>
      </c>
      <c r="B94" s="13" t="n">
        <v>42094</v>
      </c>
      <c r="C94" s="14" t="n">
        <v>40.970001</v>
      </c>
      <c r="D94" s="14" t="n">
        <v>1.68</v>
      </c>
      <c r="E94" s="14" t="n">
        <v>2.09</v>
      </c>
      <c r="F94" s="5" t="n">
        <v>0.0194</v>
      </c>
      <c r="G94" s="5" t="n">
        <v>0.02292455662603032</v>
      </c>
      <c r="H94" s="5" t="n">
        <v>0.04781691215262529</v>
      </c>
      <c r="I94" s="17" t="n">
        <v>439524000</v>
      </c>
      <c r="J94" s="17" t="n">
        <v>1730450000</v>
      </c>
      <c r="K94" s="17" t="n">
        <v>0</v>
      </c>
      <c r="L94" s="17" t="n">
        <v>132010104</v>
      </c>
      <c r="M94" s="5" t="n">
        <v>0.075</v>
      </c>
      <c r="N94" s="9">
        <f>IF(F94="","",F94+'Léeme'!$B$10)</f>
        <v/>
      </c>
      <c r="O94" s="9">
        <f>IF(OR(G94="",N94=""),"",MIN(MAX(G94,'Léeme'!$B$11),'Léeme'!$B$12,N94-'Léeme'!$B$16))</f>
        <v/>
      </c>
      <c r="P94" s="16">
        <f>IF(OR(D94="",O94=""),"",IFERROR(IF(D94&lt;=0,"",D94*(1+O94)/(N94-O94)),""))</f>
        <v/>
      </c>
      <c r="Q94" s="9">
        <f>IF(H94="","",MIN(MAX(H94,'Léeme'!$B$13),'Léeme'!$B$14))</f>
        <v/>
      </c>
      <c r="R94" s="9">
        <f>IF(N94="","",MIN('Léeme'!$B$15,N94-'Léeme'!$B$16))</f>
        <v/>
      </c>
      <c r="S94" s="16">
        <f>IF(OR(E94="",Q94=""),"",IFERROR(IF(E94&lt;=0,"",E94*(((1+Q94)/(1+N94))+((1+Q94)/(1+N94))^2+((1+Q94)/(1+N94))^3+((1+Q94)/(1+N94))^4+((1+Q94)/(1+N94))^5)+E94*(1+Q94)^5*(1+R94)/((N94-R94)*(1+N94)^5)),""))</f>
        <v/>
      </c>
      <c r="T94" s="9">
        <f>IF(OR(E94="",N94=""),"",IFERROR((C94*N94-E94)/(C94+E94),""))</f>
        <v/>
      </c>
      <c r="U94" s="9">
        <f>IF(OR(H94="",T94=""),"",IFERROR(MIN(MAX(H94,'Léeme'!$B$17),'Léeme'!$B$18)-T94,""))</f>
        <v/>
      </c>
      <c r="V94" s="16">
        <f>IF(OR(I94="",M94="",L94=""),"",IFERROR((I94/M94-J94-K94)/L94,""))</f>
        <v/>
      </c>
      <c r="W94" s="11">
        <f>IFERROR(P94/C94-1,"")</f>
        <v/>
      </c>
      <c r="X94" s="11">
        <f>IFERROR(S94/C94-1,"")</f>
        <v/>
      </c>
      <c r="Y94" s="11">
        <f>IFERROR(V94/C94-1,"")</f>
        <v/>
      </c>
      <c r="Z94" s="3">
        <f>IF(OR(W94="",ISTEXT(W94)),"sin dato",IF(W94&gt;='Léeme'!$B$19,"barato",IF(W94&lt;=-'Léeme'!$B$19,"caro","medio")))</f>
        <v/>
      </c>
      <c r="AA94" s="3">
        <f>IF(OR(X94="",ISTEXT(X94)),"sin dato",IF(X94&gt;='Léeme'!$B$19,"barato",IF(X94&lt;=-'Léeme'!$B$19,"caro","medio")))</f>
        <v/>
      </c>
      <c r="AB94" s="3">
        <f>IF(OR(U94="",ISTEXT(U94)),"sin dato",IF(U94&gt;='Léeme'!$B$20,"barato",IF(U94&lt;=-'Léeme'!$B$20,"caro","medio")))</f>
        <v/>
      </c>
      <c r="AC94" s="3">
        <f>IF(OR(Y94="",ISTEXT(Y94)),"sin dato",IF(Y94&gt;='Léeme'!$B$19,"barato",IF(Y94&lt;=-'Léeme'!$B$19,"caro","medio")))</f>
        <v/>
      </c>
      <c r="AD94" s="7" t="n">
        <v>0.6461187214611872</v>
      </c>
      <c r="AE94" s="7" t="n">
        <v>0.7195121951219512</v>
      </c>
      <c r="AF94" s="7" t="n">
        <v>0.675609756097561</v>
      </c>
      <c r="AG94" s="7" t="n"/>
    </row>
    <row r="95">
      <c r="A95" s="3" t="inlineStr">
        <is>
          <t>2015-T2</t>
        </is>
      </c>
      <c r="B95" s="13" t="n">
        <v>42185</v>
      </c>
      <c r="C95" s="14" t="n">
        <v>35.009998</v>
      </c>
      <c r="D95" s="14" t="n">
        <v>1.68</v>
      </c>
      <c r="E95" s="14" t="n">
        <v>2.09</v>
      </c>
      <c r="F95" s="5" t="n">
        <v>0.0235</v>
      </c>
      <c r="G95" s="5" t="n">
        <v>0.02292455662603032</v>
      </c>
      <c r="H95" s="5" t="n">
        <v>0.04781691215262529</v>
      </c>
      <c r="I95" s="17" t="n">
        <v>441600000</v>
      </c>
      <c r="J95" s="17" t="n">
        <v>1778354000</v>
      </c>
      <c r="K95" s="17" t="n">
        <v>0</v>
      </c>
      <c r="L95" s="17" t="n">
        <v>133446857</v>
      </c>
      <c r="M95" s="5" t="n">
        <v>0.075</v>
      </c>
      <c r="N95" s="9">
        <f>IF(F95="","",F95+'Léeme'!$B$10)</f>
        <v/>
      </c>
      <c r="O95" s="9">
        <f>IF(OR(G95="",N95=""),"",MIN(MAX(G95,'Léeme'!$B$11),'Léeme'!$B$12,N95-'Léeme'!$B$16))</f>
        <v/>
      </c>
      <c r="P95" s="16">
        <f>IF(OR(D95="",O95=""),"",IFERROR(IF(D95&lt;=0,"",D95*(1+O95)/(N95-O95)),""))</f>
        <v/>
      </c>
      <c r="Q95" s="9">
        <f>IF(H95="","",MIN(MAX(H95,'Léeme'!$B$13),'Léeme'!$B$14))</f>
        <v/>
      </c>
      <c r="R95" s="9">
        <f>IF(N95="","",MIN('Léeme'!$B$15,N95-'Léeme'!$B$16))</f>
        <v/>
      </c>
      <c r="S95" s="16">
        <f>IF(OR(E95="",Q95=""),"",IFERROR(IF(E95&lt;=0,"",E95*(((1+Q95)/(1+N95))+((1+Q95)/(1+N95))^2+((1+Q95)/(1+N95))^3+((1+Q95)/(1+N95))^4+((1+Q95)/(1+N95))^5)+E95*(1+Q95)^5*(1+R95)/((N95-R95)*(1+N95)^5)),""))</f>
        <v/>
      </c>
      <c r="T95" s="9">
        <f>IF(OR(E95="",N95=""),"",IFERROR((C95*N95-E95)/(C95+E95),""))</f>
        <v/>
      </c>
      <c r="U95" s="9">
        <f>IF(OR(H95="",T95=""),"",IFERROR(MIN(MAX(H95,'Léeme'!$B$17),'Léeme'!$B$18)-T95,""))</f>
        <v/>
      </c>
      <c r="V95" s="16">
        <f>IF(OR(I95="",M95="",L95=""),"",IFERROR((I95/M95-J95-K95)/L95,""))</f>
        <v/>
      </c>
      <c r="W95" s="11">
        <f>IFERROR(P95/C95-1,"")</f>
        <v/>
      </c>
      <c r="X95" s="11">
        <f>IFERROR(S95/C95-1,"")</f>
        <v/>
      </c>
      <c r="Y95" s="11">
        <f>IFERROR(V95/C95-1,"")</f>
        <v/>
      </c>
      <c r="Z95" s="3">
        <f>IF(OR(W95="",ISTEXT(W95)),"sin dato",IF(W95&gt;='Léeme'!$B$19,"barato",IF(W95&lt;=-'Léeme'!$B$19,"caro","medio")))</f>
        <v/>
      </c>
      <c r="AA95" s="3">
        <f>IF(OR(X95="",ISTEXT(X95)),"sin dato",IF(X95&gt;='Léeme'!$B$19,"barato",IF(X95&lt;=-'Léeme'!$B$19,"caro","medio")))</f>
        <v/>
      </c>
      <c r="AB95" s="3">
        <f>IF(OR(U95="",ISTEXT(U95)),"sin dato",IF(U95&gt;='Léeme'!$B$20,"barato",IF(U95&lt;=-'Léeme'!$B$20,"caro","medio")))</f>
        <v/>
      </c>
      <c r="AC95" s="3">
        <f>IF(OR(Y95="",ISTEXT(Y95)),"sin dato",IF(Y95&gt;='Léeme'!$B$19,"barato",IF(Y95&lt;=-'Léeme'!$B$19,"caro","medio")))</f>
        <v/>
      </c>
      <c r="AD95" s="7" t="n">
        <v>0.6463963963963963</v>
      </c>
      <c r="AE95" s="7" t="n">
        <v>0.7475961538461539</v>
      </c>
      <c r="AF95" s="7" t="n">
        <v>0.6899038461538461</v>
      </c>
      <c r="AG95" s="7" t="n"/>
    </row>
    <row r="96">
      <c r="A96" s="3" t="inlineStr">
        <is>
          <t>2015-T3</t>
        </is>
      </c>
      <c r="B96" s="13" t="n">
        <v>42277</v>
      </c>
      <c r="C96" s="14" t="n">
        <v>36.27</v>
      </c>
      <c r="D96" s="14" t="n">
        <v>1.74</v>
      </c>
      <c r="E96" s="14" t="n">
        <v>2.09</v>
      </c>
      <c r="F96" s="5" t="n">
        <v>0.0206</v>
      </c>
      <c r="G96" s="5" t="n">
        <v>0.02740371572479905</v>
      </c>
      <c r="H96" s="5" t="n">
        <v>0.04781691215262529</v>
      </c>
      <c r="I96" s="17" t="n">
        <v>437744000</v>
      </c>
      <c r="J96" s="17" t="n">
        <v>1865515000</v>
      </c>
      <c r="K96" s="17" t="n">
        <v>0</v>
      </c>
      <c r="L96" s="17" t="n">
        <v>134434132</v>
      </c>
      <c r="M96" s="5" t="n">
        <v>0.075</v>
      </c>
      <c r="N96" s="9">
        <f>IF(F96="","",F96+'Léeme'!$B$10)</f>
        <v/>
      </c>
      <c r="O96" s="9">
        <f>IF(OR(G96="",N96=""),"",MIN(MAX(G96,'Léeme'!$B$11),'Léeme'!$B$12,N96-'Léeme'!$B$16))</f>
        <v/>
      </c>
      <c r="P96" s="16">
        <f>IF(OR(D96="",O96=""),"",IFERROR(IF(D96&lt;=0,"",D96*(1+O96)/(N96-O96)),""))</f>
        <v/>
      </c>
      <c r="Q96" s="9">
        <f>IF(H96="","",MIN(MAX(H96,'Léeme'!$B$13),'Léeme'!$B$14))</f>
        <v/>
      </c>
      <c r="R96" s="9">
        <f>IF(N96="","",MIN('Léeme'!$B$15,N96-'Léeme'!$B$16))</f>
        <v/>
      </c>
      <c r="S96" s="16">
        <f>IF(OR(E96="",Q96=""),"",IFERROR(IF(E96&lt;=0,"",E96*(((1+Q96)/(1+N96))+((1+Q96)/(1+N96))^2+((1+Q96)/(1+N96))^3+((1+Q96)/(1+N96))^4+((1+Q96)/(1+N96))^5)+E96*(1+Q96)^5*(1+R96)/((N96-R96)*(1+N96)^5)),""))</f>
        <v/>
      </c>
      <c r="T96" s="9">
        <f>IF(OR(E96="",N96=""),"",IFERROR((C96*N96-E96)/(C96+E96),""))</f>
        <v/>
      </c>
      <c r="U96" s="9">
        <f>IF(OR(H96="",T96=""),"",IFERROR(MIN(MAX(H96,'Léeme'!$B$17),'Léeme'!$B$18)-T96,""))</f>
        <v/>
      </c>
      <c r="V96" s="16">
        <f>IF(OR(I96="",M96="",L96=""),"",IFERROR((I96/M96-J96-K96)/L96,""))</f>
        <v/>
      </c>
      <c r="W96" s="11">
        <f>IFERROR(P96/C96-1,"")</f>
        <v/>
      </c>
      <c r="X96" s="11">
        <f>IFERROR(S96/C96-1,"")</f>
        <v/>
      </c>
      <c r="Y96" s="11">
        <f>IFERROR(V96/C96-1,"")</f>
        <v/>
      </c>
      <c r="Z96" s="3">
        <f>IF(OR(W96="",ISTEXT(W96)),"sin dato",IF(W96&gt;='Léeme'!$B$19,"barato",IF(W96&lt;=-'Léeme'!$B$19,"caro","medio")))</f>
        <v/>
      </c>
      <c r="AA96" s="3">
        <f>IF(OR(X96="",ISTEXT(X96)),"sin dato",IF(X96&gt;='Léeme'!$B$19,"barato",IF(X96&lt;=-'Léeme'!$B$19,"caro","medio")))</f>
        <v/>
      </c>
      <c r="AB96" s="3">
        <f>IF(OR(U96="",ISTEXT(U96)),"sin dato",IF(U96&gt;='Léeme'!$B$20,"barato",IF(U96&lt;=-'Léeme'!$B$20,"caro","medio")))</f>
        <v/>
      </c>
      <c r="AC96" s="3">
        <f>IF(OR(Y96="",ISTEXT(Y96)),"sin dato",IF(Y96&gt;='Léeme'!$B$19,"barato",IF(Y96&lt;=-'Léeme'!$B$19,"caro","medio")))</f>
        <v/>
      </c>
      <c r="AD96" s="7" t="n">
        <v>0.86</v>
      </c>
      <c r="AE96" s="7" t="n">
        <v>0.7985781990521327</v>
      </c>
      <c r="AF96" s="7" t="n">
        <v>0.6895734597156398</v>
      </c>
      <c r="AG96" s="7" t="n"/>
    </row>
    <row r="97">
      <c r="A97" s="3" t="inlineStr">
        <is>
          <t>2015-T4</t>
        </is>
      </c>
      <c r="B97" s="13" t="n">
        <v>42369</v>
      </c>
      <c r="C97" s="14" t="n">
        <v>40.049999</v>
      </c>
      <c r="D97" s="14" t="n">
        <v>1.74</v>
      </c>
      <c r="E97" s="14" t="n">
        <v>2.09</v>
      </c>
      <c r="F97" s="5" t="n">
        <v>0.0227</v>
      </c>
      <c r="G97" s="5" t="n">
        <v>0.02740371572479905</v>
      </c>
      <c r="H97" s="5" t="n">
        <v>0.04781691215262529</v>
      </c>
      <c r="I97" s="17" t="n">
        <v>473244000</v>
      </c>
      <c r="J97" s="17" t="n">
        <v>2019991000</v>
      </c>
      <c r="K97" s="17" t="n">
        <v>0</v>
      </c>
      <c r="L97" s="17" t="n">
        <v>135485173</v>
      </c>
      <c r="M97" s="5" t="n">
        <v>0.075</v>
      </c>
      <c r="N97" s="9">
        <f>IF(F97="","",F97+'Léeme'!$B$10)</f>
        <v/>
      </c>
      <c r="O97" s="9">
        <f>IF(OR(G97="",N97=""),"",MIN(MAX(G97,'Léeme'!$B$11),'Léeme'!$B$12,N97-'Léeme'!$B$16))</f>
        <v/>
      </c>
      <c r="P97" s="16">
        <f>IF(OR(D97="",O97=""),"",IFERROR(IF(D97&lt;=0,"",D97*(1+O97)/(N97-O97)),""))</f>
        <v/>
      </c>
      <c r="Q97" s="9">
        <f>IF(H97="","",MIN(MAX(H97,'Léeme'!$B$13),'Léeme'!$B$14))</f>
        <v/>
      </c>
      <c r="R97" s="9">
        <f>IF(N97="","",MIN('Léeme'!$B$15,N97-'Léeme'!$B$16))</f>
        <v/>
      </c>
      <c r="S97" s="16">
        <f>IF(OR(E97="",Q97=""),"",IFERROR(IF(E97&lt;=0,"",E97*(((1+Q97)/(1+N97))+((1+Q97)/(1+N97))^2+((1+Q97)/(1+N97))^3+((1+Q97)/(1+N97))^4+((1+Q97)/(1+N97))^5)+E97*(1+Q97)^5*(1+R97)/((N97-R97)*(1+N97)^5)),""))</f>
        <v/>
      </c>
      <c r="T97" s="9">
        <f>IF(OR(E97="",N97=""),"",IFERROR((C97*N97-E97)/(C97+E97),""))</f>
        <v/>
      </c>
      <c r="U97" s="9">
        <f>IF(OR(H97="",T97=""),"",IFERROR(MIN(MAX(H97,'Léeme'!$B$17),'Léeme'!$B$18)-T97,""))</f>
        <v/>
      </c>
      <c r="V97" s="16">
        <f>IF(OR(I97="",M97="",L97=""),"",IFERROR((I97/M97-J97-K97)/L97,""))</f>
        <v/>
      </c>
      <c r="W97" s="11">
        <f>IFERROR(P97/C97-1,"")</f>
        <v/>
      </c>
      <c r="X97" s="11">
        <f>IFERROR(S97/C97-1,"")</f>
        <v/>
      </c>
      <c r="Y97" s="11">
        <f>IFERROR(V97/C97-1,"")</f>
        <v/>
      </c>
      <c r="Z97" s="3">
        <f>IF(OR(W97="",ISTEXT(W97)),"sin dato",IF(W97&gt;='Léeme'!$B$19,"barato",IF(W97&lt;=-'Léeme'!$B$19,"caro","medio")))</f>
        <v/>
      </c>
      <c r="AA97" s="3">
        <f>IF(OR(X97="",ISTEXT(X97)),"sin dato",IF(X97&gt;='Léeme'!$B$19,"barato",IF(X97&lt;=-'Léeme'!$B$19,"caro","medio")))</f>
        <v/>
      </c>
      <c r="AB97" s="3">
        <f>IF(OR(U97="",ISTEXT(U97)),"sin dato",IF(U97&gt;='Léeme'!$B$20,"barato",IF(U97&lt;=-'Léeme'!$B$20,"caro","medio")))</f>
        <v/>
      </c>
      <c r="AC97" s="3">
        <f>IF(OR(Y97="",ISTEXT(Y97)),"sin dato",IF(Y97&gt;='Léeme'!$B$19,"barato",IF(Y97&lt;=-'Léeme'!$B$19,"caro","medio")))</f>
        <v/>
      </c>
      <c r="AD97" s="7" t="n">
        <v>0.7171052631578947</v>
      </c>
      <c r="AE97" s="7" t="n">
        <v>0.5957943925233645</v>
      </c>
      <c r="AF97" s="7" t="n">
        <v>0.6425233644859814</v>
      </c>
      <c r="AG97" s="7" t="n"/>
    </row>
    <row r="98">
      <c r="A98" s="3" t="inlineStr">
        <is>
          <t>2016-T1</t>
        </is>
      </c>
      <c r="B98" s="13" t="n">
        <v>42460</v>
      </c>
      <c r="C98" s="14" t="n">
        <v>46.200001</v>
      </c>
      <c r="D98" s="14" t="n">
        <v>1.74</v>
      </c>
      <c r="E98" s="14" t="n">
        <v>2.15</v>
      </c>
      <c r="F98" s="5" t="n">
        <v>0.0178</v>
      </c>
      <c r="G98" s="5" t="n">
        <v>0.02740371572479905</v>
      </c>
      <c r="H98" s="5" t="n">
        <v>0.08196719070537761</v>
      </c>
      <c r="I98" s="17" t="n">
        <v>480172000</v>
      </c>
      <c r="J98" s="17" t="n">
        <v>1961684000</v>
      </c>
      <c r="K98" s="17" t="n">
        <v>0</v>
      </c>
      <c r="L98" s="17" t="n">
        <v>141007725</v>
      </c>
      <c r="M98" s="5" t="n">
        <v>0.07199999999999999</v>
      </c>
      <c r="N98" s="9">
        <f>IF(F98="","",F98+'Léeme'!$B$10)</f>
        <v/>
      </c>
      <c r="O98" s="9">
        <f>IF(OR(G98="",N98=""),"",MIN(MAX(G98,'Léeme'!$B$11),'Léeme'!$B$12,N98-'Léeme'!$B$16))</f>
        <v/>
      </c>
      <c r="P98" s="16">
        <f>IF(OR(D98="",O98=""),"",IFERROR(IF(D98&lt;=0,"",D98*(1+O98)/(N98-O98)),""))</f>
        <v/>
      </c>
      <c r="Q98" s="9">
        <f>IF(H98="","",MIN(MAX(H98,'Léeme'!$B$13),'Léeme'!$B$14))</f>
        <v/>
      </c>
      <c r="R98" s="9">
        <f>IF(N98="","",MIN('Léeme'!$B$15,N98-'Léeme'!$B$16))</f>
        <v/>
      </c>
      <c r="S98" s="16">
        <f>IF(OR(E98="",Q98=""),"",IFERROR(IF(E98&lt;=0,"",E98*(((1+Q98)/(1+N98))+((1+Q98)/(1+N98))^2+((1+Q98)/(1+N98))^3+((1+Q98)/(1+N98))^4+((1+Q98)/(1+N98))^5)+E98*(1+Q98)^5*(1+R98)/((N98-R98)*(1+N98)^5)),""))</f>
        <v/>
      </c>
      <c r="T98" s="9">
        <f>IF(OR(E98="",N98=""),"",IFERROR((C98*N98-E98)/(C98+E98),""))</f>
        <v/>
      </c>
      <c r="U98" s="9">
        <f>IF(OR(H98="",T98=""),"",IFERROR(MIN(MAX(H98,'Léeme'!$B$17),'Léeme'!$B$18)-T98,""))</f>
        <v/>
      </c>
      <c r="V98" s="16">
        <f>IF(OR(I98="",M98="",L98=""),"",IFERROR((I98/M98-J98-K98)/L98,""))</f>
        <v/>
      </c>
      <c r="W98" s="11">
        <f>IFERROR(P98/C98-1,"")</f>
        <v/>
      </c>
      <c r="X98" s="11">
        <f>IFERROR(S98/C98-1,"")</f>
        <v/>
      </c>
      <c r="Y98" s="11">
        <f>IFERROR(V98/C98-1,"")</f>
        <v/>
      </c>
      <c r="Z98" s="3">
        <f>IF(OR(W98="",ISTEXT(W98)),"sin dato",IF(W98&gt;='Léeme'!$B$19,"barato",IF(W98&lt;=-'Léeme'!$B$19,"caro","medio")))</f>
        <v/>
      </c>
      <c r="AA98" s="3">
        <f>IF(OR(X98="",ISTEXT(X98)),"sin dato",IF(X98&gt;='Léeme'!$B$19,"barato",IF(X98&lt;=-'Léeme'!$B$19,"caro","medio")))</f>
        <v/>
      </c>
      <c r="AB98" s="3">
        <f>IF(OR(U98="",ISTEXT(U98)),"sin dato",IF(U98&gt;='Léeme'!$B$20,"barato",IF(U98&lt;=-'Léeme'!$B$20,"caro","medio")))</f>
        <v/>
      </c>
      <c r="AC98" s="3">
        <f>IF(OR(Y98="",ISTEXT(Y98)),"sin dato",IF(Y98&gt;='Léeme'!$B$19,"barato",IF(Y98&lt;=-'Léeme'!$B$19,"caro","medio")))</f>
        <v/>
      </c>
      <c r="AD98" s="7" t="n">
        <v>0.7770562770562771</v>
      </c>
      <c r="AE98" s="7" t="n">
        <v>0.8179723502304147</v>
      </c>
      <c r="AF98" s="7" t="n">
        <v>0.804147465437788</v>
      </c>
      <c r="AG98" s="7" t="n"/>
    </row>
    <row r="99">
      <c r="A99" s="3" t="inlineStr">
        <is>
          <t>2016-T2</t>
        </is>
      </c>
      <c r="B99" s="13" t="n">
        <v>42551</v>
      </c>
      <c r="C99" s="14" t="n">
        <v>51.720001</v>
      </c>
      <c r="D99" s="14" t="n">
        <v>1.74</v>
      </c>
      <c r="E99" s="14" t="n">
        <v>2.15</v>
      </c>
      <c r="F99" s="5" t="n">
        <v>0.0149</v>
      </c>
      <c r="G99" s="5" t="n">
        <v>0.02740371572479905</v>
      </c>
      <c r="H99" s="5" t="n">
        <v>0.08196719070537761</v>
      </c>
      <c r="I99" s="17" t="n">
        <v>485604000</v>
      </c>
      <c r="J99" s="17" t="n">
        <v>1961586000</v>
      </c>
      <c r="K99" s="17" t="n">
        <v>0</v>
      </c>
      <c r="L99" s="17" t="n">
        <v>143235896</v>
      </c>
      <c r="M99" s="5" t="n">
        <v>0.07199999999999999</v>
      </c>
      <c r="N99" s="9">
        <f>IF(F99="","",F99+'Léeme'!$B$10)</f>
        <v/>
      </c>
      <c r="O99" s="9">
        <f>IF(OR(G99="",N99=""),"",MIN(MAX(G99,'Léeme'!$B$11),'Léeme'!$B$12,N99-'Léeme'!$B$16))</f>
        <v/>
      </c>
      <c r="P99" s="16">
        <f>IF(OR(D99="",O99=""),"",IFERROR(IF(D99&lt;=0,"",D99*(1+O99)/(N99-O99)),""))</f>
        <v/>
      </c>
      <c r="Q99" s="9">
        <f>IF(H99="","",MIN(MAX(H99,'Léeme'!$B$13),'Léeme'!$B$14))</f>
        <v/>
      </c>
      <c r="R99" s="9">
        <f>IF(N99="","",MIN('Léeme'!$B$15,N99-'Léeme'!$B$16))</f>
        <v/>
      </c>
      <c r="S99" s="16">
        <f>IF(OR(E99="",Q99=""),"",IFERROR(IF(E99&lt;=0,"",E99*(((1+Q99)/(1+N99))+((1+Q99)/(1+N99))^2+((1+Q99)/(1+N99))^3+((1+Q99)/(1+N99))^4+((1+Q99)/(1+N99))^5)+E99*(1+Q99)^5*(1+R99)/((N99-R99)*(1+N99)^5)),""))</f>
        <v/>
      </c>
      <c r="T99" s="9">
        <f>IF(OR(E99="",N99=""),"",IFERROR((C99*N99-E99)/(C99+E99),""))</f>
        <v/>
      </c>
      <c r="U99" s="9">
        <f>IF(OR(H99="",T99=""),"",IFERROR(MIN(MAX(H99,'Léeme'!$B$17),'Léeme'!$B$18)-T99,""))</f>
        <v/>
      </c>
      <c r="V99" s="16">
        <f>IF(OR(I99="",M99="",L99=""),"",IFERROR((I99/M99-J99-K99)/L99,""))</f>
        <v/>
      </c>
      <c r="W99" s="11">
        <f>IFERROR(P99/C99-1,"")</f>
        <v/>
      </c>
      <c r="X99" s="11">
        <f>IFERROR(S99/C99-1,"")</f>
        <v/>
      </c>
      <c r="Y99" s="11">
        <f>IFERROR(V99/C99-1,"")</f>
        <v/>
      </c>
      <c r="Z99" s="3">
        <f>IF(OR(W99="",ISTEXT(W99)),"sin dato",IF(W99&gt;='Léeme'!$B$19,"barato",IF(W99&lt;=-'Léeme'!$B$19,"caro","medio")))</f>
        <v/>
      </c>
      <c r="AA99" s="3">
        <f>IF(OR(X99="",ISTEXT(X99)),"sin dato",IF(X99&gt;='Léeme'!$B$19,"barato",IF(X99&lt;=-'Léeme'!$B$19,"caro","medio")))</f>
        <v/>
      </c>
      <c r="AB99" s="3">
        <f>IF(OR(U99="",ISTEXT(U99)),"sin dato",IF(U99&gt;='Léeme'!$B$20,"barato",IF(U99&lt;=-'Léeme'!$B$20,"caro","medio")))</f>
        <v/>
      </c>
      <c r="AC99" s="3">
        <f>IF(OR(Y99="",ISTEXT(Y99)),"sin dato",IF(Y99&gt;='Léeme'!$B$19,"barato",IF(Y99&lt;=-'Léeme'!$B$19,"caro","medio")))</f>
        <v/>
      </c>
      <c r="AD99" s="7" t="n">
        <v>0.6816239316239316</v>
      </c>
      <c r="AE99" s="7" t="n">
        <v>0.8113636363636364</v>
      </c>
      <c r="AF99" s="7" t="n">
        <v>0.7931818181818182</v>
      </c>
      <c r="AG99" s="7" t="n"/>
    </row>
    <row r="100">
      <c r="A100" s="3" t="inlineStr">
        <is>
          <t>2016-T3</t>
        </is>
      </c>
      <c r="B100" s="13" t="n">
        <v>42643</v>
      </c>
      <c r="C100" s="14" t="n">
        <v>50.849998</v>
      </c>
      <c r="D100" s="14" t="n">
        <v>1.82</v>
      </c>
      <c r="E100" s="14" t="n">
        <v>2.15</v>
      </c>
      <c r="F100" s="5" t="n">
        <v>0.016</v>
      </c>
      <c r="G100" s="5" t="n">
        <v>0.03397522653195018</v>
      </c>
      <c r="H100" s="5" t="n">
        <v>0.08196719070537761</v>
      </c>
      <c r="I100" s="17" t="n">
        <v>481072000</v>
      </c>
      <c r="J100" s="17" t="n">
        <v>2115308000</v>
      </c>
      <c r="K100" s="17" t="n">
        <v>0</v>
      </c>
      <c r="L100" s="17" t="n">
        <v>146002140</v>
      </c>
      <c r="M100" s="5" t="n">
        <v>0.07199999999999999</v>
      </c>
      <c r="N100" s="9">
        <f>IF(F100="","",F100+'Léeme'!$B$10)</f>
        <v/>
      </c>
      <c r="O100" s="9">
        <f>IF(OR(G100="",N100=""),"",MIN(MAX(G100,'Léeme'!$B$11),'Léeme'!$B$12,N100-'Léeme'!$B$16))</f>
        <v/>
      </c>
      <c r="P100" s="16">
        <f>IF(OR(D100="",O100=""),"",IFERROR(IF(D100&lt;=0,"",D100*(1+O100)/(N100-O100)),""))</f>
        <v/>
      </c>
      <c r="Q100" s="9">
        <f>IF(H100="","",MIN(MAX(H100,'Léeme'!$B$13),'Léeme'!$B$14))</f>
        <v/>
      </c>
      <c r="R100" s="9">
        <f>IF(N100="","",MIN('Léeme'!$B$15,N100-'Léeme'!$B$16))</f>
        <v/>
      </c>
      <c r="S100" s="16">
        <f>IF(OR(E100="",Q100=""),"",IFERROR(IF(E100&lt;=0,"",E100*(((1+Q100)/(1+N100))+((1+Q100)/(1+N100))^2+((1+Q100)/(1+N100))^3+((1+Q100)/(1+N100))^4+((1+Q100)/(1+N100))^5)+E100*(1+Q100)^5*(1+R100)/((N100-R100)*(1+N100)^5)),""))</f>
        <v/>
      </c>
      <c r="T100" s="9">
        <f>IF(OR(E100="",N100=""),"",IFERROR((C100*N100-E100)/(C100+E100),""))</f>
        <v/>
      </c>
      <c r="U100" s="9">
        <f>IF(OR(H100="",T100=""),"",IFERROR(MIN(MAX(H100,'Léeme'!$B$17),'Léeme'!$B$18)-T100,""))</f>
        <v/>
      </c>
      <c r="V100" s="16">
        <f>IF(OR(I100="",M100="",L100=""),"",IFERROR((I100/M100-J100-K100)/L100,""))</f>
        <v/>
      </c>
      <c r="W100" s="11">
        <f>IFERROR(P100/C100-1,"")</f>
        <v/>
      </c>
      <c r="X100" s="11">
        <f>IFERROR(S100/C100-1,"")</f>
        <v/>
      </c>
      <c r="Y100" s="11">
        <f>IFERROR(V100/C100-1,"")</f>
        <v/>
      </c>
      <c r="Z100" s="3">
        <f>IF(OR(W100="",ISTEXT(W100)),"sin dato",IF(W100&gt;='Léeme'!$B$19,"barato",IF(W100&lt;=-'Léeme'!$B$19,"caro","medio")))</f>
        <v/>
      </c>
      <c r="AA100" s="3">
        <f>IF(OR(X100="",ISTEXT(X100)),"sin dato",IF(X100&gt;='Léeme'!$B$19,"barato",IF(X100&lt;=-'Léeme'!$B$19,"caro","medio")))</f>
        <v/>
      </c>
      <c r="AB100" s="3">
        <f>IF(OR(U100="",ISTEXT(U100)),"sin dato",IF(U100&gt;='Léeme'!$B$20,"barato",IF(U100&lt;=-'Léeme'!$B$20,"caro","medio")))</f>
        <v/>
      </c>
      <c r="AC100" s="3">
        <f>IF(OR(Y100="",ISTEXT(Y100)),"sin dato",IF(Y100&gt;='Léeme'!$B$19,"barato",IF(Y100&lt;=-'Léeme'!$B$19,"caro","medio")))</f>
        <v/>
      </c>
      <c r="AD100" s="7" t="n">
        <v>0.7320675105485233</v>
      </c>
      <c r="AE100" s="7" t="n">
        <v>0.773542600896861</v>
      </c>
      <c r="AF100" s="7" t="n">
        <v>0.7869955156950673</v>
      </c>
      <c r="AG100" s="7" t="n"/>
    </row>
    <row r="101">
      <c r="A101" s="3" t="inlineStr">
        <is>
          <t>2016-T4</t>
        </is>
      </c>
      <c r="B101" s="13" t="n">
        <v>42734</v>
      </c>
      <c r="C101" s="14" t="n">
        <v>44.200001</v>
      </c>
      <c r="D101" s="14" t="n">
        <v>1.82</v>
      </c>
      <c r="E101" s="14" t="n">
        <v>2.15</v>
      </c>
      <c r="F101" s="5" t="n">
        <v>0.0245</v>
      </c>
      <c r="G101" s="5" t="n">
        <v>0.03397522653195018</v>
      </c>
      <c r="H101" s="5" t="n">
        <v>0.08196719070537761</v>
      </c>
      <c r="I101" s="17" t="n">
        <v>474816000</v>
      </c>
      <c r="J101" s="17" t="n">
        <v>2149260000</v>
      </c>
      <c r="K101" s="17" t="n">
        <v>0</v>
      </c>
      <c r="L101" s="17" t="n">
        <v>147123246</v>
      </c>
      <c r="M101" s="5" t="n">
        <v>0.07199999999999999</v>
      </c>
      <c r="N101" s="9">
        <f>IF(F101="","",F101+'Léeme'!$B$10)</f>
        <v/>
      </c>
      <c r="O101" s="9">
        <f>IF(OR(G101="",N101=""),"",MIN(MAX(G101,'Léeme'!$B$11),'Léeme'!$B$12,N101-'Léeme'!$B$16))</f>
        <v/>
      </c>
      <c r="P101" s="16">
        <f>IF(OR(D101="",O101=""),"",IFERROR(IF(D101&lt;=0,"",D101*(1+O101)/(N101-O101)),""))</f>
        <v/>
      </c>
      <c r="Q101" s="9">
        <f>IF(H101="","",MIN(MAX(H101,'Léeme'!$B$13),'Léeme'!$B$14))</f>
        <v/>
      </c>
      <c r="R101" s="9">
        <f>IF(N101="","",MIN('Léeme'!$B$15,N101-'Léeme'!$B$16))</f>
        <v/>
      </c>
      <c r="S101" s="16">
        <f>IF(OR(E101="",Q101=""),"",IFERROR(IF(E101&lt;=0,"",E101*(((1+Q101)/(1+N101))+((1+Q101)/(1+N101))^2+((1+Q101)/(1+N101))^3+((1+Q101)/(1+N101))^4+((1+Q101)/(1+N101))^5)+E101*(1+Q101)^5*(1+R101)/((N101-R101)*(1+N101)^5)),""))</f>
        <v/>
      </c>
      <c r="T101" s="9">
        <f>IF(OR(E101="",N101=""),"",IFERROR((C101*N101-E101)/(C101+E101),""))</f>
        <v/>
      </c>
      <c r="U101" s="9">
        <f>IF(OR(H101="",T101=""),"",IFERROR(MIN(MAX(H101,'Léeme'!$B$17),'Léeme'!$B$18)-T101,""))</f>
        <v/>
      </c>
      <c r="V101" s="16">
        <f>IF(OR(I101="",M101="",L101=""),"",IFERROR((I101/M101-J101-K101)/L101,""))</f>
        <v/>
      </c>
      <c r="W101" s="11">
        <f>IFERROR(P101/C101-1,"")</f>
        <v/>
      </c>
      <c r="X101" s="11">
        <f>IFERROR(S101/C101-1,"")</f>
        <v/>
      </c>
      <c r="Y101" s="11">
        <f>IFERROR(V101/C101-1,"")</f>
        <v/>
      </c>
      <c r="Z101" s="3">
        <f>IF(OR(W101="",ISTEXT(W101)),"sin dato",IF(W101&gt;='Léeme'!$B$19,"barato",IF(W101&lt;=-'Léeme'!$B$19,"caro","medio")))</f>
        <v/>
      </c>
      <c r="AA101" s="3">
        <f>IF(OR(X101="",ISTEXT(X101)),"sin dato",IF(X101&gt;='Léeme'!$B$19,"barato",IF(X101&lt;=-'Léeme'!$B$19,"caro","medio")))</f>
        <v/>
      </c>
      <c r="AB101" s="3">
        <f>IF(OR(U101="",ISTEXT(U101)),"sin dato",IF(U101&gt;='Léeme'!$B$20,"barato",IF(U101&lt;=-'Léeme'!$B$20,"caro","medio")))</f>
        <v/>
      </c>
      <c r="AC101" s="3">
        <f>IF(OR(Y101="",ISTEXT(Y101)),"sin dato",IF(Y101&gt;='Léeme'!$B$19,"barato",IF(Y101&lt;=-'Léeme'!$B$19,"caro","medio")))</f>
        <v/>
      </c>
      <c r="AD101" s="7" t="n">
        <v>0.8395833333333333</v>
      </c>
      <c r="AE101" s="7" t="n">
        <v>0.5862831858407079</v>
      </c>
      <c r="AF101" s="7" t="n">
        <v>0.7721238938053098</v>
      </c>
      <c r="AG101" s="7" t="n"/>
    </row>
    <row r="102">
      <c r="A102" s="3" t="inlineStr">
        <is>
          <t>2017-T1</t>
        </is>
      </c>
      <c r="B102" s="13" t="n">
        <v>42825</v>
      </c>
      <c r="C102" s="14" t="n">
        <v>43.619999</v>
      </c>
      <c r="D102" s="14" t="n">
        <v>1.82</v>
      </c>
      <c r="E102" s="14" t="n">
        <v>2.28</v>
      </c>
      <c r="F102" s="5" t="n">
        <v>0.024</v>
      </c>
      <c r="G102" s="5" t="n">
        <v>0.03397522653195018</v>
      </c>
      <c r="H102" s="5" t="n">
        <v>0.07747459470869167</v>
      </c>
      <c r="I102" s="17" t="n">
        <v>537224000</v>
      </c>
      <c r="J102" s="17" t="n">
        <v>2017149000</v>
      </c>
      <c r="K102" s="17" t="n">
        <v>0</v>
      </c>
      <c r="L102" s="17" t="n">
        <v>141007725</v>
      </c>
      <c r="M102" s="5" t="n">
        <v>0.06900000000000001</v>
      </c>
      <c r="N102" s="9">
        <f>IF(F102="","",F102+'Léeme'!$B$10)</f>
        <v/>
      </c>
      <c r="O102" s="9">
        <f>IF(OR(G102="",N102=""),"",MIN(MAX(G102,'Léeme'!$B$11),'Léeme'!$B$12,N102-'Léeme'!$B$16))</f>
        <v/>
      </c>
      <c r="P102" s="16">
        <f>IF(OR(D102="",O102=""),"",IFERROR(IF(D102&lt;=0,"",D102*(1+O102)/(N102-O102)),""))</f>
        <v/>
      </c>
      <c r="Q102" s="9">
        <f>IF(H102="","",MIN(MAX(H102,'Léeme'!$B$13),'Léeme'!$B$14))</f>
        <v/>
      </c>
      <c r="R102" s="9">
        <f>IF(N102="","",MIN('Léeme'!$B$15,N102-'Léeme'!$B$16))</f>
        <v/>
      </c>
      <c r="S102" s="16">
        <f>IF(OR(E102="",Q102=""),"",IFERROR(IF(E102&lt;=0,"",E102*(((1+Q102)/(1+N102))+((1+Q102)/(1+N102))^2+((1+Q102)/(1+N102))^3+((1+Q102)/(1+N102))^4+((1+Q102)/(1+N102))^5)+E102*(1+Q102)^5*(1+R102)/((N102-R102)*(1+N102)^5)),""))</f>
        <v/>
      </c>
      <c r="T102" s="9">
        <f>IF(OR(E102="",N102=""),"",IFERROR((C102*N102-E102)/(C102+E102),""))</f>
        <v/>
      </c>
      <c r="U102" s="9">
        <f>IF(OR(H102="",T102=""),"",IFERROR(MIN(MAX(H102,'Léeme'!$B$17),'Léeme'!$B$18)-T102,""))</f>
        <v/>
      </c>
      <c r="V102" s="16">
        <f>IF(OR(I102="",M102="",L102=""),"",IFERROR((I102/M102-J102-K102)/L102,""))</f>
        <v/>
      </c>
      <c r="W102" s="11">
        <f>IFERROR(P102/C102-1,"")</f>
        <v/>
      </c>
      <c r="X102" s="11">
        <f>IFERROR(S102/C102-1,"")</f>
        <v/>
      </c>
      <c r="Y102" s="11">
        <f>IFERROR(V102/C102-1,"")</f>
        <v/>
      </c>
      <c r="Z102" s="3">
        <f>IF(OR(W102="",ISTEXT(W102)),"sin dato",IF(W102&gt;='Léeme'!$B$19,"barato",IF(W102&lt;=-'Léeme'!$B$19,"caro","medio")))</f>
        <v/>
      </c>
      <c r="AA102" s="3">
        <f>IF(OR(X102="",ISTEXT(X102)),"sin dato",IF(X102&gt;='Léeme'!$B$19,"barato",IF(X102&lt;=-'Léeme'!$B$19,"caro","medio")))</f>
        <v/>
      </c>
      <c r="AB102" s="3">
        <f>IF(OR(U102="",ISTEXT(U102)),"sin dato",IF(U102&gt;='Léeme'!$B$20,"barato",IF(U102&lt;=-'Léeme'!$B$20,"caro","medio")))</f>
        <v/>
      </c>
      <c r="AC102" s="3">
        <f>IF(OR(Y102="",ISTEXT(Y102)),"sin dato",IF(Y102&gt;='Léeme'!$B$19,"barato",IF(Y102&lt;=-'Léeme'!$B$19,"caro","medio")))</f>
        <v/>
      </c>
      <c r="AD102" s="7" t="n">
        <v>0.8786008230452675</v>
      </c>
      <c r="AE102" s="7" t="n">
        <v>0.6877729257641921</v>
      </c>
      <c r="AF102" s="7" t="n">
        <v>0.7663755458515283</v>
      </c>
      <c r="AG102" s="7" t="n">
        <v>0.9868421052631579</v>
      </c>
    </row>
    <row r="103">
      <c r="A103" s="3" t="inlineStr">
        <is>
          <t>2017-T2</t>
        </is>
      </c>
      <c r="B103" s="13" t="n">
        <v>42916</v>
      </c>
      <c r="C103" s="14" t="n">
        <v>39.099998</v>
      </c>
      <c r="D103" s="14" t="n">
        <v>1.82</v>
      </c>
      <c r="E103" s="14" t="n">
        <v>2.28</v>
      </c>
      <c r="F103" s="5" t="n">
        <v>0.0231</v>
      </c>
      <c r="G103" s="5" t="n">
        <v>0.03397522653195018</v>
      </c>
      <c r="H103" s="5" t="n">
        <v>0.07747459470869167</v>
      </c>
      <c r="I103" s="17" t="n">
        <v>538252000</v>
      </c>
      <c r="J103" s="17" t="n">
        <v>2278071000</v>
      </c>
      <c r="K103" s="17" t="n">
        <v>0</v>
      </c>
      <c r="L103" s="17" t="n">
        <v>147149945</v>
      </c>
      <c r="M103" s="5" t="n">
        <v>0.06900000000000001</v>
      </c>
      <c r="N103" s="9">
        <f>IF(F103="","",F103+'Léeme'!$B$10)</f>
        <v/>
      </c>
      <c r="O103" s="9">
        <f>IF(OR(G103="",N103=""),"",MIN(MAX(G103,'Léeme'!$B$11),'Léeme'!$B$12,N103-'Léeme'!$B$16))</f>
        <v/>
      </c>
      <c r="P103" s="16">
        <f>IF(OR(D103="",O103=""),"",IFERROR(IF(D103&lt;=0,"",D103*(1+O103)/(N103-O103)),""))</f>
        <v/>
      </c>
      <c r="Q103" s="9">
        <f>IF(H103="","",MIN(MAX(H103,'Léeme'!$B$13),'Léeme'!$B$14))</f>
        <v/>
      </c>
      <c r="R103" s="9">
        <f>IF(N103="","",MIN('Léeme'!$B$15,N103-'Léeme'!$B$16))</f>
        <v/>
      </c>
      <c r="S103" s="16">
        <f>IF(OR(E103="",Q103=""),"",IFERROR(IF(E103&lt;=0,"",E103*(((1+Q103)/(1+N103))+((1+Q103)/(1+N103))^2+((1+Q103)/(1+N103))^3+((1+Q103)/(1+N103))^4+((1+Q103)/(1+N103))^5)+E103*(1+Q103)^5*(1+R103)/((N103-R103)*(1+N103)^5)),""))</f>
        <v/>
      </c>
      <c r="T103" s="9">
        <f>IF(OR(E103="",N103=""),"",IFERROR((C103*N103-E103)/(C103+E103),""))</f>
        <v/>
      </c>
      <c r="U103" s="9">
        <f>IF(OR(H103="",T103=""),"",IFERROR(MIN(MAX(H103,'Léeme'!$B$17),'Léeme'!$B$18)-T103,""))</f>
        <v/>
      </c>
      <c r="V103" s="16">
        <f>IF(OR(I103="",M103="",L103=""),"",IFERROR((I103/M103-J103-K103)/L103,""))</f>
        <v/>
      </c>
      <c r="W103" s="11">
        <f>IFERROR(P103/C103-1,"")</f>
        <v/>
      </c>
      <c r="X103" s="11">
        <f>IFERROR(S103/C103-1,"")</f>
        <v/>
      </c>
      <c r="Y103" s="11">
        <f>IFERROR(V103/C103-1,"")</f>
        <v/>
      </c>
      <c r="Z103" s="3">
        <f>IF(OR(W103="",ISTEXT(W103)),"sin dato",IF(W103&gt;='Léeme'!$B$19,"barato",IF(W103&lt;=-'Léeme'!$B$19,"caro","medio")))</f>
        <v/>
      </c>
      <c r="AA103" s="3">
        <f>IF(OR(X103="",ISTEXT(X103)),"sin dato",IF(X103&gt;='Léeme'!$B$19,"barato",IF(X103&lt;=-'Léeme'!$B$19,"caro","medio")))</f>
        <v/>
      </c>
      <c r="AB103" s="3">
        <f>IF(OR(U103="",ISTEXT(U103)),"sin dato",IF(U103&gt;='Léeme'!$B$20,"barato",IF(U103&lt;=-'Léeme'!$B$20,"caro","medio")))</f>
        <v/>
      </c>
      <c r="AC103" s="3">
        <f>IF(OR(Y103="",ISTEXT(Y103)),"sin dato",IF(Y103&gt;='Léeme'!$B$19,"barato",IF(Y103&lt;=-'Léeme'!$B$19,"caro","medio")))</f>
        <v/>
      </c>
      <c r="AD103" s="7" t="n">
        <v>0.9166666666666666</v>
      </c>
      <c r="AE103" s="7" t="n">
        <v>0.8556034482758621</v>
      </c>
      <c r="AF103" s="7" t="n">
        <v>0.8125</v>
      </c>
      <c r="AG103" s="7" t="n">
        <v>0.9390243902439024</v>
      </c>
    </row>
    <row r="104">
      <c r="A104" s="3" t="inlineStr">
        <is>
          <t>2017-T3</t>
        </is>
      </c>
      <c r="B104" s="13" t="n">
        <v>43007</v>
      </c>
      <c r="C104" s="14" t="n">
        <v>41.66</v>
      </c>
      <c r="D104" s="14" t="n">
        <v>1.9</v>
      </c>
      <c r="E104" s="14" t="n">
        <v>2.28</v>
      </c>
      <c r="F104" s="5" t="n">
        <v>0.0233</v>
      </c>
      <c r="G104" s="5" t="n">
        <v>0.03757453118231768</v>
      </c>
      <c r="H104" s="5" t="n">
        <v>0.07747459470869167</v>
      </c>
      <c r="I104" s="17" t="n">
        <v>530948000</v>
      </c>
      <c r="J104" s="17" t="n">
        <v>2524351000</v>
      </c>
      <c r="K104" s="17" t="n">
        <v>0</v>
      </c>
      <c r="L104" s="17" t="n">
        <v>149206493</v>
      </c>
      <c r="M104" s="5" t="n">
        <v>0.06900000000000001</v>
      </c>
      <c r="N104" s="9">
        <f>IF(F104="","",F104+'Léeme'!$B$10)</f>
        <v/>
      </c>
      <c r="O104" s="9">
        <f>IF(OR(G104="",N104=""),"",MIN(MAX(G104,'Léeme'!$B$11),'Léeme'!$B$12,N104-'Léeme'!$B$16))</f>
        <v/>
      </c>
      <c r="P104" s="16">
        <f>IF(OR(D104="",O104=""),"",IFERROR(IF(D104&lt;=0,"",D104*(1+O104)/(N104-O104)),""))</f>
        <v/>
      </c>
      <c r="Q104" s="9">
        <f>IF(H104="","",MIN(MAX(H104,'Léeme'!$B$13),'Léeme'!$B$14))</f>
        <v/>
      </c>
      <c r="R104" s="9">
        <f>IF(N104="","",MIN('Léeme'!$B$15,N104-'Léeme'!$B$16))</f>
        <v/>
      </c>
      <c r="S104" s="16">
        <f>IF(OR(E104="",Q104=""),"",IFERROR(IF(E104&lt;=0,"",E104*(((1+Q104)/(1+N104))+((1+Q104)/(1+N104))^2+((1+Q104)/(1+N104))^3+((1+Q104)/(1+N104))^4+((1+Q104)/(1+N104))^5)+E104*(1+Q104)^5*(1+R104)/((N104-R104)*(1+N104)^5)),""))</f>
        <v/>
      </c>
      <c r="T104" s="9">
        <f>IF(OR(E104="",N104=""),"",IFERROR((C104*N104-E104)/(C104+E104),""))</f>
        <v/>
      </c>
      <c r="U104" s="9">
        <f>IF(OR(H104="",T104=""),"",IFERROR(MIN(MAX(H104,'Léeme'!$B$17),'Léeme'!$B$18)-T104,""))</f>
        <v/>
      </c>
      <c r="V104" s="16">
        <f>IF(OR(I104="",M104="",L104=""),"",IFERROR((I104/M104-J104-K104)/L104,""))</f>
        <v/>
      </c>
      <c r="W104" s="11">
        <f>IFERROR(P104/C104-1,"")</f>
        <v/>
      </c>
      <c r="X104" s="11">
        <f>IFERROR(S104/C104-1,"")</f>
        <v/>
      </c>
      <c r="Y104" s="11">
        <f>IFERROR(V104/C104-1,"")</f>
        <v/>
      </c>
      <c r="Z104" s="3">
        <f>IF(OR(W104="",ISTEXT(W104)),"sin dato",IF(W104&gt;='Léeme'!$B$19,"barato",IF(W104&lt;=-'Léeme'!$B$19,"caro","medio")))</f>
        <v/>
      </c>
      <c r="AA104" s="3">
        <f>IF(OR(X104="",ISTEXT(X104)),"sin dato",IF(X104&gt;='Léeme'!$B$19,"barato",IF(X104&lt;=-'Léeme'!$B$19,"caro","medio")))</f>
        <v/>
      </c>
      <c r="AB104" s="3">
        <f>IF(OR(U104="",ISTEXT(U104)),"sin dato",IF(U104&gt;='Léeme'!$B$20,"barato",IF(U104&lt;=-'Léeme'!$B$20,"caro","medio")))</f>
        <v/>
      </c>
      <c r="AC104" s="3">
        <f>IF(OR(Y104="",ISTEXT(Y104)),"sin dato",IF(Y104&gt;='Léeme'!$B$19,"barato",IF(Y104&lt;=-'Léeme'!$B$19,"caro","medio")))</f>
        <v/>
      </c>
      <c r="AD104" s="7" t="n">
        <v>0.9056224899598394</v>
      </c>
      <c r="AE104" s="7" t="n">
        <v>0.7595744680851064</v>
      </c>
      <c r="AF104" s="7" t="n">
        <v>0.7808510638297872</v>
      </c>
      <c r="AG104" s="7" t="n">
        <v>0.7386363636363636</v>
      </c>
    </row>
    <row r="105">
      <c r="A105" s="3" t="inlineStr">
        <is>
          <t>2017-T4</t>
        </is>
      </c>
      <c r="B105" s="13" t="n">
        <v>43098</v>
      </c>
      <c r="C105" s="14" t="n">
        <v>43.130001</v>
      </c>
      <c r="D105" s="14" t="n">
        <v>1.9</v>
      </c>
      <c r="E105" s="14" t="n">
        <v>2.28</v>
      </c>
      <c r="F105" s="5" t="n">
        <v>0.024</v>
      </c>
      <c r="G105" s="5" t="n">
        <v>0.03757453118231768</v>
      </c>
      <c r="H105" s="5" t="n">
        <v>0.07747459470869167</v>
      </c>
      <c r="I105" s="17" t="n">
        <v>567388000</v>
      </c>
      <c r="J105" s="17" t="n">
        <v>2454598000</v>
      </c>
      <c r="K105" s="17" t="n">
        <v>0</v>
      </c>
      <c r="L105" s="17" t="n">
        <v>151627386</v>
      </c>
      <c r="M105" s="5" t="n">
        <v>0.06900000000000001</v>
      </c>
      <c r="N105" s="9">
        <f>IF(F105="","",F105+'Léeme'!$B$10)</f>
        <v/>
      </c>
      <c r="O105" s="9">
        <f>IF(OR(G105="",N105=""),"",MIN(MAX(G105,'Léeme'!$B$11),'Léeme'!$B$12,N105-'Léeme'!$B$16))</f>
        <v/>
      </c>
      <c r="P105" s="16">
        <f>IF(OR(D105="",O105=""),"",IFERROR(IF(D105&lt;=0,"",D105*(1+O105)/(N105-O105)),""))</f>
        <v/>
      </c>
      <c r="Q105" s="9">
        <f>IF(H105="","",MIN(MAX(H105,'Léeme'!$B$13),'Léeme'!$B$14))</f>
        <v/>
      </c>
      <c r="R105" s="9">
        <f>IF(N105="","",MIN('Léeme'!$B$15,N105-'Léeme'!$B$16))</f>
        <v/>
      </c>
      <c r="S105" s="16">
        <f>IF(OR(E105="",Q105=""),"",IFERROR(IF(E105&lt;=0,"",E105*(((1+Q105)/(1+N105))+((1+Q105)/(1+N105))^2+((1+Q105)/(1+N105))^3+((1+Q105)/(1+N105))^4+((1+Q105)/(1+N105))^5)+E105*(1+Q105)^5*(1+R105)/((N105-R105)*(1+N105)^5)),""))</f>
        <v/>
      </c>
      <c r="T105" s="9">
        <f>IF(OR(E105="",N105=""),"",IFERROR((C105*N105-E105)/(C105+E105),""))</f>
        <v/>
      </c>
      <c r="U105" s="9">
        <f>IF(OR(H105="",T105=""),"",IFERROR(MIN(MAX(H105,'Léeme'!$B$17),'Léeme'!$B$18)-T105,""))</f>
        <v/>
      </c>
      <c r="V105" s="16">
        <f>IF(OR(I105="",M105="",L105=""),"",IFERROR((I105/M105-J105-K105)/L105,""))</f>
        <v/>
      </c>
      <c r="W105" s="11">
        <f>IFERROR(P105/C105-1,"")</f>
        <v/>
      </c>
      <c r="X105" s="11">
        <f>IFERROR(S105/C105-1,"")</f>
        <v/>
      </c>
      <c r="Y105" s="11">
        <f>IFERROR(V105/C105-1,"")</f>
        <v/>
      </c>
      <c r="Z105" s="3">
        <f>IF(OR(W105="",ISTEXT(W105)),"sin dato",IF(W105&gt;='Léeme'!$B$19,"barato",IF(W105&lt;=-'Léeme'!$B$19,"caro","medio")))</f>
        <v/>
      </c>
      <c r="AA105" s="3">
        <f>IF(OR(X105="",ISTEXT(X105)),"sin dato",IF(X105&gt;='Léeme'!$B$19,"barato",IF(X105&lt;=-'Léeme'!$B$19,"caro","medio")))</f>
        <v/>
      </c>
      <c r="AB105" s="3">
        <f>IF(OR(U105="",ISTEXT(U105)),"sin dato",IF(U105&gt;='Léeme'!$B$20,"barato",IF(U105&lt;=-'Léeme'!$B$20,"caro","medio")))</f>
        <v/>
      </c>
      <c r="AC105" s="3">
        <f>IF(OR(Y105="",ISTEXT(Y105)),"sin dato",IF(Y105&gt;='Léeme'!$B$19,"barato",IF(Y105&lt;=-'Léeme'!$B$19,"caro","medio")))</f>
        <v/>
      </c>
      <c r="AD105" s="7" t="n">
        <v>0.871031746031746</v>
      </c>
      <c r="AE105" s="7" t="n">
        <v>0.6953781512605042</v>
      </c>
      <c r="AF105" s="7" t="n">
        <v>0.7457983193277311</v>
      </c>
      <c r="AG105" s="7" t="n">
        <v>0.7978723404255319</v>
      </c>
    </row>
    <row r="106">
      <c r="A106" s="3" t="inlineStr">
        <is>
          <t>2018-T1</t>
        </is>
      </c>
      <c r="B106" s="13" t="n">
        <v>43188</v>
      </c>
      <c r="C106" s="14" t="n">
        <v>39.259998</v>
      </c>
      <c r="D106" s="14" t="n">
        <v>1.9</v>
      </c>
      <c r="E106" s="14" t="n">
        <v>2.4</v>
      </c>
      <c r="F106" s="5" t="n">
        <v>0.0274</v>
      </c>
      <c r="G106" s="5" t="n">
        <v>0.03757453118231768</v>
      </c>
      <c r="H106" s="5" t="n">
        <v>0.06279033201819173</v>
      </c>
      <c r="I106" s="17" t="n">
        <v>543860000</v>
      </c>
      <c r="J106" s="17" t="n">
        <v>2578843000</v>
      </c>
      <c r="K106" s="17" t="n">
        <v>0</v>
      </c>
      <c r="L106" s="17" t="n">
        <v>153577028</v>
      </c>
      <c r="M106" s="5" t="n">
        <v>0.06900000000000001</v>
      </c>
      <c r="N106" s="9">
        <f>IF(F106="","",F106+'Léeme'!$B$10)</f>
        <v/>
      </c>
      <c r="O106" s="9">
        <f>IF(OR(G106="",N106=""),"",MIN(MAX(G106,'Léeme'!$B$11),'Léeme'!$B$12,N106-'Léeme'!$B$16))</f>
        <v/>
      </c>
      <c r="P106" s="16">
        <f>IF(OR(D106="",O106=""),"",IFERROR(IF(D106&lt;=0,"",D106*(1+O106)/(N106-O106)),""))</f>
        <v/>
      </c>
      <c r="Q106" s="9">
        <f>IF(H106="","",MIN(MAX(H106,'Léeme'!$B$13),'Léeme'!$B$14))</f>
        <v/>
      </c>
      <c r="R106" s="9">
        <f>IF(N106="","",MIN('Léeme'!$B$15,N106-'Léeme'!$B$16))</f>
        <v/>
      </c>
      <c r="S106" s="16">
        <f>IF(OR(E106="",Q106=""),"",IFERROR(IF(E106&lt;=0,"",E106*(((1+Q106)/(1+N106))+((1+Q106)/(1+N106))^2+((1+Q106)/(1+N106))^3+((1+Q106)/(1+N106))^4+((1+Q106)/(1+N106))^5)+E106*(1+Q106)^5*(1+R106)/((N106-R106)*(1+N106)^5)),""))</f>
        <v/>
      </c>
      <c r="T106" s="9">
        <f>IF(OR(E106="",N106=""),"",IFERROR((C106*N106-E106)/(C106+E106),""))</f>
        <v/>
      </c>
      <c r="U106" s="9">
        <f>IF(OR(H106="",T106=""),"",IFERROR(MIN(MAX(H106,'Léeme'!$B$17),'Léeme'!$B$18)-T106,""))</f>
        <v/>
      </c>
      <c r="V106" s="16">
        <f>IF(OR(I106="",M106="",L106=""),"",IFERROR((I106/M106-J106-K106)/L106,""))</f>
        <v/>
      </c>
      <c r="W106" s="11">
        <f>IFERROR(P106/C106-1,"")</f>
        <v/>
      </c>
      <c r="X106" s="11">
        <f>IFERROR(S106/C106-1,"")</f>
        <v/>
      </c>
      <c r="Y106" s="11">
        <f>IFERROR(V106/C106-1,"")</f>
        <v/>
      </c>
      <c r="Z106" s="3">
        <f>IF(OR(W106="",ISTEXT(W106)),"sin dato",IF(W106&gt;='Léeme'!$B$19,"barato",IF(W106&lt;=-'Léeme'!$B$19,"caro","medio")))</f>
        <v/>
      </c>
      <c r="AA106" s="3">
        <f>IF(OR(X106="",ISTEXT(X106)),"sin dato",IF(X106&gt;='Léeme'!$B$19,"barato",IF(X106&lt;=-'Léeme'!$B$19,"caro","medio")))</f>
        <v/>
      </c>
      <c r="AB106" s="3">
        <f>IF(OR(U106="",ISTEXT(U106)),"sin dato",IF(U106&gt;='Léeme'!$B$20,"barato",IF(U106&lt;=-'Léeme'!$B$20,"caro","medio")))</f>
        <v/>
      </c>
      <c r="AC106" s="3">
        <f>IF(OR(Y106="",ISTEXT(Y106)),"sin dato",IF(Y106&gt;='Léeme'!$B$19,"barato",IF(Y106&lt;=-'Léeme'!$B$19,"caro","medio")))</f>
        <v/>
      </c>
      <c r="AD106" s="7" t="n">
        <v>0.9392156862745098</v>
      </c>
      <c r="AE106" s="7" t="n">
        <v>0.6535269709543569</v>
      </c>
      <c r="AF106" s="7" t="n">
        <v>0.6825726141078838</v>
      </c>
      <c r="AG106" s="7" t="n">
        <v>0.73</v>
      </c>
    </row>
    <row r="107">
      <c r="A107" s="3" t="inlineStr">
        <is>
          <t>2018-T2</t>
        </is>
      </c>
      <c r="B107" s="13" t="n">
        <v>43280</v>
      </c>
      <c r="C107" s="14" t="n">
        <v>43.959999</v>
      </c>
      <c r="D107" s="14" t="n">
        <v>1.9</v>
      </c>
      <c r="E107" s="14" t="n">
        <v>2.4</v>
      </c>
      <c r="F107" s="5" t="n">
        <v>0.0285</v>
      </c>
      <c r="G107" s="5" t="n">
        <v>0.03757453118231768</v>
      </c>
      <c r="H107" s="5" t="n">
        <v>0.06279033201819173</v>
      </c>
      <c r="I107" s="17" t="n">
        <v>577860000</v>
      </c>
      <c r="J107" s="17" t="n">
        <v>2632940000</v>
      </c>
      <c r="K107" s="17" t="n">
        <v>0</v>
      </c>
      <c r="L107" s="17" t="n">
        <v>153848013</v>
      </c>
      <c r="M107" s="5" t="n">
        <v>0.06900000000000001</v>
      </c>
      <c r="N107" s="9">
        <f>IF(F107="","",F107+'Léeme'!$B$10)</f>
        <v/>
      </c>
      <c r="O107" s="9">
        <f>IF(OR(G107="",N107=""),"",MIN(MAX(G107,'Léeme'!$B$11),'Léeme'!$B$12,N107-'Léeme'!$B$16))</f>
        <v/>
      </c>
      <c r="P107" s="16">
        <f>IF(OR(D107="",O107=""),"",IFERROR(IF(D107&lt;=0,"",D107*(1+O107)/(N107-O107)),""))</f>
        <v/>
      </c>
      <c r="Q107" s="9">
        <f>IF(H107="","",MIN(MAX(H107,'Léeme'!$B$13),'Léeme'!$B$14))</f>
        <v/>
      </c>
      <c r="R107" s="9">
        <f>IF(N107="","",MIN('Léeme'!$B$15,N107-'Léeme'!$B$16))</f>
        <v/>
      </c>
      <c r="S107" s="16">
        <f>IF(OR(E107="",Q107=""),"",IFERROR(IF(E107&lt;=0,"",E107*(((1+Q107)/(1+N107))+((1+Q107)/(1+N107))^2+((1+Q107)/(1+N107))^3+((1+Q107)/(1+N107))^4+((1+Q107)/(1+N107))^5)+E107*(1+Q107)^5*(1+R107)/((N107-R107)*(1+N107)^5)),""))</f>
        <v/>
      </c>
      <c r="T107" s="9">
        <f>IF(OR(E107="",N107=""),"",IFERROR((C107*N107-E107)/(C107+E107),""))</f>
        <v/>
      </c>
      <c r="U107" s="9">
        <f>IF(OR(H107="",T107=""),"",IFERROR(MIN(MAX(H107,'Léeme'!$B$17),'Léeme'!$B$18)-T107,""))</f>
        <v/>
      </c>
      <c r="V107" s="16">
        <f>IF(OR(I107="",M107="",L107=""),"",IFERROR((I107/M107-J107-K107)/L107,""))</f>
        <v/>
      </c>
      <c r="W107" s="11">
        <f>IFERROR(P107/C107-1,"")</f>
        <v/>
      </c>
      <c r="X107" s="11">
        <f>IFERROR(S107/C107-1,"")</f>
        <v/>
      </c>
      <c r="Y107" s="11">
        <f>IFERROR(V107/C107-1,"")</f>
        <v/>
      </c>
      <c r="Z107" s="3">
        <f>IF(OR(W107="",ISTEXT(W107)),"sin dato",IF(W107&gt;='Léeme'!$B$19,"barato",IF(W107&lt;=-'Léeme'!$B$19,"caro","medio")))</f>
        <v/>
      </c>
      <c r="AA107" s="3">
        <f>IF(OR(X107="",ISTEXT(X107)),"sin dato",IF(X107&gt;='Léeme'!$B$19,"barato",IF(X107&lt;=-'Léeme'!$B$19,"caro","medio")))</f>
        <v/>
      </c>
      <c r="AB107" s="3">
        <f>IF(OR(U107="",ISTEXT(U107)),"sin dato",IF(U107&gt;='Léeme'!$B$20,"barato",IF(U107&lt;=-'Léeme'!$B$20,"caro","medio")))</f>
        <v/>
      </c>
      <c r="AC107" s="3">
        <f>IF(OR(Y107="",ISTEXT(Y107)),"sin dato",IF(Y107&gt;='Léeme'!$B$19,"barato",IF(Y107&lt;=-'Léeme'!$B$19,"caro","medio")))</f>
        <v/>
      </c>
      <c r="AD107" s="7" t="n">
        <v>0.8236434108527132</v>
      </c>
      <c r="AE107" s="7" t="n">
        <v>0.4610655737704918</v>
      </c>
      <c r="AF107" s="7" t="n">
        <v>0.6372950819672131</v>
      </c>
      <c r="AG107" s="7" t="n">
        <v>0.6320754716981132</v>
      </c>
    </row>
    <row r="108">
      <c r="A108" s="3" t="inlineStr">
        <is>
          <t>2018-T3</t>
        </is>
      </c>
      <c r="B108" s="13" t="n">
        <v>43371</v>
      </c>
      <c r="C108" s="14" t="n">
        <v>44.82</v>
      </c>
      <c r="D108" s="14" t="n">
        <v>2</v>
      </c>
      <c r="E108" s="14" t="n">
        <v>2.4</v>
      </c>
      <c r="F108" s="5" t="n">
        <v>0.0305</v>
      </c>
      <c r="G108" s="5" t="n">
        <v>0.04304488151063257</v>
      </c>
      <c r="H108" s="5" t="n">
        <v>0.06279033201819173</v>
      </c>
      <c r="I108" s="17" t="n">
        <v>582380000</v>
      </c>
      <c r="J108" s="17" t="n">
        <v>2626205000</v>
      </c>
      <c r="K108" s="17" t="n">
        <v>0</v>
      </c>
      <c r="L108" s="17" t="n">
        <v>156990141</v>
      </c>
      <c r="M108" s="5" t="n">
        <v>0.06900000000000001</v>
      </c>
      <c r="N108" s="9">
        <f>IF(F108="","",F108+'Léeme'!$B$10)</f>
        <v/>
      </c>
      <c r="O108" s="9">
        <f>IF(OR(G108="",N108=""),"",MIN(MAX(G108,'Léeme'!$B$11),'Léeme'!$B$12,N108-'Léeme'!$B$16))</f>
        <v/>
      </c>
      <c r="P108" s="16">
        <f>IF(OR(D108="",O108=""),"",IFERROR(IF(D108&lt;=0,"",D108*(1+O108)/(N108-O108)),""))</f>
        <v/>
      </c>
      <c r="Q108" s="9">
        <f>IF(H108="","",MIN(MAX(H108,'Léeme'!$B$13),'Léeme'!$B$14))</f>
        <v/>
      </c>
      <c r="R108" s="9">
        <f>IF(N108="","",MIN('Léeme'!$B$15,N108-'Léeme'!$B$16))</f>
        <v/>
      </c>
      <c r="S108" s="16">
        <f>IF(OR(E108="",Q108=""),"",IFERROR(IF(E108&lt;=0,"",E108*(((1+Q108)/(1+N108))+((1+Q108)/(1+N108))^2+((1+Q108)/(1+N108))^3+((1+Q108)/(1+N108))^4+((1+Q108)/(1+N108))^5)+E108*(1+Q108)^5*(1+R108)/((N108-R108)*(1+N108)^5)),""))</f>
        <v/>
      </c>
      <c r="T108" s="9">
        <f>IF(OR(E108="",N108=""),"",IFERROR((C108*N108-E108)/(C108+E108),""))</f>
        <v/>
      </c>
      <c r="U108" s="9">
        <f>IF(OR(H108="",T108=""),"",IFERROR(MIN(MAX(H108,'Léeme'!$B$17),'Léeme'!$B$18)-T108,""))</f>
        <v/>
      </c>
      <c r="V108" s="16">
        <f>IF(OR(I108="",M108="",L108=""),"",IFERROR((I108/M108-J108-K108)/L108,""))</f>
        <v/>
      </c>
      <c r="W108" s="11">
        <f>IFERROR(P108/C108-1,"")</f>
        <v/>
      </c>
      <c r="X108" s="11">
        <f>IFERROR(S108/C108-1,"")</f>
        <v/>
      </c>
      <c r="Y108" s="11">
        <f>IFERROR(V108/C108-1,"")</f>
        <v/>
      </c>
      <c r="Z108" s="3">
        <f>IF(OR(W108="",ISTEXT(W108)),"sin dato",IF(W108&gt;='Léeme'!$B$19,"barato",IF(W108&lt;=-'Léeme'!$B$19,"caro","medio")))</f>
        <v/>
      </c>
      <c r="AA108" s="3">
        <f>IF(OR(X108="",ISTEXT(X108)),"sin dato",IF(X108&gt;='Léeme'!$B$19,"barato",IF(X108&lt;=-'Léeme'!$B$19,"caro","medio")))</f>
        <v/>
      </c>
      <c r="AB108" s="3">
        <f>IF(OR(U108="",ISTEXT(U108)),"sin dato",IF(U108&gt;='Léeme'!$B$20,"barato",IF(U108&lt;=-'Léeme'!$B$20,"caro","medio")))</f>
        <v/>
      </c>
      <c r="AC108" s="3">
        <f>IF(OR(Y108="",ISTEXT(Y108)),"sin dato",IF(Y108&gt;='Léeme'!$B$19,"barato",IF(Y108&lt;=-'Léeme'!$B$19,"caro","medio")))</f>
        <v/>
      </c>
      <c r="AD108" s="7" t="n">
        <v>0.8448275862068966</v>
      </c>
      <c r="AE108" s="7" t="n">
        <v>0.4068825910931174</v>
      </c>
      <c r="AF108" s="7" t="n">
        <v>0.6133603238866396</v>
      </c>
      <c r="AG108" s="7" t="n">
        <v>0.5803571428571429</v>
      </c>
    </row>
    <row r="109">
      <c r="A109" s="3" t="inlineStr">
        <is>
          <t>2018-T4</t>
        </is>
      </c>
      <c r="B109" s="13" t="n">
        <v>43465</v>
      </c>
      <c r="C109" s="14" t="n">
        <v>48.509998</v>
      </c>
      <c r="D109" s="14" t="n">
        <v>2</v>
      </c>
      <c r="E109" s="14" t="n">
        <v>2.4</v>
      </c>
      <c r="F109" s="5" t="n">
        <v>0.0269</v>
      </c>
      <c r="G109" s="5" t="n">
        <v>0.04304488151063257</v>
      </c>
      <c r="H109" s="5" t="n">
        <v>0.06279033201819173</v>
      </c>
      <c r="I109" s="17" t="n">
        <v>582860000</v>
      </c>
      <c r="J109" s="17" t="n">
        <v>2540488000</v>
      </c>
      <c r="K109" s="17" t="n">
        <v>0</v>
      </c>
      <c r="L109" s="17" t="n">
        <v>158933104</v>
      </c>
      <c r="M109" s="5" t="n">
        <v>0.06900000000000001</v>
      </c>
      <c r="N109" s="9">
        <f>IF(F109="","",F109+'Léeme'!$B$10)</f>
        <v/>
      </c>
      <c r="O109" s="9">
        <f>IF(OR(G109="",N109=""),"",MIN(MAX(G109,'Léeme'!$B$11),'Léeme'!$B$12,N109-'Léeme'!$B$16))</f>
        <v/>
      </c>
      <c r="P109" s="16">
        <f>IF(OR(D109="",O109=""),"",IFERROR(IF(D109&lt;=0,"",D109*(1+O109)/(N109-O109)),""))</f>
        <v/>
      </c>
      <c r="Q109" s="9">
        <f>IF(H109="","",MIN(MAX(H109,'Léeme'!$B$13),'Léeme'!$B$14))</f>
        <v/>
      </c>
      <c r="R109" s="9">
        <f>IF(N109="","",MIN('Léeme'!$B$15,N109-'Léeme'!$B$16))</f>
        <v/>
      </c>
      <c r="S109" s="16">
        <f>IF(OR(E109="",Q109=""),"",IFERROR(IF(E109&lt;=0,"",E109*(((1+Q109)/(1+N109))+((1+Q109)/(1+N109))^2+((1+Q109)/(1+N109))^3+((1+Q109)/(1+N109))^4+((1+Q109)/(1+N109))^5)+E109*(1+Q109)^5*(1+R109)/((N109-R109)*(1+N109)^5)),""))</f>
        <v/>
      </c>
      <c r="T109" s="9">
        <f>IF(OR(E109="",N109=""),"",IFERROR((C109*N109-E109)/(C109+E109),""))</f>
        <v/>
      </c>
      <c r="U109" s="9">
        <f>IF(OR(H109="",T109=""),"",IFERROR(MIN(MAX(H109,'Léeme'!$B$17),'Léeme'!$B$18)-T109,""))</f>
        <v/>
      </c>
      <c r="V109" s="16">
        <f>IF(OR(I109="",M109="",L109=""),"",IFERROR((I109/M109-J109-K109)/L109,""))</f>
        <v/>
      </c>
      <c r="W109" s="11">
        <f>IFERROR(P109/C109-1,"")</f>
        <v/>
      </c>
      <c r="X109" s="11">
        <f>IFERROR(S109/C109-1,"")</f>
        <v/>
      </c>
      <c r="Y109" s="11">
        <f>IFERROR(V109/C109-1,"")</f>
        <v/>
      </c>
      <c r="Z109" s="3">
        <f>IF(OR(W109="",ISTEXT(W109)),"sin dato",IF(W109&gt;='Léeme'!$B$19,"barato",IF(W109&lt;=-'Léeme'!$B$19,"caro","medio")))</f>
        <v/>
      </c>
      <c r="AA109" s="3">
        <f>IF(OR(X109="",ISTEXT(X109)),"sin dato",IF(X109&gt;='Léeme'!$B$19,"barato",IF(X109&lt;=-'Léeme'!$B$19,"caro","medio")))</f>
        <v/>
      </c>
      <c r="AB109" s="3">
        <f>IF(OR(U109="",ISTEXT(U109)),"sin dato",IF(U109&gt;='Léeme'!$B$20,"barato",IF(U109&lt;=-'Léeme'!$B$20,"caro","medio")))</f>
        <v/>
      </c>
      <c r="AC109" s="3">
        <f>IF(OR(Y109="",ISTEXT(Y109)),"sin dato",IF(Y109&gt;='Léeme'!$B$19,"barato",IF(Y109&lt;=-'Léeme'!$B$19,"caro","medio")))</f>
        <v/>
      </c>
      <c r="AD109" s="7" t="n">
        <v>0.8125</v>
      </c>
      <c r="AE109" s="7" t="n">
        <v>0.422</v>
      </c>
      <c r="AF109" s="7" t="n">
        <v>0.614</v>
      </c>
      <c r="AG109" s="7" t="n">
        <v>0.3644067796610169</v>
      </c>
    </row>
    <row r="110">
      <c r="A110" s="3" t="inlineStr">
        <is>
          <t>2019-T1</t>
        </is>
      </c>
      <c r="B110" s="13" t="n">
        <v>43553</v>
      </c>
      <c r="C110" s="14" t="n">
        <v>55.389999</v>
      </c>
      <c r="D110" s="14" t="n">
        <v>2</v>
      </c>
      <c r="E110" s="14" t="n">
        <v>2.53</v>
      </c>
      <c r="F110" s="5" t="n">
        <v>0.0241</v>
      </c>
      <c r="G110" s="5" t="n">
        <v>0.04304488151063257</v>
      </c>
      <c r="H110" s="5" t="n">
        <v>0.05783377872346795</v>
      </c>
      <c r="I110" s="17" t="n">
        <v>536464000</v>
      </c>
      <c r="J110" s="17" t="n">
        <v>2737128000</v>
      </c>
      <c r="K110" s="17" t="n">
        <v>0</v>
      </c>
      <c r="L110" s="17" t="n">
        <v>161503585</v>
      </c>
      <c r="M110" s="5" t="n">
        <v>0.068</v>
      </c>
      <c r="N110" s="9">
        <f>IF(F110="","",F110+'Léeme'!$B$10)</f>
        <v/>
      </c>
      <c r="O110" s="9">
        <f>IF(OR(G110="",N110=""),"",MIN(MAX(G110,'Léeme'!$B$11),'Léeme'!$B$12,N110-'Léeme'!$B$16))</f>
        <v/>
      </c>
      <c r="P110" s="16">
        <f>IF(OR(D110="",O110=""),"",IFERROR(IF(D110&lt;=0,"",D110*(1+O110)/(N110-O110)),""))</f>
        <v/>
      </c>
      <c r="Q110" s="9">
        <f>IF(H110="","",MIN(MAX(H110,'Léeme'!$B$13),'Léeme'!$B$14))</f>
        <v/>
      </c>
      <c r="R110" s="9">
        <f>IF(N110="","",MIN('Léeme'!$B$15,N110-'Léeme'!$B$16))</f>
        <v/>
      </c>
      <c r="S110" s="16">
        <f>IF(OR(E110="",Q110=""),"",IFERROR(IF(E110&lt;=0,"",E110*(((1+Q110)/(1+N110))+((1+Q110)/(1+N110))^2+((1+Q110)/(1+N110))^3+((1+Q110)/(1+N110))^4+((1+Q110)/(1+N110))^5)+E110*(1+Q110)^5*(1+R110)/((N110-R110)*(1+N110)^5)),""))</f>
        <v/>
      </c>
      <c r="T110" s="9">
        <f>IF(OR(E110="",N110=""),"",IFERROR((C110*N110-E110)/(C110+E110),""))</f>
        <v/>
      </c>
      <c r="U110" s="9">
        <f>IF(OR(H110="",T110=""),"",IFERROR(MIN(MAX(H110,'Léeme'!$B$17),'Léeme'!$B$18)-T110,""))</f>
        <v/>
      </c>
      <c r="V110" s="16">
        <f>IF(OR(I110="",M110="",L110=""),"",IFERROR((I110/M110-J110-K110)/L110,""))</f>
        <v/>
      </c>
      <c r="W110" s="11">
        <f>IFERROR(P110/C110-1,"")</f>
        <v/>
      </c>
      <c r="X110" s="11">
        <f>IFERROR(S110/C110-1,"")</f>
        <v/>
      </c>
      <c r="Y110" s="11">
        <f>IFERROR(V110/C110-1,"")</f>
        <v/>
      </c>
      <c r="Z110" s="3">
        <f>IF(OR(W110="",ISTEXT(W110)),"sin dato",IF(W110&gt;='Léeme'!$B$19,"barato",IF(W110&lt;=-'Léeme'!$B$19,"caro","medio")))</f>
        <v/>
      </c>
      <c r="AA110" s="3">
        <f>IF(OR(X110="",ISTEXT(X110)),"sin dato",IF(X110&gt;='Léeme'!$B$19,"barato",IF(X110&lt;=-'Léeme'!$B$19,"caro","medio")))</f>
        <v/>
      </c>
      <c r="AB110" s="3">
        <f>IF(OR(U110="",ISTEXT(U110)),"sin dato",IF(U110&gt;='Léeme'!$B$20,"barato",IF(U110&lt;=-'Léeme'!$B$20,"caro","medio")))</f>
        <v/>
      </c>
      <c r="AC110" s="3">
        <f>IF(OR(Y110="",ISTEXT(Y110)),"sin dato",IF(Y110&gt;='Léeme'!$B$19,"barato",IF(Y110&lt;=-'Léeme'!$B$19,"caro","medio")))</f>
        <v/>
      </c>
      <c r="AD110" s="7" t="n">
        <v>0.6610486891385767</v>
      </c>
      <c r="AE110" s="7" t="n">
        <v>0.4090909090909091</v>
      </c>
      <c r="AF110" s="7" t="n">
        <v>0.567193675889328</v>
      </c>
      <c r="AG110" s="7" t="n">
        <v>0.008064516129032258</v>
      </c>
    </row>
    <row r="111">
      <c r="A111" s="3" t="inlineStr">
        <is>
          <t>2019-T2</t>
        </is>
      </c>
      <c r="B111" s="13" t="n">
        <v>43644</v>
      </c>
      <c r="C111" s="14" t="n">
        <v>53.009998</v>
      </c>
      <c r="D111" s="14" t="n">
        <v>2</v>
      </c>
      <c r="E111" s="14" t="n">
        <v>2.53</v>
      </c>
      <c r="F111" s="5" t="n">
        <v>0.02</v>
      </c>
      <c r="G111" s="5" t="n">
        <v>0.04304488151063257</v>
      </c>
      <c r="H111" s="5" t="n">
        <v>0.05783377872346795</v>
      </c>
      <c r="I111" s="17" t="n">
        <v>613496000</v>
      </c>
      <c r="J111" s="17" t="n">
        <v>2771693000</v>
      </c>
      <c r="K111" s="17" t="n">
        <v>0</v>
      </c>
      <c r="L111" s="17" t="n">
        <v>161978308</v>
      </c>
      <c r="M111" s="5" t="n">
        <v>0.068</v>
      </c>
      <c r="N111" s="9">
        <f>IF(F111="","",F111+'Léeme'!$B$10)</f>
        <v/>
      </c>
      <c r="O111" s="9">
        <f>IF(OR(G111="",N111=""),"",MIN(MAX(G111,'Léeme'!$B$11),'Léeme'!$B$12,N111-'Léeme'!$B$16))</f>
        <v/>
      </c>
      <c r="P111" s="16">
        <f>IF(OR(D111="",O111=""),"",IFERROR(IF(D111&lt;=0,"",D111*(1+O111)/(N111-O111)),""))</f>
        <v/>
      </c>
      <c r="Q111" s="9">
        <f>IF(H111="","",MIN(MAX(H111,'Léeme'!$B$13),'Léeme'!$B$14))</f>
        <v/>
      </c>
      <c r="R111" s="9">
        <f>IF(N111="","",MIN('Léeme'!$B$15,N111-'Léeme'!$B$16))</f>
        <v/>
      </c>
      <c r="S111" s="16">
        <f>IF(OR(E111="",Q111=""),"",IFERROR(IF(E111&lt;=0,"",E111*(((1+Q111)/(1+N111))+((1+Q111)/(1+N111))^2+((1+Q111)/(1+N111))^3+((1+Q111)/(1+N111))^4+((1+Q111)/(1+N111))^5)+E111*(1+Q111)^5*(1+R111)/((N111-R111)*(1+N111)^5)),""))</f>
        <v/>
      </c>
      <c r="T111" s="9">
        <f>IF(OR(E111="",N111=""),"",IFERROR((C111*N111-E111)/(C111+E111),""))</f>
        <v/>
      </c>
      <c r="U111" s="9">
        <f>IF(OR(H111="",T111=""),"",IFERROR(MIN(MAX(H111,'Léeme'!$B$17),'Léeme'!$B$18)-T111,""))</f>
        <v/>
      </c>
      <c r="V111" s="16">
        <f>IF(OR(I111="",M111="",L111=""),"",IFERROR((I111/M111-J111-K111)/L111,""))</f>
        <v/>
      </c>
      <c r="W111" s="11">
        <f>IFERROR(P111/C111-1,"")</f>
        <v/>
      </c>
      <c r="X111" s="11">
        <f>IFERROR(S111/C111-1,"")</f>
        <v/>
      </c>
      <c r="Y111" s="11">
        <f>IFERROR(V111/C111-1,"")</f>
        <v/>
      </c>
      <c r="Z111" s="3">
        <f>IF(OR(W111="",ISTEXT(W111)),"sin dato",IF(W111&gt;='Léeme'!$B$19,"barato",IF(W111&lt;=-'Léeme'!$B$19,"caro","medio")))</f>
        <v/>
      </c>
      <c r="AA111" s="3">
        <f>IF(OR(X111="",ISTEXT(X111)),"sin dato",IF(X111&gt;='Léeme'!$B$19,"barato",IF(X111&lt;=-'Léeme'!$B$19,"caro","medio")))</f>
        <v/>
      </c>
      <c r="AB111" s="3">
        <f>IF(OR(U111="",ISTEXT(U111)),"sin dato",IF(U111&gt;='Léeme'!$B$20,"barato",IF(U111&lt;=-'Léeme'!$B$20,"caro","medio")))</f>
        <v/>
      </c>
      <c r="AC111" s="3">
        <f>IF(OR(Y111="",ISTEXT(Y111)),"sin dato",IF(Y111&gt;='Léeme'!$B$19,"barato",IF(Y111&lt;=-'Léeme'!$B$19,"caro","medio")))</f>
        <v/>
      </c>
      <c r="AD111" s="7" t="n">
        <v>0.6981481481481482</v>
      </c>
      <c r="AE111" s="7" t="n">
        <v>0.595703125</v>
      </c>
      <c r="AF111" s="7" t="n">
        <v>0.619140625</v>
      </c>
      <c r="AG111" s="7" t="n">
        <v>0.2692307692307692</v>
      </c>
    </row>
    <row r="112">
      <c r="A112" s="3" t="inlineStr">
        <is>
          <t>2019-T3</t>
        </is>
      </c>
      <c r="B112" s="13" t="n">
        <v>43738</v>
      </c>
      <c r="C112" s="14" t="n">
        <v>56.400002</v>
      </c>
      <c r="D112" s="14" t="n">
        <v>2.06</v>
      </c>
      <c r="E112" s="14" t="n">
        <v>2.53</v>
      </c>
      <c r="F112" s="5" t="n">
        <v>0.0168</v>
      </c>
      <c r="G112" s="5" t="n">
        <v>0.04162546264516975</v>
      </c>
      <c r="H112" s="5" t="n">
        <v>0.05783377872346795</v>
      </c>
      <c r="I112" s="17" t="n">
        <v>604020000</v>
      </c>
      <c r="J112" s="17" t="n">
        <v>2914044000</v>
      </c>
      <c r="K112" s="17" t="n">
        <v>0</v>
      </c>
      <c r="L112" s="17" t="n">
        <v>163513474</v>
      </c>
      <c r="M112" s="5" t="n">
        <v>0.068</v>
      </c>
      <c r="N112" s="9">
        <f>IF(F112="","",F112+'Léeme'!$B$10)</f>
        <v/>
      </c>
      <c r="O112" s="9">
        <f>IF(OR(G112="",N112=""),"",MIN(MAX(G112,'Léeme'!$B$11),'Léeme'!$B$12,N112-'Léeme'!$B$16))</f>
        <v/>
      </c>
      <c r="P112" s="16">
        <f>IF(OR(D112="",O112=""),"",IFERROR(IF(D112&lt;=0,"",D112*(1+O112)/(N112-O112)),""))</f>
        <v/>
      </c>
      <c r="Q112" s="9">
        <f>IF(H112="","",MIN(MAX(H112,'Léeme'!$B$13),'Léeme'!$B$14))</f>
        <v/>
      </c>
      <c r="R112" s="9">
        <f>IF(N112="","",MIN('Léeme'!$B$15,N112-'Léeme'!$B$16))</f>
        <v/>
      </c>
      <c r="S112" s="16">
        <f>IF(OR(E112="",Q112=""),"",IFERROR(IF(E112&lt;=0,"",E112*(((1+Q112)/(1+N112))+((1+Q112)/(1+N112))^2+((1+Q112)/(1+N112))^3+((1+Q112)/(1+N112))^4+((1+Q112)/(1+N112))^5)+E112*(1+Q112)^5*(1+R112)/((N112-R112)*(1+N112)^5)),""))</f>
        <v/>
      </c>
      <c r="T112" s="9">
        <f>IF(OR(E112="",N112=""),"",IFERROR((C112*N112-E112)/(C112+E112),""))</f>
        <v/>
      </c>
      <c r="U112" s="9">
        <f>IF(OR(H112="",T112=""),"",IFERROR(MIN(MAX(H112,'Léeme'!$B$17),'Léeme'!$B$18)-T112,""))</f>
        <v/>
      </c>
      <c r="V112" s="16">
        <f>IF(OR(I112="",M112="",L112=""),"",IFERROR((I112/M112-J112-K112)/L112,""))</f>
        <v/>
      </c>
      <c r="W112" s="11">
        <f>IFERROR(P112/C112-1,"")</f>
        <v/>
      </c>
      <c r="X112" s="11">
        <f>IFERROR(S112/C112-1,"")</f>
        <v/>
      </c>
      <c r="Y112" s="11">
        <f>IFERROR(V112/C112-1,"")</f>
        <v/>
      </c>
      <c r="Z112" s="3">
        <f>IF(OR(W112="",ISTEXT(W112)),"sin dato",IF(W112&gt;='Léeme'!$B$19,"barato",IF(W112&lt;=-'Léeme'!$B$19,"caro","medio")))</f>
        <v/>
      </c>
      <c r="AA112" s="3">
        <f>IF(OR(X112="",ISTEXT(X112)),"sin dato",IF(X112&gt;='Léeme'!$B$19,"barato",IF(X112&lt;=-'Léeme'!$B$19,"caro","medio")))</f>
        <v/>
      </c>
      <c r="AB112" s="3">
        <f>IF(OR(U112="",ISTEXT(U112)),"sin dato",IF(U112&gt;='Léeme'!$B$20,"barato",IF(U112&lt;=-'Léeme'!$B$20,"caro","medio")))</f>
        <v/>
      </c>
      <c r="AC112" s="3">
        <f>IF(OR(Y112="",ISTEXT(Y112)),"sin dato",IF(Y112&gt;='Léeme'!$B$19,"barato",IF(Y112&lt;=-'Léeme'!$B$19,"caro","medio")))</f>
        <v/>
      </c>
      <c r="AD112" s="7" t="n">
        <v>0.6501831501831502</v>
      </c>
      <c r="AE112" s="7" t="n">
        <v>0.6776061776061776</v>
      </c>
      <c r="AF112" s="7" t="n">
        <v>0.6196911196911197</v>
      </c>
      <c r="AG112" s="7" t="n">
        <v>0.1102941176470588</v>
      </c>
    </row>
    <row r="113">
      <c r="A113" s="3" t="inlineStr">
        <is>
          <t>2019-T4</t>
        </is>
      </c>
      <c r="B113" s="13" t="n">
        <v>43830</v>
      </c>
      <c r="C113" s="14" t="n">
        <v>53.619999</v>
      </c>
      <c r="D113" s="14" t="n">
        <v>2.06</v>
      </c>
      <c r="E113" s="14" t="n">
        <v>2.53</v>
      </c>
      <c r="F113" s="5" t="n">
        <v>0.0192</v>
      </c>
      <c r="G113" s="5" t="n">
        <v>0.04162546264516975</v>
      </c>
      <c r="H113" s="5" t="n">
        <v>0.05783377872346795</v>
      </c>
      <c r="I113" s="17" t="n">
        <v>604836000</v>
      </c>
      <c r="J113" s="17" t="n">
        <v>2500213000</v>
      </c>
      <c r="K113" s="17" t="n">
        <v>0</v>
      </c>
      <c r="L113" s="17" t="n">
        <v>171637247</v>
      </c>
      <c r="M113" s="5" t="n">
        <v>0.068</v>
      </c>
      <c r="N113" s="9">
        <f>IF(F113="","",F113+'Léeme'!$B$10)</f>
        <v/>
      </c>
      <c r="O113" s="9">
        <f>IF(OR(G113="",N113=""),"",MIN(MAX(G113,'Léeme'!$B$11),'Léeme'!$B$12,N113-'Léeme'!$B$16))</f>
        <v/>
      </c>
      <c r="P113" s="16">
        <f>IF(OR(D113="",O113=""),"",IFERROR(IF(D113&lt;=0,"",D113*(1+O113)/(N113-O113)),""))</f>
        <v/>
      </c>
      <c r="Q113" s="9">
        <f>IF(H113="","",MIN(MAX(H113,'Léeme'!$B$13),'Léeme'!$B$14))</f>
        <v/>
      </c>
      <c r="R113" s="9">
        <f>IF(N113="","",MIN('Léeme'!$B$15,N113-'Léeme'!$B$16))</f>
        <v/>
      </c>
      <c r="S113" s="16">
        <f>IF(OR(E113="",Q113=""),"",IFERROR(IF(E113&lt;=0,"",E113*(((1+Q113)/(1+N113))+((1+Q113)/(1+N113))^2+((1+Q113)/(1+N113))^3+((1+Q113)/(1+N113))^4+((1+Q113)/(1+N113))^5)+E113*(1+Q113)^5*(1+R113)/((N113-R113)*(1+N113)^5)),""))</f>
        <v/>
      </c>
      <c r="T113" s="9">
        <f>IF(OR(E113="",N113=""),"",IFERROR((C113*N113-E113)/(C113+E113),""))</f>
        <v/>
      </c>
      <c r="U113" s="9">
        <f>IF(OR(H113="",T113=""),"",IFERROR(MIN(MAX(H113,'Léeme'!$B$17),'Léeme'!$B$18)-T113,""))</f>
        <v/>
      </c>
      <c r="V113" s="16">
        <f>IF(OR(I113="",M113="",L113=""),"",IFERROR((I113/M113-J113-K113)/L113,""))</f>
        <v/>
      </c>
      <c r="W113" s="11">
        <f>IFERROR(P113/C113-1,"")</f>
        <v/>
      </c>
      <c r="X113" s="11">
        <f>IFERROR(S113/C113-1,"")</f>
        <v/>
      </c>
      <c r="Y113" s="11">
        <f>IFERROR(V113/C113-1,"")</f>
        <v/>
      </c>
      <c r="Z113" s="3">
        <f>IF(OR(W113="",ISTEXT(W113)),"sin dato",IF(W113&gt;='Léeme'!$B$19,"barato",IF(W113&lt;=-'Léeme'!$B$19,"caro","medio")))</f>
        <v/>
      </c>
      <c r="AA113" s="3">
        <f>IF(OR(X113="",ISTEXT(X113)),"sin dato",IF(X113&gt;='Léeme'!$B$19,"barato",IF(X113&lt;=-'Léeme'!$B$19,"caro","medio")))</f>
        <v/>
      </c>
      <c r="AB113" s="3">
        <f>IF(OR(U113="",ISTEXT(U113)),"sin dato",IF(U113&gt;='Léeme'!$B$20,"barato",IF(U113&lt;=-'Léeme'!$B$20,"caro","medio")))</f>
        <v/>
      </c>
      <c r="AC113" s="3">
        <f>IF(OR(Y113="",ISTEXT(Y113)),"sin dato",IF(Y113&gt;='Léeme'!$B$19,"barato",IF(Y113&lt;=-'Léeme'!$B$19,"caro","medio")))</f>
        <v/>
      </c>
      <c r="AD113" s="7" t="n">
        <v>0.7409420289855072</v>
      </c>
      <c r="AE113" s="7" t="n">
        <v>0.6049618320610687</v>
      </c>
      <c r="AF113" s="7" t="n">
        <v>0.6202290076335878</v>
      </c>
      <c r="AG113" s="7" t="n">
        <v>0.2183098591549296</v>
      </c>
    </row>
    <row r="114">
      <c r="A114" s="3" t="inlineStr">
        <is>
          <t>2020-T1</t>
        </is>
      </c>
      <c r="B114" s="13" t="n">
        <v>43921</v>
      </c>
      <c r="C114" s="14" t="n">
        <v>32.189999</v>
      </c>
      <c r="D114" s="14" t="n">
        <v>2.06</v>
      </c>
      <c r="E114" s="14" t="n">
        <v>2.71</v>
      </c>
      <c r="F114" s="5" t="n">
        <v>0.006999999999999999</v>
      </c>
      <c r="G114" s="5" t="n">
        <v>0.04162546264516975</v>
      </c>
      <c r="H114" s="5" t="n">
        <v>0.05333035751525816</v>
      </c>
      <c r="I114" s="17" t="n">
        <v>621800000</v>
      </c>
      <c r="J114" s="17" t="n">
        <v>2987245000</v>
      </c>
      <c r="K114" s="17" t="n">
        <v>0</v>
      </c>
      <c r="L114" s="17" t="n">
        <v>171694209</v>
      </c>
      <c r="M114" s="5" t="n">
        <v>0.06900000000000001</v>
      </c>
      <c r="N114" s="9">
        <f>IF(F114="","",F114+'Léeme'!$B$10)</f>
        <v/>
      </c>
      <c r="O114" s="9">
        <f>IF(OR(G114="",N114=""),"",MIN(MAX(G114,'Léeme'!$B$11),'Léeme'!$B$12,N114-'Léeme'!$B$16))</f>
        <v/>
      </c>
      <c r="P114" s="16">
        <f>IF(OR(D114="",O114=""),"",IFERROR(IF(D114&lt;=0,"",D114*(1+O114)/(N114-O114)),""))</f>
        <v/>
      </c>
      <c r="Q114" s="9">
        <f>IF(H114="","",MIN(MAX(H114,'Léeme'!$B$13),'Léeme'!$B$14))</f>
        <v/>
      </c>
      <c r="R114" s="9">
        <f>IF(N114="","",MIN('Léeme'!$B$15,N114-'Léeme'!$B$16))</f>
        <v/>
      </c>
      <c r="S114" s="16">
        <f>IF(OR(E114="",Q114=""),"",IFERROR(IF(E114&lt;=0,"",E114*(((1+Q114)/(1+N114))+((1+Q114)/(1+N114))^2+((1+Q114)/(1+N114))^3+((1+Q114)/(1+N114))^4+((1+Q114)/(1+N114))^5)+E114*(1+Q114)^5*(1+R114)/((N114-R114)*(1+N114)^5)),""))</f>
        <v/>
      </c>
      <c r="T114" s="9">
        <f>IF(OR(E114="",N114=""),"",IFERROR((C114*N114-E114)/(C114+E114),""))</f>
        <v/>
      </c>
      <c r="U114" s="9">
        <f>IF(OR(H114="",T114=""),"",IFERROR(MIN(MAX(H114,'Léeme'!$B$17),'Léeme'!$B$18)-T114,""))</f>
        <v/>
      </c>
      <c r="V114" s="16">
        <f>IF(OR(I114="",M114="",L114=""),"",IFERROR((I114/M114-J114-K114)/L114,""))</f>
        <v/>
      </c>
      <c r="W114" s="11">
        <f>IFERROR(P114/C114-1,"")</f>
        <v/>
      </c>
      <c r="X114" s="11">
        <f>IFERROR(S114/C114-1,"")</f>
        <v/>
      </c>
      <c r="Y114" s="11">
        <f>IFERROR(V114/C114-1,"")</f>
        <v/>
      </c>
      <c r="Z114" s="3">
        <f>IF(OR(W114="",ISTEXT(W114)),"sin dato",IF(W114&gt;='Léeme'!$B$19,"barato",IF(W114&lt;=-'Léeme'!$B$19,"caro","medio")))</f>
        <v/>
      </c>
      <c r="AA114" s="3">
        <f>IF(OR(X114="",ISTEXT(X114)),"sin dato",IF(X114&gt;='Léeme'!$B$19,"barato",IF(X114&lt;=-'Léeme'!$B$19,"caro","medio")))</f>
        <v/>
      </c>
      <c r="AB114" s="3">
        <f>IF(OR(U114="",ISTEXT(U114)),"sin dato",IF(U114&gt;='Léeme'!$B$20,"barato",IF(U114&lt;=-'Léeme'!$B$20,"caro","medio")))</f>
        <v/>
      </c>
      <c r="AC114" s="3">
        <f>IF(OR(Y114="",ISTEXT(Y114)),"sin dato",IF(Y114&gt;='Léeme'!$B$19,"barato",IF(Y114&lt;=-'Léeme'!$B$19,"caro","medio")))</f>
        <v/>
      </c>
      <c r="AD114" s="7" t="n">
        <v>0.9802867383512545</v>
      </c>
      <c r="AE114" s="7" t="n">
        <v>0.9981132075471698</v>
      </c>
      <c r="AF114" s="7" t="n">
        <v>0.8924528301886793</v>
      </c>
      <c r="AG114" s="7" t="n">
        <v>0.9932432432432432</v>
      </c>
    </row>
    <row r="115">
      <c r="A115" s="3" t="inlineStr">
        <is>
          <t>2020-T2</t>
        </is>
      </c>
      <c r="B115" s="13" t="n">
        <v>44012</v>
      </c>
      <c r="C115" s="14" t="n">
        <v>35.48</v>
      </c>
      <c r="D115" s="14" t="n">
        <v>2.06</v>
      </c>
      <c r="E115" s="14" t="n">
        <v>2.71</v>
      </c>
      <c r="F115" s="5" t="n">
        <v>0.0066</v>
      </c>
      <c r="G115" s="5" t="n">
        <v>0.04162546264516975</v>
      </c>
      <c r="H115" s="5" t="n">
        <v>0.05333035751525816</v>
      </c>
      <c r="I115" s="17" t="n">
        <v>669568000</v>
      </c>
      <c r="J115" s="17" t="n">
        <v>3001075000</v>
      </c>
      <c r="K115" s="17" t="n">
        <v>0</v>
      </c>
      <c r="L115" s="17" t="n">
        <v>171963354</v>
      </c>
      <c r="M115" s="5" t="n">
        <v>0.06900000000000001</v>
      </c>
      <c r="N115" s="9">
        <f>IF(F115="","",F115+'Léeme'!$B$10)</f>
        <v/>
      </c>
      <c r="O115" s="9">
        <f>IF(OR(G115="",N115=""),"",MIN(MAX(G115,'Léeme'!$B$11),'Léeme'!$B$12,N115-'Léeme'!$B$16))</f>
        <v/>
      </c>
      <c r="P115" s="16">
        <f>IF(OR(D115="",O115=""),"",IFERROR(IF(D115&lt;=0,"",D115*(1+O115)/(N115-O115)),""))</f>
        <v/>
      </c>
      <c r="Q115" s="9">
        <f>IF(H115="","",MIN(MAX(H115,'Léeme'!$B$13),'Léeme'!$B$14))</f>
        <v/>
      </c>
      <c r="R115" s="9">
        <f>IF(N115="","",MIN('Léeme'!$B$15,N115-'Léeme'!$B$16))</f>
        <v/>
      </c>
      <c r="S115" s="16">
        <f>IF(OR(E115="",Q115=""),"",IFERROR(IF(E115&lt;=0,"",E115*(((1+Q115)/(1+N115))+((1+Q115)/(1+N115))^2+((1+Q115)/(1+N115))^3+((1+Q115)/(1+N115))^4+((1+Q115)/(1+N115))^5)+E115*(1+Q115)^5*(1+R115)/((N115-R115)*(1+N115)^5)),""))</f>
        <v/>
      </c>
      <c r="T115" s="9">
        <f>IF(OR(E115="",N115=""),"",IFERROR((C115*N115-E115)/(C115+E115),""))</f>
        <v/>
      </c>
      <c r="U115" s="9">
        <f>IF(OR(H115="",T115=""),"",IFERROR(MIN(MAX(H115,'Léeme'!$B$17),'Léeme'!$B$18)-T115,""))</f>
        <v/>
      </c>
      <c r="V115" s="16">
        <f>IF(OR(I115="",M115="",L115=""),"",IFERROR((I115/M115-J115-K115)/L115,""))</f>
        <v/>
      </c>
      <c r="W115" s="11">
        <f>IFERROR(P115/C115-1,"")</f>
        <v/>
      </c>
      <c r="X115" s="11">
        <f>IFERROR(S115/C115-1,"")</f>
        <v/>
      </c>
      <c r="Y115" s="11">
        <f>IFERROR(V115/C115-1,"")</f>
        <v/>
      </c>
      <c r="Z115" s="3">
        <f>IF(OR(W115="",ISTEXT(W115)),"sin dato",IF(W115&gt;='Léeme'!$B$19,"barato",IF(W115&lt;=-'Léeme'!$B$19,"caro","medio")))</f>
        <v/>
      </c>
      <c r="AA115" s="3">
        <f>IF(OR(X115="",ISTEXT(X115)),"sin dato",IF(X115&gt;='Léeme'!$B$19,"barato",IF(X115&lt;=-'Léeme'!$B$19,"caro","medio")))</f>
        <v/>
      </c>
      <c r="AB115" s="3">
        <f>IF(OR(U115="",ISTEXT(U115)),"sin dato",IF(U115&gt;='Léeme'!$B$20,"barato",IF(U115&lt;=-'Léeme'!$B$20,"caro","medio")))</f>
        <v/>
      </c>
      <c r="AC115" s="3">
        <f>IF(OR(Y115="",ISTEXT(Y115)),"sin dato",IF(Y115&gt;='Léeme'!$B$19,"barato",IF(Y115&lt;=-'Léeme'!$B$19,"caro","medio")))</f>
        <v/>
      </c>
      <c r="AD115" s="7" t="n">
        <v>0.9663120567375887</v>
      </c>
      <c r="AE115" s="7" t="n">
        <v>0.9869402985074627</v>
      </c>
      <c r="AF115" s="7" t="n">
        <v>0.8526119402985075</v>
      </c>
      <c r="AG115" s="7" t="n">
        <v>0.9805194805194806</v>
      </c>
    </row>
    <row r="116">
      <c r="A116" s="3" t="inlineStr">
        <is>
          <t>2020-T3</t>
        </is>
      </c>
      <c r="B116" s="13" t="n">
        <v>44104</v>
      </c>
      <c r="C116" s="14" t="n">
        <v>34.509998</v>
      </c>
      <c r="D116" s="14" t="n">
        <v>2.08</v>
      </c>
      <c r="E116" s="14" t="n">
        <v>2.71</v>
      </c>
      <c r="F116" s="5" t="n">
        <v>0.0069</v>
      </c>
      <c r="G116" s="5" t="n">
        <v>0.03634132731704387</v>
      </c>
      <c r="H116" s="5" t="n">
        <v>0.05333035751525816</v>
      </c>
      <c r="I116" s="17" t="n">
        <v>629512000</v>
      </c>
      <c r="J116" s="17" t="n">
        <v>2994716000</v>
      </c>
      <c r="K116" s="17" t="n">
        <v>0</v>
      </c>
      <c r="L116" s="17" t="n">
        <v>173407606</v>
      </c>
      <c r="M116" s="5" t="n">
        <v>0.06900000000000001</v>
      </c>
      <c r="N116" s="9">
        <f>IF(F116="","",F116+'Léeme'!$B$10)</f>
        <v/>
      </c>
      <c r="O116" s="9">
        <f>IF(OR(G116="",N116=""),"",MIN(MAX(G116,'Léeme'!$B$11),'Léeme'!$B$12,N116-'Léeme'!$B$16))</f>
        <v/>
      </c>
      <c r="P116" s="16">
        <f>IF(OR(D116="",O116=""),"",IFERROR(IF(D116&lt;=0,"",D116*(1+O116)/(N116-O116)),""))</f>
        <v/>
      </c>
      <c r="Q116" s="9">
        <f>IF(H116="","",MIN(MAX(H116,'Léeme'!$B$13),'Léeme'!$B$14))</f>
        <v/>
      </c>
      <c r="R116" s="9">
        <f>IF(N116="","",MIN('Léeme'!$B$15,N116-'Léeme'!$B$16))</f>
        <v/>
      </c>
      <c r="S116" s="16">
        <f>IF(OR(E116="",Q116=""),"",IFERROR(IF(E116&lt;=0,"",E116*(((1+Q116)/(1+N116))+((1+Q116)/(1+N116))^2+((1+Q116)/(1+N116))^3+((1+Q116)/(1+N116))^4+((1+Q116)/(1+N116))^5)+E116*(1+Q116)^5*(1+R116)/((N116-R116)*(1+N116)^5)),""))</f>
        <v/>
      </c>
      <c r="T116" s="9">
        <f>IF(OR(E116="",N116=""),"",IFERROR((C116*N116-E116)/(C116+E116),""))</f>
        <v/>
      </c>
      <c r="U116" s="9">
        <f>IF(OR(H116="",T116=""),"",IFERROR(MIN(MAX(H116,'Léeme'!$B$17),'Léeme'!$B$18)-T116,""))</f>
        <v/>
      </c>
      <c r="V116" s="16">
        <f>IF(OR(I116="",M116="",L116=""),"",IFERROR((I116/M116-J116-K116)/L116,""))</f>
        <v/>
      </c>
      <c r="W116" s="11">
        <f>IFERROR(P116/C116-1,"")</f>
        <v/>
      </c>
      <c r="X116" s="11">
        <f>IFERROR(S116/C116-1,"")</f>
        <v/>
      </c>
      <c r="Y116" s="11">
        <f>IFERROR(V116/C116-1,"")</f>
        <v/>
      </c>
      <c r="Z116" s="3">
        <f>IF(OR(W116="",ISTEXT(W116)),"sin dato",IF(W116&gt;='Léeme'!$B$19,"barato",IF(W116&lt;=-'Léeme'!$B$19,"caro","medio")))</f>
        <v/>
      </c>
      <c r="AA116" s="3">
        <f>IF(OR(X116="",ISTEXT(X116)),"sin dato",IF(X116&gt;='Léeme'!$B$19,"barato",IF(X116&lt;=-'Léeme'!$B$19,"caro","medio")))</f>
        <v/>
      </c>
      <c r="AB116" s="3">
        <f>IF(OR(U116="",ISTEXT(U116)),"sin dato",IF(U116&gt;='Léeme'!$B$20,"barato",IF(U116&lt;=-'Léeme'!$B$20,"caro","medio")))</f>
        <v/>
      </c>
      <c r="AC116" s="3">
        <f>IF(OR(Y116="",ISTEXT(Y116)),"sin dato",IF(Y116&gt;='Léeme'!$B$19,"barato",IF(Y116&lt;=-'Léeme'!$B$19,"caro","medio")))</f>
        <v/>
      </c>
      <c r="AD116" s="7" t="n">
        <v>0.9701754385964912</v>
      </c>
      <c r="AE116" s="7" t="n">
        <v>0.9870848708487084</v>
      </c>
      <c r="AF116" s="7" t="n">
        <v>0.8579335793357934</v>
      </c>
      <c r="AG116" s="7" t="n">
        <v>0.93125</v>
      </c>
    </row>
    <row r="117">
      <c r="A117" s="3" t="inlineStr">
        <is>
          <t>2020-T4</t>
        </is>
      </c>
      <c r="B117" s="13" t="n">
        <v>44196</v>
      </c>
      <c r="C117" s="14" t="n">
        <v>40.919998</v>
      </c>
      <c r="D117" s="14" t="n">
        <v>2.08</v>
      </c>
      <c r="E117" s="14" t="n">
        <v>2.71</v>
      </c>
      <c r="F117" s="5" t="n">
        <v>0.009300000000000001</v>
      </c>
      <c r="G117" s="5" t="n">
        <v>0.03634132731704387</v>
      </c>
      <c r="H117" s="5" t="n">
        <v>0.05333035751525816</v>
      </c>
      <c r="I117" s="17" t="n">
        <v>609152000</v>
      </c>
      <c r="J117" s="17" t="n">
        <v>2925238000</v>
      </c>
      <c r="K117" s="17" t="n">
        <v>0</v>
      </c>
      <c r="L117" s="17" t="n">
        <v>173726996</v>
      </c>
      <c r="M117" s="5" t="n">
        <v>0.06900000000000001</v>
      </c>
      <c r="N117" s="9">
        <f>IF(F117="","",F117+'Léeme'!$B$10)</f>
        <v/>
      </c>
      <c r="O117" s="9">
        <f>IF(OR(G117="",N117=""),"",MIN(MAX(G117,'Léeme'!$B$11),'Léeme'!$B$12,N117-'Léeme'!$B$16))</f>
        <v/>
      </c>
      <c r="P117" s="16">
        <f>IF(OR(D117="",O117=""),"",IFERROR(IF(D117&lt;=0,"",D117*(1+O117)/(N117-O117)),""))</f>
        <v/>
      </c>
      <c r="Q117" s="9">
        <f>IF(H117="","",MIN(MAX(H117,'Léeme'!$B$13),'Léeme'!$B$14))</f>
        <v/>
      </c>
      <c r="R117" s="9">
        <f>IF(N117="","",MIN('Léeme'!$B$15,N117-'Léeme'!$B$16))</f>
        <v/>
      </c>
      <c r="S117" s="16">
        <f>IF(OR(E117="",Q117=""),"",IFERROR(IF(E117&lt;=0,"",E117*(((1+Q117)/(1+N117))+((1+Q117)/(1+N117))^2+((1+Q117)/(1+N117))^3+((1+Q117)/(1+N117))^4+((1+Q117)/(1+N117))^5)+E117*(1+Q117)^5*(1+R117)/((N117-R117)*(1+N117)^5)),""))</f>
        <v/>
      </c>
      <c r="T117" s="9">
        <f>IF(OR(E117="",N117=""),"",IFERROR((C117*N117-E117)/(C117+E117),""))</f>
        <v/>
      </c>
      <c r="U117" s="9">
        <f>IF(OR(H117="",T117=""),"",IFERROR(MIN(MAX(H117,'Léeme'!$B$17),'Léeme'!$B$18)-T117,""))</f>
        <v/>
      </c>
      <c r="V117" s="16">
        <f>IF(OR(I117="",M117="",L117=""),"",IFERROR((I117/M117-J117-K117)/L117,""))</f>
        <v/>
      </c>
      <c r="W117" s="11">
        <f>IFERROR(P117/C117-1,"")</f>
        <v/>
      </c>
      <c r="X117" s="11">
        <f>IFERROR(S117/C117-1,"")</f>
        <v/>
      </c>
      <c r="Y117" s="11">
        <f>IFERROR(V117/C117-1,"")</f>
        <v/>
      </c>
      <c r="Z117" s="3">
        <f>IF(OR(W117="",ISTEXT(W117)),"sin dato",IF(W117&gt;='Léeme'!$B$19,"barato",IF(W117&lt;=-'Léeme'!$B$19,"caro","medio")))</f>
        <v/>
      </c>
      <c r="AA117" s="3">
        <f>IF(OR(X117="",ISTEXT(X117)),"sin dato",IF(X117&gt;='Léeme'!$B$19,"barato",IF(X117&lt;=-'Léeme'!$B$19,"caro","medio")))</f>
        <v/>
      </c>
      <c r="AB117" s="3">
        <f>IF(OR(U117="",ISTEXT(U117)),"sin dato",IF(U117&gt;='Léeme'!$B$20,"barato",IF(U117&lt;=-'Léeme'!$B$20,"caro","medio")))</f>
        <v/>
      </c>
      <c r="AC117" s="3">
        <f>IF(OR(Y117="",ISTEXT(Y117)),"sin dato",IF(Y117&gt;='Léeme'!$B$19,"barato",IF(Y117&lt;=-'Léeme'!$B$19,"caro","medio")))</f>
        <v/>
      </c>
      <c r="AD117" s="7" t="n">
        <v>0.9149305555555556</v>
      </c>
      <c r="AE117" s="7" t="n">
        <v>0.9507299270072993</v>
      </c>
      <c r="AF117" s="7" t="n">
        <v>0.7609489051094891</v>
      </c>
      <c r="AG117" s="7" t="n">
        <v>0.6204819277108434</v>
      </c>
    </row>
    <row r="118">
      <c r="A118" s="3" t="inlineStr">
        <is>
          <t>2021-T1</t>
        </is>
      </c>
      <c r="B118" s="13" t="n">
        <v>44286</v>
      </c>
      <c r="C118" s="14" t="n">
        <v>44.07</v>
      </c>
      <c r="D118" s="14" t="n">
        <v>2.08</v>
      </c>
      <c r="E118" s="14" t="n">
        <v>2.49</v>
      </c>
      <c r="F118" s="5" t="n">
        <v>0.0174</v>
      </c>
      <c r="G118" s="5" t="n">
        <v>0.03634132731704387</v>
      </c>
      <c r="H118" s="5" t="n">
        <v>0.02979831631699903</v>
      </c>
      <c r="I118" s="17" t="n">
        <v>613680000</v>
      </c>
      <c r="J118" s="17" t="n">
        <v>2953686000</v>
      </c>
      <c r="K118" s="17" t="n">
        <v>0</v>
      </c>
      <c r="L118" s="17" t="n">
        <v>175232971</v>
      </c>
      <c r="M118" s="5" t="n">
        <v>0.065</v>
      </c>
      <c r="N118" s="9">
        <f>IF(F118="","",F118+'Léeme'!$B$10)</f>
        <v/>
      </c>
      <c r="O118" s="9">
        <f>IF(OR(G118="",N118=""),"",MIN(MAX(G118,'Léeme'!$B$11),'Léeme'!$B$12,N118-'Léeme'!$B$16))</f>
        <v/>
      </c>
      <c r="P118" s="16">
        <f>IF(OR(D118="",O118=""),"",IFERROR(IF(D118&lt;=0,"",D118*(1+O118)/(N118-O118)),""))</f>
        <v/>
      </c>
      <c r="Q118" s="9">
        <f>IF(H118="","",MIN(MAX(H118,'Léeme'!$B$13),'Léeme'!$B$14))</f>
        <v/>
      </c>
      <c r="R118" s="9">
        <f>IF(N118="","",MIN('Léeme'!$B$15,N118-'Léeme'!$B$16))</f>
        <v/>
      </c>
      <c r="S118" s="16">
        <f>IF(OR(E118="",Q118=""),"",IFERROR(IF(E118&lt;=0,"",E118*(((1+Q118)/(1+N118))+((1+Q118)/(1+N118))^2+((1+Q118)/(1+N118))^3+((1+Q118)/(1+N118))^4+((1+Q118)/(1+N118))^5)+E118*(1+Q118)^5*(1+R118)/((N118-R118)*(1+N118)^5)),""))</f>
        <v/>
      </c>
      <c r="T118" s="9">
        <f>IF(OR(E118="",N118=""),"",IFERROR((C118*N118-E118)/(C118+E118),""))</f>
        <v/>
      </c>
      <c r="U118" s="9">
        <f>IF(OR(H118="",T118=""),"",IFERROR(MIN(MAX(H118,'Léeme'!$B$17),'Léeme'!$B$18)-T118,""))</f>
        <v/>
      </c>
      <c r="V118" s="16">
        <f>IF(OR(I118="",M118="",L118=""),"",IFERROR((I118/M118-J118-K118)/L118,""))</f>
        <v/>
      </c>
      <c r="W118" s="11">
        <f>IFERROR(P118/C118-1,"")</f>
        <v/>
      </c>
      <c r="X118" s="11">
        <f>IFERROR(S118/C118-1,"")</f>
        <v/>
      </c>
      <c r="Y118" s="11">
        <f>IFERROR(V118/C118-1,"")</f>
        <v/>
      </c>
      <c r="Z118" s="3">
        <f>IF(OR(W118="",ISTEXT(W118)),"sin dato",IF(W118&gt;='Léeme'!$B$19,"barato",IF(W118&lt;=-'Léeme'!$B$19,"caro","medio")))</f>
        <v/>
      </c>
      <c r="AA118" s="3">
        <f>IF(OR(X118="",ISTEXT(X118)),"sin dato",IF(X118&gt;='Léeme'!$B$19,"barato",IF(X118&lt;=-'Léeme'!$B$19,"caro","medio")))</f>
        <v/>
      </c>
      <c r="AB118" s="3">
        <f>IF(OR(U118="",ISTEXT(U118)),"sin dato",IF(U118&gt;='Léeme'!$B$20,"barato",IF(U118&lt;=-'Léeme'!$B$20,"caro","medio")))</f>
        <v/>
      </c>
      <c r="AC118" s="3">
        <f>IF(OR(Y118="",ISTEXT(Y118)),"sin dato",IF(Y118&gt;='Léeme'!$B$19,"barato",IF(Y118&lt;=-'Léeme'!$B$19,"caro","medio")))</f>
        <v/>
      </c>
      <c r="AD118" s="7" t="n">
        <v>0.8780068728522337</v>
      </c>
      <c r="AE118" s="7" t="n">
        <v>0.7527075812274369</v>
      </c>
      <c r="AF118" s="7" t="n">
        <v>0.4530685920577617</v>
      </c>
      <c r="AG118" s="7" t="n">
        <v>0.6337209302325582</v>
      </c>
    </row>
    <row r="119">
      <c r="A119" s="3" t="inlineStr">
        <is>
          <t>2021-T2</t>
        </is>
      </c>
      <c r="B119" s="13" t="n">
        <v>44377</v>
      </c>
      <c r="C119" s="14" t="n">
        <v>46.880001</v>
      </c>
      <c r="D119" s="14" t="n">
        <v>2.08</v>
      </c>
      <c r="E119" s="14" t="n">
        <v>2.49</v>
      </c>
      <c r="F119" s="5" t="n">
        <v>0.0145</v>
      </c>
      <c r="G119" s="5" t="n">
        <v>0.03634132731704387</v>
      </c>
      <c r="H119" s="5" t="n">
        <v>0.02979831631699903</v>
      </c>
      <c r="I119" s="17" t="n">
        <v>688060000</v>
      </c>
      <c r="J119" s="17" t="n">
        <v>2998293000</v>
      </c>
      <c r="K119" s="17" t="n">
        <v>345000000</v>
      </c>
      <c r="L119" s="17" t="n">
        <v>175579683</v>
      </c>
      <c r="M119" s="5" t="n">
        <v>0.065</v>
      </c>
      <c r="N119" s="9">
        <f>IF(F119="","",F119+'Léeme'!$B$10)</f>
        <v/>
      </c>
      <c r="O119" s="9">
        <f>IF(OR(G119="",N119=""),"",MIN(MAX(G119,'Léeme'!$B$11),'Léeme'!$B$12,N119-'Léeme'!$B$16))</f>
        <v/>
      </c>
      <c r="P119" s="16">
        <f>IF(OR(D119="",O119=""),"",IFERROR(IF(D119&lt;=0,"",D119*(1+O119)/(N119-O119)),""))</f>
        <v/>
      </c>
      <c r="Q119" s="9">
        <f>IF(H119="","",MIN(MAX(H119,'Léeme'!$B$13),'Léeme'!$B$14))</f>
        <v/>
      </c>
      <c r="R119" s="9">
        <f>IF(N119="","",MIN('Léeme'!$B$15,N119-'Léeme'!$B$16))</f>
        <v/>
      </c>
      <c r="S119" s="16">
        <f>IF(OR(E119="",Q119=""),"",IFERROR(IF(E119&lt;=0,"",E119*(((1+Q119)/(1+N119))+((1+Q119)/(1+N119))^2+((1+Q119)/(1+N119))^3+((1+Q119)/(1+N119))^4+((1+Q119)/(1+N119))^5)+E119*(1+Q119)^5*(1+R119)/((N119-R119)*(1+N119)^5)),""))</f>
        <v/>
      </c>
      <c r="T119" s="9">
        <f>IF(OR(E119="",N119=""),"",IFERROR((C119*N119-E119)/(C119+E119),""))</f>
        <v/>
      </c>
      <c r="U119" s="9">
        <f>IF(OR(H119="",T119=""),"",IFERROR(MIN(MAX(H119,'Léeme'!$B$17),'Léeme'!$B$18)-T119,""))</f>
        <v/>
      </c>
      <c r="V119" s="16">
        <f>IF(OR(I119="",M119="",L119=""),"",IFERROR((I119/M119-J119-K119)/L119,""))</f>
        <v/>
      </c>
      <c r="W119" s="11">
        <f>IFERROR(P119/C119-1,"")</f>
        <v/>
      </c>
      <c r="X119" s="11">
        <f>IFERROR(S119/C119-1,"")</f>
        <v/>
      </c>
      <c r="Y119" s="11">
        <f>IFERROR(V119/C119-1,"")</f>
        <v/>
      </c>
      <c r="Z119" s="3">
        <f>IF(OR(W119="",ISTEXT(W119)),"sin dato",IF(W119&gt;='Léeme'!$B$19,"barato",IF(W119&lt;=-'Léeme'!$B$19,"caro","medio")))</f>
        <v/>
      </c>
      <c r="AA119" s="3">
        <f>IF(OR(X119="",ISTEXT(X119)),"sin dato",IF(X119&gt;='Léeme'!$B$19,"barato",IF(X119&lt;=-'Léeme'!$B$19,"caro","medio")))</f>
        <v/>
      </c>
      <c r="AB119" s="3">
        <f>IF(OR(U119="",ISTEXT(U119)),"sin dato",IF(U119&gt;='Léeme'!$B$20,"barato",IF(U119&lt;=-'Léeme'!$B$20,"caro","medio")))</f>
        <v/>
      </c>
      <c r="AC119" s="3">
        <f>IF(OR(Y119="",ISTEXT(Y119)),"sin dato",IF(Y119&gt;='Léeme'!$B$19,"barato",IF(Y119&lt;=-'Léeme'!$B$19,"caro","medio")))</f>
        <v/>
      </c>
      <c r="AD119" s="7" t="n">
        <v>0.814625850340136</v>
      </c>
      <c r="AE119" s="7" t="n">
        <v>0.8232142857142857</v>
      </c>
      <c r="AF119" s="7" t="n">
        <v>0.4553571428571428</v>
      </c>
      <c r="AG119" s="7" t="n">
        <v>0.7247191011235955</v>
      </c>
    </row>
    <row r="120">
      <c r="A120" s="3" t="inlineStr">
        <is>
          <t>2021-T3</t>
        </is>
      </c>
      <c r="B120" s="13" t="n">
        <v>44469</v>
      </c>
      <c r="C120" s="14" t="n">
        <v>43.189999</v>
      </c>
      <c r="D120" s="14" t="n">
        <v>2.12</v>
      </c>
      <c r="E120" s="14" t="n">
        <v>2.49</v>
      </c>
      <c r="F120" s="5" t="n">
        <v>0.0152</v>
      </c>
      <c r="G120" s="5" t="n">
        <v>0.03098630066224661</v>
      </c>
      <c r="H120" s="5" t="n">
        <v>0.02979831631699903</v>
      </c>
      <c r="I120" s="17" t="n">
        <v>689480000</v>
      </c>
      <c r="J120" s="17" t="n">
        <v>3060709000</v>
      </c>
      <c r="K120" s="17" t="n">
        <v>345000000</v>
      </c>
      <c r="L120" s="17" t="n">
        <v>175598569</v>
      </c>
      <c r="M120" s="5" t="n">
        <v>0.065</v>
      </c>
      <c r="N120" s="9">
        <f>IF(F120="","",F120+'Léeme'!$B$10)</f>
        <v/>
      </c>
      <c r="O120" s="9">
        <f>IF(OR(G120="",N120=""),"",MIN(MAX(G120,'Léeme'!$B$11),'Léeme'!$B$12,N120-'Léeme'!$B$16))</f>
        <v/>
      </c>
      <c r="P120" s="16">
        <f>IF(OR(D120="",O120=""),"",IFERROR(IF(D120&lt;=0,"",D120*(1+O120)/(N120-O120)),""))</f>
        <v/>
      </c>
      <c r="Q120" s="9">
        <f>IF(H120="","",MIN(MAX(H120,'Léeme'!$B$13),'Léeme'!$B$14))</f>
        <v/>
      </c>
      <c r="R120" s="9">
        <f>IF(N120="","",MIN('Léeme'!$B$15,N120-'Léeme'!$B$16))</f>
        <v/>
      </c>
      <c r="S120" s="16">
        <f>IF(OR(E120="",Q120=""),"",IFERROR(IF(E120&lt;=0,"",E120*(((1+Q120)/(1+N120))+((1+Q120)/(1+N120))^2+((1+Q120)/(1+N120))^3+((1+Q120)/(1+N120))^4+((1+Q120)/(1+N120))^5)+E120*(1+Q120)^5*(1+R120)/((N120-R120)*(1+N120)^5)),""))</f>
        <v/>
      </c>
      <c r="T120" s="9">
        <f>IF(OR(E120="",N120=""),"",IFERROR((C120*N120-E120)/(C120+E120),""))</f>
        <v/>
      </c>
      <c r="U120" s="9">
        <f>IF(OR(H120="",T120=""),"",IFERROR(MIN(MAX(H120,'Léeme'!$B$17),'Léeme'!$B$18)-T120,""))</f>
        <v/>
      </c>
      <c r="V120" s="16">
        <f>IF(OR(I120="",M120="",L120=""),"",IFERROR((I120/M120-J120-K120)/L120,""))</f>
        <v/>
      </c>
      <c r="W120" s="11">
        <f>IFERROR(P120/C120-1,"")</f>
        <v/>
      </c>
      <c r="X120" s="11">
        <f>IFERROR(S120/C120-1,"")</f>
        <v/>
      </c>
      <c r="Y120" s="11">
        <f>IFERROR(V120/C120-1,"")</f>
        <v/>
      </c>
      <c r="Z120" s="3">
        <f>IF(OR(W120="",ISTEXT(W120)),"sin dato",IF(W120&gt;='Léeme'!$B$19,"barato",IF(W120&lt;=-'Léeme'!$B$19,"caro","medio")))</f>
        <v/>
      </c>
      <c r="AA120" s="3">
        <f>IF(OR(X120="",ISTEXT(X120)),"sin dato",IF(X120&gt;='Léeme'!$B$19,"barato",IF(X120&lt;=-'Léeme'!$B$19,"caro","medio")))</f>
        <v/>
      </c>
      <c r="AB120" s="3">
        <f>IF(OR(U120="",ISTEXT(U120)),"sin dato",IF(U120&gt;='Léeme'!$B$20,"barato",IF(U120&lt;=-'Léeme'!$B$20,"caro","medio")))</f>
        <v/>
      </c>
      <c r="AC120" s="3">
        <f>IF(OR(Y120="",ISTEXT(Y120)),"sin dato",IF(Y120&gt;='Léeme'!$B$19,"barato",IF(Y120&lt;=-'Léeme'!$B$19,"caro","medio")))</f>
        <v/>
      </c>
      <c r="AD120" s="7" t="n">
        <v>0.9107744107744108</v>
      </c>
      <c r="AE120" s="7" t="n">
        <v>0.8639575971731449</v>
      </c>
      <c r="AF120" s="7" t="n">
        <v>0.4717314487632509</v>
      </c>
      <c r="AG120" s="7" t="n">
        <v>0.8641304347826086</v>
      </c>
    </row>
    <row r="121">
      <c r="A121" s="3" t="inlineStr">
        <is>
          <t>2021-T4</t>
        </is>
      </c>
      <c r="B121" s="13" t="n">
        <v>44561</v>
      </c>
      <c r="C121" s="14" t="n">
        <v>48.07</v>
      </c>
      <c r="D121" s="14" t="n">
        <v>2.12</v>
      </c>
      <c r="E121" s="14" t="n">
        <v>2.49</v>
      </c>
      <c r="F121" s="5" t="n">
        <v>0.0152</v>
      </c>
      <c r="G121" s="5" t="n">
        <v>0.03098630066224661</v>
      </c>
      <c r="H121" s="5" t="n">
        <v>0.02979831631699903</v>
      </c>
      <c r="I121" s="17" t="n">
        <v>695000000</v>
      </c>
      <c r="J121" s="17" t="n">
        <v>3202113000</v>
      </c>
      <c r="K121" s="17" t="n">
        <v>345000000</v>
      </c>
      <c r="L121" s="17" t="n">
        <v>175616386</v>
      </c>
      <c r="M121" s="5" t="n">
        <v>0.065</v>
      </c>
      <c r="N121" s="9">
        <f>IF(F121="","",F121+'Léeme'!$B$10)</f>
        <v/>
      </c>
      <c r="O121" s="9">
        <f>IF(OR(G121="",N121=""),"",MIN(MAX(G121,'Léeme'!$B$11),'Léeme'!$B$12,N121-'Léeme'!$B$16))</f>
        <v/>
      </c>
      <c r="P121" s="16">
        <f>IF(OR(D121="",O121=""),"",IFERROR(IF(D121&lt;=0,"",D121*(1+O121)/(N121-O121)),""))</f>
        <v/>
      </c>
      <c r="Q121" s="9">
        <f>IF(H121="","",MIN(MAX(H121,'Léeme'!$B$13),'Léeme'!$B$14))</f>
        <v/>
      </c>
      <c r="R121" s="9">
        <f>IF(N121="","",MIN('Léeme'!$B$15,N121-'Léeme'!$B$16))</f>
        <v/>
      </c>
      <c r="S121" s="16">
        <f>IF(OR(E121="",Q121=""),"",IFERROR(IF(E121&lt;=0,"",E121*(((1+Q121)/(1+N121))+((1+Q121)/(1+N121))^2+((1+Q121)/(1+N121))^3+((1+Q121)/(1+N121))^4+((1+Q121)/(1+N121))^5)+E121*(1+Q121)^5*(1+R121)/((N121-R121)*(1+N121)^5)),""))</f>
        <v/>
      </c>
      <c r="T121" s="9">
        <f>IF(OR(E121="",N121=""),"",IFERROR((C121*N121-E121)/(C121+E121),""))</f>
        <v/>
      </c>
      <c r="U121" s="9">
        <f>IF(OR(H121="",T121=""),"",IFERROR(MIN(MAX(H121,'Léeme'!$B$17),'Léeme'!$B$18)-T121,""))</f>
        <v/>
      </c>
      <c r="V121" s="16">
        <f>IF(OR(I121="",M121="",L121=""),"",IFERROR((I121/M121-J121-K121)/L121,""))</f>
        <v/>
      </c>
      <c r="W121" s="11">
        <f>IFERROR(P121/C121-1,"")</f>
        <v/>
      </c>
      <c r="X121" s="11">
        <f>IFERROR(S121/C121-1,"")</f>
        <v/>
      </c>
      <c r="Y121" s="11">
        <f>IFERROR(V121/C121-1,"")</f>
        <v/>
      </c>
      <c r="Z121" s="3">
        <f>IF(OR(W121="",ISTEXT(W121)),"sin dato",IF(W121&gt;='Léeme'!$B$19,"barato",IF(W121&lt;=-'Léeme'!$B$19,"caro","medio")))</f>
        <v/>
      </c>
      <c r="AA121" s="3">
        <f>IF(OR(X121="",ISTEXT(X121)),"sin dato",IF(X121&gt;='Léeme'!$B$19,"barato",IF(X121&lt;=-'Léeme'!$B$19,"caro","medio")))</f>
        <v/>
      </c>
      <c r="AB121" s="3">
        <f>IF(OR(U121="",ISTEXT(U121)),"sin dato",IF(U121&gt;='Léeme'!$B$20,"barato",IF(U121&lt;=-'Léeme'!$B$20,"caro","medio")))</f>
        <v/>
      </c>
      <c r="AC121" s="3">
        <f>IF(OR(Y121="",ISTEXT(Y121)),"sin dato",IF(Y121&gt;='Léeme'!$B$19,"barato",IF(Y121&lt;=-'Léeme'!$B$19,"caro","medio")))</f>
        <v/>
      </c>
      <c r="AD121" s="7" t="n">
        <v>0.795</v>
      </c>
      <c r="AE121" s="7" t="n">
        <v>0.7325174825174825</v>
      </c>
      <c r="AF121" s="7" t="n">
        <v>0.4283216783216783</v>
      </c>
      <c r="AG121" s="7" t="n">
        <v>0.6157894736842106</v>
      </c>
    </row>
    <row r="122">
      <c r="A122" s="3" t="inlineStr">
        <is>
          <t>2022-T1</t>
        </is>
      </c>
      <c r="B122" s="13" t="n">
        <v>44651</v>
      </c>
      <c r="C122" s="14" t="n">
        <v>44.939999</v>
      </c>
      <c r="D122" s="14" t="n">
        <v>2.12</v>
      </c>
      <c r="E122" s="14" t="n">
        <v>2.68</v>
      </c>
      <c r="F122" s="5" t="n">
        <v>0.0232</v>
      </c>
      <c r="G122" s="5" t="n">
        <v>0.03098630066224661</v>
      </c>
      <c r="H122" s="5" t="n">
        <v>0.03285650578684285</v>
      </c>
      <c r="I122" s="17" t="n">
        <v>718736000</v>
      </c>
      <c r="J122" s="17" t="n">
        <v>3575144000</v>
      </c>
      <c r="K122" s="17" t="n">
        <v>0</v>
      </c>
      <c r="L122" s="17" t="n">
        <v>175635792</v>
      </c>
      <c r="M122" s="5" t="n">
        <v>0.065</v>
      </c>
      <c r="N122" s="9">
        <f>IF(F122="","",F122+'Léeme'!$B$10)</f>
        <v/>
      </c>
      <c r="O122" s="9">
        <f>IF(OR(G122="",N122=""),"",MIN(MAX(G122,'Léeme'!$B$11),'Léeme'!$B$12,N122-'Léeme'!$B$16))</f>
        <v/>
      </c>
      <c r="P122" s="16">
        <f>IF(OR(D122="",O122=""),"",IFERROR(IF(D122&lt;=0,"",D122*(1+O122)/(N122-O122)),""))</f>
        <v/>
      </c>
      <c r="Q122" s="9">
        <f>IF(H122="","",MIN(MAX(H122,'Léeme'!$B$13),'Léeme'!$B$14))</f>
        <v/>
      </c>
      <c r="R122" s="9">
        <f>IF(N122="","",MIN('Léeme'!$B$15,N122-'Léeme'!$B$16))</f>
        <v/>
      </c>
      <c r="S122" s="16">
        <f>IF(OR(E122="",Q122=""),"",IFERROR(IF(E122&lt;=0,"",E122*(((1+Q122)/(1+N122))+((1+Q122)/(1+N122))^2+((1+Q122)/(1+N122))^3+((1+Q122)/(1+N122))^4+((1+Q122)/(1+N122))^5)+E122*(1+Q122)^5*(1+R122)/((N122-R122)*(1+N122)^5)),""))</f>
        <v/>
      </c>
      <c r="T122" s="9">
        <f>IF(OR(E122="",N122=""),"",IFERROR((C122*N122-E122)/(C122+E122),""))</f>
        <v/>
      </c>
      <c r="U122" s="9">
        <f>IF(OR(H122="",T122=""),"",IFERROR(MIN(MAX(H122,'Léeme'!$B$17),'Léeme'!$B$18)-T122,""))</f>
        <v/>
      </c>
      <c r="V122" s="16">
        <f>IF(OR(I122="",M122="",L122=""),"",IFERROR((I122/M122-J122-K122)/L122,""))</f>
        <v/>
      </c>
      <c r="W122" s="11">
        <f>IFERROR(P122/C122-1,"")</f>
        <v/>
      </c>
      <c r="X122" s="11">
        <f>IFERROR(S122/C122-1,"")</f>
        <v/>
      </c>
      <c r="Y122" s="11">
        <f>IFERROR(V122/C122-1,"")</f>
        <v/>
      </c>
      <c r="Z122" s="3">
        <f>IF(OR(W122="",ISTEXT(W122)),"sin dato",IF(W122&gt;='Léeme'!$B$19,"barato",IF(W122&lt;=-'Léeme'!$B$19,"caro","medio")))</f>
        <v/>
      </c>
      <c r="AA122" s="3">
        <f>IF(OR(X122="",ISTEXT(X122)),"sin dato",IF(X122&gt;='Léeme'!$B$19,"barato",IF(X122&lt;=-'Léeme'!$B$19,"caro","medio")))</f>
        <v/>
      </c>
      <c r="AB122" s="3">
        <f>IF(OR(U122="",ISTEXT(U122)),"sin dato",IF(U122&gt;='Léeme'!$B$20,"barato",IF(U122&lt;=-'Léeme'!$B$20,"caro","medio")))</f>
        <v/>
      </c>
      <c r="AC122" s="3">
        <f>IF(OR(Y122="",ISTEXT(Y122)),"sin dato",IF(Y122&gt;='Léeme'!$B$19,"barato",IF(Y122&lt;=-'Léeme'!$B$19,"caro","medio")))</f>
        <v/>
      </c>
      <c r="AD122" s="7" t="n">
        <v>0.7739273927392739</v>
      </c>
      <c r="AE122" s="7" t="n">
        <v>0.5449826989619377</v>
      </c>
      <c r="AF122" s="7" t="n">
        <v>0.4653979238754326</v>
      </c>
      <c r="AG122" s="7" t="n">
        <v>0.8520408163265306</v>
      </c>
    </row>
    <row r="123">
      <c r="A123" s="3" t="inlineStr">
        <is>
          <t>2022-T2</t>
        </is>
      </c>
      <c r="B123" s="13" t="n">
        <v>44742</v>
      </c>
      <c r="C123" s="14" t="n">
        <v>43</v>
      </c>
      <c r="D123" s="14" t="n">
        <v>2.12</v>
      </c>
      <c r="E123" s="14" t="n">
        <v>2.68</v>
      </c>
      <c r="F123" s="5" t="n">
        <v>0.0298</v>
      </c>
      <c r="G123" s="5" t="n">
        <v>0.03098630066224661</v>
      </c>
      <c r="H123" s="5" t="n">
        <v>0.03285650578684285</v>
      </c>
      <c r="I123" s="17" t="n">
        <v>717596000</v>
      </c>
      <c r="J123" s="17" t="n">
        <v>3693560000</v>
      </c>
      <c r="K123" s="17" t="n">
        <v>0</v>
      </c>
      <c r="L123" s="17" t="n">
        <v>175810465</v>
      </c>
      <c r="M123" s="5" t="n">
        <v>0.065</v>
      </c>
      <c r="N123" s="9">
        <f>IF(F123="","",F123+'Léeme'!$B$10)</f>
        <v/>
      </c>
      <c r="O123" s="9">
        <f>IF(OR(G123="",N123=""),"",MIN(MAX(G123,'Léeme'!$B$11),'Léeme'!$B$12,N123-'Léeme'!$B$16))</f>
        <v/>
      </c>
      <c r="P123" s="16">
        <f>IF(OR(D123="",O123=""),"",IFERROR(IF(D123&lt;=0,"",D123*(1+O123)/(N123-O123)),""))</f>
        <v/>
      </c>
      <c r="Q123" s="9">
        <f>IF(H123="","",MIN(MAX(H123,'Léeme'!$B$13),'Léeme'!$B$14))</f>
        <v/>
      </c>
      <c r="R123" s="9">
        <f>IF(N123="","",MIN('Léeme'!$B$15,N123-'Léeme'!$B$16))</f>
        <v/>
      </c>
      <c r="S123" s="16">
        <f>IF(OR(E123="",Q123=""),"",IFERROR(IF(E123&lt;=0,"",E123*(((1+Q123)/(1+N123))+((1+Q123)/(1+N123))^2+((1+Q123)/(1+N123))^3+((1+Q123)/(1+N123))^4+((1+Q123)/(1+N123))^5)+E123*(1+Q123)^5*(1+R123)/((N123-R123)*(1+N123)^5)),""))</f>
        <v/>
      </c>
      <c r="T123" s="9">
        <f>IF(OR(E123="",N123=""),"",IFERROR((C123*N123-E123)/(C123+E123),""))</f>
        <v/>
      </c>
      <c r="U123" s="9">
        <f>IF(OR(H123="",T123=""),"",IFERROR(MIN(MAX(H123,'Léeme'!$B$17),'Léeme'!$B$18)-T123,""))</f>
        <v/>
      </c>
      <c r="V123" s="16">
        <f>IF(OR(I123="",M123="",L123=""),"",IFERROR((I123/M123-J123-K123)/L123,""))</f>
        <v/>
      </c>
      <c r="W123" s="11">
        <f>IFERROR(P123/C123-1,"")</f>
        <v/>
      </c>
      <c r="X123" s="11">
        <f>IFERROR(S123/C123-1,"")</f>
        <v/>
      </c>
      <c r="Y123" s="11">
        <f>IFERROR(V123/C123-1,"")</f>
        <v/>
      </c>
      <c r="Z123" s="3">
        <f>IF(OR(W123="",ISTEXT(W123)),"sin dato",IF(W123&gt;='Léeme'!$B$19,"barato",IF(W123&lt;=-'Léeme'!$B$19,"caro","medio")))</f>
        <v/>
      </c>
      <c r="AA123" s="3">
        <f>IF(OR(X123="",ISTEXT(X123)),"sin dato",IF(X123&gt;='Léeme'!$B$19,"barato",IF(X123&lt;=-'Léeme'!$B$19,"caro","medio")))</f>
        <v/>
      </c>
      <c r="AB123" s="3">
        <f>IF(OR(U123="",ISTEXT(U123)),"sin dato",IF(U123&gt;='Léeme'!$B$20,"barato",IF(U123&lt;=-'Léeme'!$B$20,"caro","medio")))</f>
        <v/>
      </c>
      <c r="AC123" s="3">
        <f>IF(OR(Y123="",ISTEXT(Y123)),"sin dato",IF(Y123&gt;='Léeme'!$B$19,"barato",IF(Y123&lt;=-'Léeme'!$B$19,"caro","medio")))</f>
        <v/>
      </c>
      <c r="AD123" s="7" t="n">
        <v>0.5408496732026143</v>
      </c>
      <c r="AE123" s="7" t="n">
        <v>0.398972602739726</v>
      </c>
      <c r="AF123" s="7" t="n">
        <v>0.4160958904109589</v>
      </c>
      <c r="AG123" s="7" t="n">
        <v>0.8960396039603961</v>
      </c>
    </row>
    <row r="124">
      <c r="A124" s="3" t="inlineStr">
        <is>
          <t>2022-T3</t>
        </is>
      </c>
      <c r="B124" s="13" t="n">
        <v>44834</v>
      </c>
      <c r="C124" s="14" t="n">
        <v>39.860001</v>
      </c>
      <c r="D124" s="14" t="n">
        <v>2.2</v>
      </c>
      <c r="E124" s="14" t="n">
        <v>2.68</v>
      </c>
      <c r="F124" s="5" t="n">
        <v>0.0383</v>
      </c>
      <c r="G124" s="5" t="n">
        <v>0.02975477857041309</v>
      </c>
      <c r="H124" s="5" t="n">
        <v>0.03285650578684285</v>
      </c>
      <c r="I124" s="17" t="n">
        <v>727516000</v>
      </c>
      <c r="J124" s="17" t="n">
        <v>3784853000</v>
      </c>
      <c r="K124" s="17" t="n">
        <v>0</v>
      </c>
      <c r="L124" s="17" t="n">
        <v>176615017</v>
      </c>
      <c r="M124" s="5" t="n">
        <v>0.065</v>
      </c>
      <c r="N124" s="9">
        <f>IF(F124="","",F124+'Léeme'!$B$10)</f>
        <v/>
      </c>
      <c r="O124" s="9">
        <f>IF(OR(G124="",N124=""),"",MIN(MAX(G124,'Léeme'!$B$11),'Léeme'!$B$12,N124-'Léeme'!$B$16))</f>
        <v/>
      </c>
      <c r="P124" s="16">
        <f>IF(OR(D124="",O124=""),"",IFERROR(IF(D124&lt;=0,"",D124*(1+O124)/(N124-O124)),""))</f>
        <v/>
      </c>
      <c r="Q124" s="9">
        <f>IF(H124="","",MIN(MAX(H124,'Léeme'!$B$13),'Léeme'!$B$14))</f>
        <v/>
      </c>
      <c r="R124" s="9">
        <f>IF(N124="","",MIN('Léeme'!$B$15,N124-'Léeme'!$B$16))</f>
        <v/>
      </c>
      <c r="S124" s="16">
        <f>IF(OR(E124="",Q124=""),"",IFERROR(IF(E124&lt;=0,"",E124*(((1+Q124)/(1+N124))+((1+Q124)/(1+N124))^2+((1+Q124)/(1+N124))^3+((1+Q124)/(1+N124))^4+((1+Q124)/(1+N124))^5)+E124*(1+Q124)^5*(1+R124)/((N124-R124)*(1+N124)^5)),""))</f>
        <v/>
      </c>
      <c r="T124" s="9">
        <f>IF(OR(E124="",N124=""),"",IFERROR((C124*N124-E124)/(C124+E124),""))</f>
        <v/>
      </c>
      <c r="U124" s="9">
        <f>IF(OR(H124="",T124=""),"",IFERROR(MIN(MAX(H124,'Léeme'!$B$17),'Léeme'!$B$18)-T124,""))</f>
        <v/>
      </c>
      <c r="V124" s="16">
        <f>IF(OR(I124="",M124="",L124=""),"",IFERROR((I124/M124-J124-K124)/L124,""))</f>
        <v/>
      </c>
      <c r="W124" s="11">
        <f>IFERROR(P124/C124-1,"")</f>
        <v/>
      </c>
      <c r="X124" s="11">
        <f>IFERROR(S124/C124-1,"")</f>
        <v/>
      </c>
      <c r="Y124" s="11">
        <f>IFERROR(V124/C124-1,"")</f>
        <v/>
      </c>
      <c r="Z124" s="3">
        <f>IF(OR(W124="",ISTEXT(W124)),"sin dato",IF(W124&gt;='Léeme'!$B$19,"barato",IF(W124&lt;=-'Léeme'!$B$19,"caro","medio")))</f>
        <v/>
      </c>
      <c r="AA124" s="3">
        <f>IF(OR(X124="",ISTEXT(X124)),"sin dato",IF(X124&gt;='Léeme'!$B$19,"barato",IF(X124&lt;=-'Léeme'!$B$19,"caro","medio")))</f>
        <v/>
      </c>
      <c r="AB124" s="3">
        <f>IF(OR(U124="",ISTEXT(U124)),"sin dato",IF(U124&gt;='Léeme'!$B$20,"barato",IF(U124&lt;=-'Léeme'!$B$20,"caro","medio")))</f>
        <v/>
      </c>
      <c r="AC124" s="3">
        <f>IF(OR(Y124="",ISTEXT(Y124)),"sin dato",IF(Y124&gt;='Léeme'!$B$19,"barato",IF(Y124&lt;=-'Léeme'!$B$19,"caro","medio")))</f>
        <v/>
      </c>
      <c r="AD124" s="7" t="n">
        <v>0.3770226537216829</v>
      </c>
      <c r="AE124" s="7" t="n">
        <v>0.2864406779661017</v>
      </c>
      <c r="AF124" s="7" t="n">
        <v>0.388135593220339</v>
      </c>
      <c r="AG124" s="7" t="n">
        <v>0.9375</v>
      </c>
    </row>
    <row r="125">
      <c r="A125" s="3" t="inlineStr">
        <is>
          <t>2022-T4</t>
        </is>
      </c>
      <c r="B125" s="13" t="n">
        <v>44925</v>
      </c>
      <c r="C125" s="14" t="n">
        <v>45.759998</v>
      </c>
      <c r="D125" s="14" t="n">
        <v>2.2</v>
      </c>
      <c r="E125" s="14" t="n">
        <v>2.68</v>
      </c>
      <c r="F125" s="5" t="n">
        <v>0.0388</v>
      </c>
      <c r="G125" s="5" t="n">
        <v>0.02975477857041309</v>
      </c>
      <c r="H125" s="5" t="n">
        <v>0.03285650578684285</v>
      </c>
      <c r="I125" s="17" t="n">
        <v>747776000</v>
      </c>
      <c r="J125" s="17" t="n">
        <v>3793217000</v>
      </c>
      <c r="K125" s="17" t="n">
        <v>0</v>
      </c>
      <c r="L125" s="17" t="n">
        <v>178731891</v>
      </c>
      <c r="M125" s="5" t="n">
        <v>0.065</v>
      </c>
      <c r="N125" s="9">
        <f>IF(F125="","",F125+'Léeme'!$B$10)</f>
        <v/>
      </c>
      <c r="O125" s="9">
        <f>IF(OR(G125="",N125=""),"",MIN(MAX(G125,'Léeme'!$B$11),'Léeme'!$B$12,N125-'Léeme'!$B$16))</f>
        <v/>
      </c>
      <c r="P125" s="16">
        <f>IF(OR(D125="",O125=""),"",IFERROR(IF(D125&lt;=0,"",D125*(1+O125)/(N125-O125)),""))</f>
        <v/>
      </c>
      <c r="Q125" s="9">
        <f>IF(H125="","",MIN(MAX(H125,'Léeme'!$B$13),'Léeme'!$B$14))</f>
        <v/>
      </c>
      <c r="R125" s="9">
        <f>IF(N125="","",MIN('Léeme'!$B$15,N125-'Léeme'!$B$16))</f>
        <v/>
      </c>
      <c r="S125" s="16">
        <f>IF(OR(E125="",Q125=""),"",IFERROR(IF(E125&lt;=0,"",E125*(((1+Q125)/(1+N125))+((1+Q125)/(1+N125))^2+((1+Q125)/(1+N125))^3+((1+Q125)/(1+N125))^4+((1+Q125)/(1+N125))^5)+E125*(1+Q125)^5*(1+R125)/((N125-R125)*(1+N125)^5)),""))</f>
        <v/>
      </c>
      <c r="T125" s="9">
        <f>IF(OR(E125="",N125=""),"",IFERROR((C125*N125-E125)/(C125+E125),""))</f>
        <v/>
      </c>
      <c r="U125" s="9">
        <f>IF(OR(H125="",T125=""),"",IFERROR(MIN(MAX(H125,'Léeme'!$B$17),'Léeme'!$B$18)-T125,""))</f>
        <v/>
      </c>
      <c r="V125" s="16">
        <f>IF(OR(I125="",M125="",L125=""),"",IFERROR((I125/M125-J125-K125)/L125,""))</f>
        <v/>
      </c>
      <c r="W125" s="11">
        <f>IFERROR(P125/C125-1,"")</f>
        <v/>
      </c>
      <c r="X125" s="11">
        <f>IFERROR(S125/C125-1,"")</f>
        <v/>
      </c>
      <c r="Y125" s="11">
        <f>IFERROR(V125/C125-1,"")</f>
        <v/>
      </c>
      <c r="Z125" s="3">
        <f>IF(OR(W125="",ISTEXT(W125)),"sin dato",IF(W125&gt;='Léeme'!$B$19,"barato",IF(W125&lt;=-'Léeme'!$B$19,"caro","medio")))</f>
        <v/>
      </c>
      <c r="AA125" s="3">
        <f>IF(OR(X125="",ISTEXT(X125)),"sin dato",IF(X125&gt;='Léeme'!$B$19,"barato",IF(X125&lt;=-'Léeme'!$B$19,"caro","medio")))</f>
        <v/>
      </c>
      <c r="AB125" s="3">
        <f>IF(OR(U125="",ISTEXT(U125)),"sin dato",IF(U125&gt;='Léeme'!$B$20,"barato",IF(U125&lt;=-'Léeme'!$B$20,"caro","medio")))</f>
        <v/>
      </c>
      <c r="AC125" s="3">
        <f>IF(OR(Y125="",ISTEXT(Y125)),"sin dato",IF(Y125&gt;='Léeme'!$B$19,"barato",IF(Y125&lt;=-'Léeme'!$B$19,"caro","medio")))</f>
        <v/>
      </c>
      <c r="AD125" s="7" t="n">
        <v>0.2868589743589743</v>
      </c>
      <c r="AE125" s="7" t="n">
        <v>0.08557046979865772</v>
      </c>
      <c r="AF125" s="7" t="n">
        <v>0.3305369127516778</v>
      </c>
      <c r="AG125" s="7" t="n">
        <v>0.8084112149532711</v>
      </c>
    </row>
    <row r="126">
      <c r="A126" s="3" t="inlineStr">
        <is>
          <t>2023-T1</t>
        </is>
      </c>
      <c r="B126" s="13" t="n">
        <v>45016</v>
      </c>
      <c r="C126" s="14" t="n">
        <v>44.150002</v>
      </c>
      <c r="D126" s="14" t="n">
        <v>2.2</v>
      </c>
      <c r="E126" s="14" t="n">
        <v>3.1</v>
      </c>
      <c r="F126" s="5" t="n">
        <v>0.0348</v>
      </c>
      <c r="G126" s="5" t="n">
        <v>0.02975477857041309</v>
      </c>
      <c r="H126" s="5" t="n">
        <v>0.05251935381426631</v>
      </c>
      <c r="I126" s="17" t="n">
        <v>762840000</v>
      </c>
      <c r="J126" s="17" t="n">
        <v>3913549000</v>
      </c>
      <c r="K126" s="17" t="n">
        <v>0</v>
      </c>
      <c r="L126" s="17" t="n">
        <v>181424670</v>
      </c>
      <c r="M126" s="5" t="n">
        <v>0.064</v>
      </c>
      <c r="N126" s="9">
        <f>IF(F126="","",F126+'Léeme'!$B$10)</f>
        <v/>
      </c>
      <c r="O126" s="9">
        <f>IF(OR(G126="",N126=""),"",MIN(MAX(G126,'Léeme'!$B$11),'Léeme'!$B$12,N126-'Léeme'!$B$16))</f>
        <v/>
      </c>
      <c r="P126" s="16">
        <f>IF(OR(D126="",O126=""),"",IFERROR(IF(D126&lt;=0,"",D126*(1+O126)/(N126-O126)),""))</f>
        <v/>
      </c>
      <c r="Q126" s="9">
        <f>IF(H126="","",MIN(MAX(H126,'Léeme'!$B$13),'Léeme'!$B$14))</f>
        <v/>
      </c>
      <c r="R126" s="9">
        <f>IF(N126="","",MIN('Léeme'!$B$15,N126-'Léeme'!$B$16))</f>
        <v/>
      </c>
      <c r="S126" s="16">
        <f>IF(OR(E126="",Q126=""),"",IFERROR(IF(E126&lt;=0,"",E126*(((1+Q126)/(1+N126))+((1+Q126)/(1+N126))^2+((1+Q126)/(1+N126))^3+((1+Q126)/(1+N126))^4+((1+Q126)/(1+N126))^5)+E126*(1+Q126)^5*(1+R126)/((N126-R126)*(1+N126)^5)),""))</f>
        <v/>
      </c>
      <c r="T126" s="9">
        <f>IF(OR(E126="",N126=""),"",IFERROR((C126*N126-E126)/(C126+E126),""))</f>
        <v/>
      </c>
      <c r="U126" s="9">
        <f>IF(OR(H126="",T126=""),"",IFERROR(MIN(MAX(H126,'Léeme'!$B$17),'Léeme'!$B$18)-T126,""))</f>
        <v/>
      </c>
      <c r="V126" s="16">
        <f>IF(OR(I126="",M126="",L126=""),"",IFERROR((I126/M126-J126-K126)/L126,""))</f>
        <v/>
      </c>
      <c r="W126" s="11">
        <f>IFERROR(P126/C126-1,"")</f>
        <v/>
      </c>
      <c r="X126" s="11">
        <f>IFERROR(S126/C126-1,"")</f>
        <v/>
      </c>
      <c r="Y126" s="11">
        <f>IFERROR(V126/C126-1,"")</f>
        <v/>
      </c>
      <c r="Z126" s="3">
        <f>IF(OR(W126="",ISTEXT(W126)),"sin dato",IF(W126&gt;='Léeme'!$B$19,"barato",IF(W126&lt;=-'Léeme'!$B$19,"caro","medio")))</f>
        <v/>
      </c>
      <c r="AA126" s="3">
        <f>IF(OR(X126="",ISTEXT(X126)),"sin dato",IF(X126&gt;='Léeme'!$B$19,"barato",IF(X126&lt;=-'Léeme'!$B$19,"caro","medio")))</f>
        <v/>
      </c>
      <c r="AB126" s="3">
        <f>IF(OR(U126="",ISTEXT(U126)),"sin dato",IF(U126&gt;='Léeme'!$B$20,"barato",IF(U126&lt;=-'Léeme'!$B$20,"caro","medio")))</f>
        <v/>
      </c>
      <c r="AC126" s="3">
        <f>IF(OR(Y126="",ISTEXT(Y126)),"sin dato",IF(Y126&gt;='Léeme'!$B$19,"barato",IF(Y126&lt;=-'Léeme'!$B$19,"caro","medio")))</f>
        <v/>
      </c>
      <c r="AD126" s="7" t="n">
        <v>0.3761904761904762</v>
      </c>
      <c r="AE126" s="7" t="n">
        <v>0.5</v>
      </c>
      <c r="AF126" s="7" t="n">
        <v>0.6495016611295681</v>
      </c>
      <c r="AG126" s="7" t="n">
        <v>0.9136363636363637</v>
      </c>
    </row>
    <row r="127">
      <c r="A127" s="3" t="inlineStr">
        <is>
          <t>2023-T2</t>
        </is>
      </c>
      <c r="B127" s="13" t="n">
        <v>45107</v>
      </c>
      <c r="C127" s="14" t="n">
        <v>42.790001</v>
      </c>
      <c r="D127" s="14" t="n">
        <v>2.2</v>
      </c>
      <c r="E127" s="14" t="n">
        <v>3.1</v>
      </c>
      <c r="F127" s="5" t="n">
        <v>0.0381</v>
      </c>
      <c r="G127" s="5" t="n">
        <v>0.02975477857041309</v>
      </c>
      <c r="H127" s="5" t="n">
        <v>0.05251935381426631</v>
      </c>
      <c r="I127" s="17" t="n">
        <v>787056000</v>
      </c>
      <c r="J127" s="17" t="n">
        <v>3956479000</v>
      </c>
      <c r="K127" s="17" t="n">
        <v>0</v>
      </c>
      <c r="L127" s="17" t="n">
        <v>182087429</v>
      </c>
      <c r="M127" s="5" t="n">
        <v>0.064</v>
      </c>
      <c r="N127" s="9">
        <f>IF(F127="","",F127+'Léeme'!$B$10)</f>
        <v/>
      </c>
      <c r="O127" s="9">
        <f>IF(OR(G127="",N127=""),"",MIN(MAX(G127,'Léeme'!$B$11),'Léeme'!$B$12,N127-'Léeme'!$B$16))</f>
        <v/>
      </c>
      <c r="P127" s="16">
        <f>IF(OR(D127="",O127=""),"",IFERROR(IF(D127&lt;=0,"",D127*(1+O127)/(N127-O127)),""))</f>
        <v/>
      </c>
      <c r="Q127" s="9">
        <f>IF(H127="","",MIN(MAX(H127,'Léeme'!$B$13),'Léeme'!$B$14))</f>
        <v/>
      </c>
      <c r="R127" s="9">
        <f>IF(N127="","",MIN('Léeme'!$B$15,N127-'Léeme'!$B$16))</f>
        <v/>
      </c>
      <c r="S127" s="16">
        <f>IF(OR(E127="",Q127=""),"",IFERROR(IF(E127&lt;=0,"",E127*(((1+Q127)/(1+N127))+((1+Q127)/(1+N127))^2+((1+Q127)/(1+N127))^3+((1+Q127)/(1+N127))^4+((1+Q127)/(1+N127))^5)+E127*(1+Q127)^5*(1+R127)/((N127-R127)*(1+N127)^5)),""))</f>
        <v/>
      </c>
      <c r="T127" s="9">
        <f>IF(OR(E127="",N127=""),"",IFERROR((C127*N127-E127)/(C127+E127),""))</f>
        <v/>
      </c>
      <c r="U127" s="9">
        <f>IF(OR(H127="",T127=""),"",IFERROR(MIN(MAX(H127,'Léeme'!$B$17),'Léeme'!$B$18)-T127,""))</f>
        <v/>
      </c>
      <c r="V127" s="16">
        <f>IF(OR(I127="",M127="",L127=""),"",IFERROR((I127/M127-J127-K127)/L127,""))</f>
        <v/>
      </c>
      <c r="W127" s="11">
        <f>IFERROR(P127/C127-1,"")</f>
        <v/>
      </c>
      <c r="X127" s="11">
        <f>IFERROR(S127/C127-1,"")</f>
        <v/>
      </c>
      <c r="Y127" s="11">
        <f>IFERROR(V127/C127-1,"")</f>
        <v/>
      </c>
      <c r="Z127" s="3">
        <f>IF(OR(W127="",ISTEXT(W127)),"sin dato",IF(W127&gt;='Léeme'!$B$19,"barato",IF(W127&lt;=-'Léeme'!$B$19,"caro","medio")))</f>
        <v/>
      </c>
      <c r="AA127" s="3">
        <f>IF(OR(X127="",ISTEXT(X127)),"sin dato",IF(X127&gt;='Léeme'!$B$19,"barato",IF(X127&lt;=-'Léeme'!$B$19,"caro","medio")))</f>
        <v/>
      </c>
      <c r="AB127" s="3">
        <f>IF(OR(U127="",ISTEXT(U127)),"sin dato",IF(U127&gt;='Léeme'!$B$20,"barato",IF(U127&lt;=-'Léeme'!$B$20,"caro","medio")))</f>
        <v/>
      </c>
      <c r="AC127" s="3">
        <f>IF(OR(Y127="",ISTEXT(Y127)),"sin dato",IF(Y127&gt;='Léeme'!$B$19,"barato",IF(Y127&lt;=-'Léeme'!$B$19,"caro","medio")))</f>
        <v/>
      </c>
      <c r="AD127" s="7" t="n">
        <v>0.3286163522012578</v>
      </c>
      <c r="AE127" s="7" t="n">
        <v>0.4490131578947368</v>
      </c>
      <c r="AF127" s="7" t="n">
        <v>0.6299342105263158</v>
      </c>
      <c r="AG127" s="7" t="n">
        <v>0.9336283185840708</v>
      </c>
    </row>
    <row r="128">
      <c r="A128" s="3" t="inlineStr">
        <is>
          <t>2023-T3</t>
        </is>
      </c>
      <c r="B128" s="13" t="n">
        <v>45198</v>
      </c>
      <c r="C128" s="14" t="n">
        <v>35.34</v>
      </c>
      <c r="D128" s="14" t="n">
        <v>2.26</v>
      </c>
      <c r="E128" s="14" t="n">
        <v>3.1</v>
      </c>
      <c r="F128" s="5" t="n">
        <v>0.0459</v>
      </c>
      <c r="G128" s="5" t="n">
        <v>0.02474471859817751</v>
      </c>
      <c r="H128" s="5" t="n">
        <v>0.05251935381426631</v>
      </c>
      <c r="I128" s="17" t="n">
        <v>781772000</v>
      </c>
      <c r="J128" s="17" t="n">
        <v>4072231000</v>
      </c>
      <c r="K128" s="17" t="n">
        <v>0</v>
      </c>
      <c r="L128" s="17" t="n">
        <v>182407911</v>
      </c>
      <c r="M128" s="5" t="n">
        <v>0.064</v>
      </c>
      <c r="N128" s="9">
        <f>IF(F128="","",F128+'Léeme'!$B$10)</f>
        <v/>
      </c>
      <c r="O128" s="9">
        <f>IF(OR(G128="",N128=""),"",MIN(MAX(G128,'Léeme'!$B$11),'Léeme'!$B$12,N128-'Léeme'!$B$16))</f>
        <v/>
      </c>
      <c r="P128" s="16">
        <f>IF(OR(D128="",O128=""),"",IFERROR(IF(D128&lt;=0,"",D128*(1+O128)/(N128-O128)),""))</f>
        <v/>
      </c>
      <c r="Q128" s="9">
        <f>IF(H128="","",MIN(MAX(H128,'Léeme'!$B$13),'Léeme'!$B$14))</f>
        <v/>
      </c>
      <c r="R128" s="9">
        <f>IF(N128="","",MIN('Léeme'!$B$15,N128-'Léeme'!$B$16))</f>
        <v/>
      </c>
      <c r="S128" s="16">
        <f>IF(OR(E128="",Q128=""),"",IFERROR(IF(E128&lt;=0,"",E128*(((1+Q128)/(1+N128))+((1+Q128)/(1+N128))^2+((1+Q128)/(1+N128))^3+((1+Q128)/(1+N128))^4+((1+Q128)/(1+N128))^5)+E128*(1+Q128)^5*(1+R128)/((N128-R128)*(1+N128)^5)),""))</f>
        <v/>
      </c>
      <c r="T128" s="9">
        <f>IF(OR(E128="",N128=""),"",IFERROR((C128*N128-E128)/(C128+E128),""))</f>
        <v/>
      </c>
      <c r="U128" s="9">
        <f>IF(OR(H128="",T128=""),"",IFERROR(MIN(MAX(H128,'Léeme'!$B$17),'Léeme'!$B$18)-T128,""))</f>
        <v/>
      </c>
      <c r="V128" s="16">
        <f>IF(OR(I128="",M128="",L128=""),"",IFERROR((I128/M128-J128-K128)/L128,""))</f>
        <v/>
      </c>
      <c r="W128" s="11">
        <f>IFERROR(P128/C128-1,"")</f>
        <v/>
      </c>
      <c r="X128" s="11">
        <f>IFERROR(S128/C128-1,"")</f>
        <v/>
      </c>
      <c r="Y128" s="11">
        <f>IFERROR(V128/C128-1,"")</f>
        <v/>
      </c>
      <c r="Z128" s="3">
        <f>IF(OR(W128="",ISTEXT(W128)),"sin dato",IF(W128&gt;='Léeme'!$B$19,"barato",IF(W128&lt;=-'Léeme'!$B$19,"caro","medio")))</f>
        <v/>
      </c>
      <c r="AA128" s="3">
        <f>IF(OR(X128="",ISTEXT(X128)),"sin dato",IF(X128&gt;='Léeme'!$B$19,"barato",IF(X128&lt;=-'Léeme'!$B$19,"caro","medio")))</f>
        <v/>
      </c>
      <c r="AB128" s="3">
        <f>IF(OR(U128="",ISTEXT(U128)),"sin dato",IF(U128&gt;='Léeme'!$B$20,"barato",IF(U128&lt;=-'Léeme'!$B$20,"caro","medio")))</f>
        <v/>
      </c>
      <c r="AC128" s="3">
        <f>IF(OR(Y128="",ISTEXT(Y128)),"sin dato",IF(Y128&gt;='Léeme'!$B$19,"barato",IF(Y128&lt;=-'Léeme'!$B$19,"caro","medio")))</f>
        <v/>
      </c>
      <c r="AD128" s="7" t="n">
        <v>0.2975077881619937</v>
      </c>
      <c r="AE128" s="7" t="n">
        <v>0.496742671009772</v>
      </c>
      <c r="AF128" s="7" t="n">
        <v>0.6954397394136808</v>
      </c>
      <c r="AG128" s="7" t="n">
        <v>0.9956896551724138</v>
      </c>
    </row>
    <row r="129">
      <c r="A129" s="3" t="inlineStr">
        <is>
          <t>2023-T4</t>
        </is>
      </c>
      <c r="B129" s="13" t="n">
        <v>45289</v>
      </c>
      <c r="C129" s="14" t="n">
        <v>43.099998</v>
      </c>
      <c r="D129" s="14" t="n">
        <v>2.26</v>
      </c>
      <c r="E129" s="14" t="n">
        <v>3.1</v>
      </c>
      <c r="F129" s="5" t="n">
        <v>0.0388</v>
      </c>
      <c r="G129" s="5" t="n">
        <v>0.02474471859817751</v>
      </c>
      <c r="H129" s="5" t="n">
        <v>0.05251935381426631</v>
      </c>
      <c r="I129" s="17" t="n">
        <v>793696000</v>
      </c>
      <c r="J129" s="17" t="n">
        <v>4150027000</v>
      </c>
      <c r="K129" s="17" t="n">
        <v>0</v>
      </c>
      <c r="L129" s="17" t="n">
        <v>182440174</v>
      </c>
      <c r="M129" s="5" t="n">
        <v>0.064</v>
      </c>
      <c r="N129" s="9">
        <f>IF(F129="","",F129+'Léeme'!$B$10)</f>
        <v/>
      </c>
      <c r="O129" s="9">
        <f>IF(OR(G129="",N129=""),"",MIN(MAX(G129,'Léeme'!$B$11),'Léeme'!$B$12,N129-'Léeme'!$B$16))</f>
        <v/>
      </c>
      <c r="P129" s="16">
        <f>IF(OR(D129="",O129=""),"",IFERROR(IF(D129&lt;=0,"",D129*(1+O129)/(N129-O129)),""))</f>
        <v/>
      </c>
      <c r="Q129" s="9">
        <f>IF(H129="","",MIN(MAX(H129,'Léeme'!$B$13),'Léeme'!$B$14))</f>
        <v/>
      </c>
      <c r="R129" s="9">
        <f>IF(N129="","",MIN('Léeme'!$B$15,N129-'Léeme'!$B$16))</f>
        <v/>
      </c>
      <c r="S129" s="16">
        <f>IF(OR(E129="",Q129=""),"",IFERROR(IF(E129&lt;=0,"",E129*(((1+Q129)/(1+N129))+((1+Q129)/(1+N129))^2+((1+Q129)/(1+N129))^3+((1+Q129)/(1+N129))^4+((1+Q129)/(1+N129))^5)+E129*(1+Q129)^5*(1+R129)/((N129-R129)*(1+N129)^5)),""))</f>
        <v/>
      </c>
      <c r="T129" s="9">
        <f>IF(OR(E129="",N129=""),"",IFERROR((C129*N129-E129)/(C129+E129),""))</f>
        <v/>
      </c>
      <c r="U129" s="9">
        <f>IF(OR(H129="",T129=""),"",IFERROR(MIN(MAX(H129,'Léeme'!$B$17),'Léeme'!$B$18)-T129,""))</f>
        <v/>
      </c>
      <c r="V129" s="16">
        <f>IF(OR(I129="",M129="",L129=""),"",IFERROR((I129/M129-J129-K129)/L129,""))</f>
        <v/>
      </c>
      <c r="W129" s="11">
        <f>IFERROR(P129/C129-1,"")</f>
        <v/>
      </c>
      <c r="X129" s="11">
        <f>IFERROR(S129/C129-1,"")</f>
        <v/>
      </c>
      <c r="Y129" s="11">
        <f>IFERROR(V129/C129-1,"")</f>
        <v/>
      </c>
      <c r="Z129" s="3">
        <f>IF(OR(W129="",ISTEXT(W129)),"sin dato",IF(W129&gt;='Léeme'!$B$19,"barato",IF(W129&lt;=-'Léeme'!$B$19,"caro","medio")))</f>
        <v/>
      </c>
      <c r="AA129" s="3">
        <f>IF(OR(X129="",ISTEXT(X129)),"sin dato",IF(X129&gt;='Léeme'!$B$19,"barato",IF(X129&lt;=-'Léeme'!$B$19,"caro","medio")))</f>
        <v/>
      </c>
      <c r="AB129" s="3">
        <f>IF(OR(U129="",ISTEXT(U129)),"sin dato",IF(U129&gt;='Léeme'!$B$20,"barato",IF(U129&lt;=-'Léeme'!$B$20,"caro","medio")))</f>
        <v/>
      </c>
      <c r="AC129" s="3">
        <f>IF(OR(Y129="",ISTEXT(Y129)),"sin dato",IF(Y129&gt;='Léeme'!$B$19,"barato",IF(Y129&lt;=-'Léeme'!$B$19,"caro","medio")))</f>
        <v/>
      </c>
      <c r="AD129" s="7" t="n">
        <v>0.2669753086419753</v>
      </c>
      <c r="AE129" s="7" t="n">
        <v>0.4403225806451613</v>
      </c>
      <c r="AF129" s="7" t="n">
        <v>0.6016129032258064</v>
      </c>
      <c r="AG129" s="7" t="n">
        <v>0.8781512605042017</v>
      </c>
    </row>
    <row r="130">
      <c r="A130" s="3" t="inlineStr">
        <is>
          <t>2024-T1</t>
        </is>
      </c>
      <c r="B130" s="13" t="n">
        <v>45379</v>
      </c>
      <c r="C130" s="14" t="n">
        <v>42.740002</v>
      </c>
      <c r="D130" s="14" t="n">
        <v>2.26</v>
      </c>
      <c r="E130" s="14" t="n">
        <v>3.24</v>
      </c>
      <c r="F130" s="5" t="n">
        <v>0.042</v>
      </c>
      <c r="G130" s="5" t="n">
        <v>0.02474471859817751</v>
      </c>
      <c r="H130" s="5" t="n">
        <v>0.05071491657896088</v>
      </c>
      <c r="I130" s="17" t="n">
        <v>821396000</v>
      </c>
      <c r="J130" s="17" t="n">
        <v>4359355000</v>
      </c>
      <c r="K130" s="17" t="n">
        <v>0</v>
      </c>
      <c r="L130" s="17" t="n">
        <v>182474770</v>
      </c>
      <c r="M130" s="5" t="n">
        <v>0.073</v>
      </c>
      <c r="N130" s="9">
        <f>IF(F130="","",F130+'Léeme'!$B$10)</f>
        <v/>
      </c>
      <c r="O130" s="9">
        <f>IF(OR(G130="",N130=""),"",MIN(MAX(G130,'Léeme'!$B$11),'Léeme'!$B$12,N130-'Léeme'!$B$16))</f>
        <v/>
      </c>
      <c r="P130" s="16">
        <f>IF(OR(D130="",O130=""),"",IFERROR(IF(D130&lt;=0,"",D130*(1+O130)/(N130-O130)),""))</f>
        <v/>
      </c>
      <c r="Q130" s="9">
        <f>IF(H130="","",MIN(MAX(H130,'Léeme'!$B$13),'Léeme'!$B$14))</f>
        <v/>
      </c>
      <c r="R130" s="9">
        <f>IF(N130="","",MIN('Léeme'!$B$15,N130-'Léeme'!$B$16))</f>
        <v/>
      </c>
      <c r="S130" s="16">
        <f>IF(OR(E130="",Q130=""),"",IFERROR(IF(E130&lt;=0,"",E130*(((1+Q130)/(1+N130))+((1+Q130)/(1+N130))^2+((1+Q130)/(1+N130))^3+((1+Q130)/(1+N130))^4+((1+Q130)/(1+N130))^5)+E130*(1+Q130)^5*(1+R130)/((N130-R130)*(1+N130)^5)),""))</f>
        <v/>
      </c>
      <c r="T130" s="9">
        <f>IF(OR(E130="",N130=""),"",IFERROR((C130*N130-E130)/(C130+E130),""))</f>
        <v/>
      </c>
      <c r="U130" s="9">
        <f>IF(OR(H130="",T130=""),"",IFERROR(MIN(MAX(H130,'Léeme'!$B$17),'Léeme'!$B$18)-T130,""))</f>
        <v/>
      </c>
      <c r="V130" s="16">
        <f>IF(OR(I130="",M130="",L130=""),"",IFERROR((I130/M130-J130-K130)/L130,""))</f>
        <v/>
      </c>
      <c r="W130" s="11">
        <f>IFERROR(P130/C130-1,"")</f>
        <v/>
      </c>
      <c r="X130" s="11">
        <f>IFERROR(S130/C130-1,"")</f>
        <v/>
      </c>
      <c r="Y130" s="11">
        <f>IFERROR(V130/C130-1,"")</f>
        <v/>
      </c>
      <c r="Z130" s="3">
        <f>IF(OR(W130="",ISTEXT(W130)),"sin dato",IF(W130&gt;='Léeme'!$B$19,"barato",IF(W130&lt;=-'Léeme'!$B$19,"caro","medio")))</f>
        <v/>
      </c>
      <c r="AA130" s="3">
        <f>IF(OR(X130="",ISTEXT(X130)),"sin dato",IF(X130&gt;='Léeme'!$B$19,"barato",IF(X130&lt;=-'Léeme'!$B$19,"caro","medio")))</f>
        <v/>
      </c>
      <c r="AB130" s="3">
        <f>IF(OR(U130="",ISTEXT(U130)),"sin dato",IF(U130&gt;='Léeme'!$B$20,"barato",IF(U130&lt;=-'Léeme'!$B$20,"caro","medio")))</f>
        <v/>
      </c>
      <c r="AC130" s="3">
        <f>IF(OR(Y130="",ISTEXT(Y130)),"sin dato",IF(Y130&gt;='Léeme'!$B$19,"barato",IF(Y130&lt;=-'Léeme'!$B$19,"caro","medio")))</f>
        <v/>
      </c>
      <c r="AD130" s="7" t="n">
        <v>0.1972477064220184</v>
      </c>
      <c r="AE130" s="7" t="n">
        <v>0.4137380191693291</v>
      </c>
      <c r="AF130" s="7" t="n">
        <v>0.5830670926517572</v>
      </c>
      <c r="AG130" s="7" t="n">
        <v>0.5778688524590164</v>
      </c>
    </row>
    <row r="131">
      <c r="A131" s="3" t="inlineStr">
        <is>
          <t>2024-T2</t>
        </is>
      </c>
      <c r="B131" s="13" t="n">
        <v>45471</v>
      </c>
      <c r="C131" s="14" t="n">
        <v>42.599998</v>
      </c>
      <c r="D131" s="14" t="n">
        <v>2.26</v>
      </c>
      <c r="E131" s="14" t="n">
        <v>3.24</v>
      </c>
      <c r="F131" s="5" t="n">
        <v>0.0436</v>
      </c>
      <c r="G131" s="5" t="n">
        <v>0.02474471859817751</v>
      </c>
      <c r="H131" s="5" t="n">
        <v>0.05071491657896088</v>
      </c>
      <c r="I131" s="17" t="n">
        <v>831612000</v>
      </c>
      <c r="J131" s="17" t="n">
        <v>4345005000</v>
      </c>
      <c r="K131" s="17" t="n">
        <v>0</v>
      </c>
      <c r="L131" s="17" t="n">
        <v>183350322</v>
      </c>
      <c r="M131" s="5" t="n">
        <v>0.073</v>
      </c>
      <c r="N131" s="9">
        <f>IF(F131="","",F131+'Léeme'!$B$10)</f>
        <v/>
      </c>
      <c r="O131" s="9">
        <f>IF(OR(G131="",N131=""),"",MIN(MAX(G131,'Léeme'!$B$11),'Léeme'!$B$12,N131-'Léeme'!$B$16))</f>
        <v/>
      </c>
      <c r="P131" s="16">
        <f>IF(OR(D131="",O131=""),"",IFERROR(IF(D131&lt;=0,"",D131*(1+O131)/(N131-O131)),""))</f>
        <v/>
      </c>
      <c r="Q131" s="9">
        <f>IF(H131="","",MIN(MAX(H131,'Léeme'!$B$13),'Léeme'!$B$14))</f>
        <v/>
      </c>
      <c r="R131" s="9">
        <f>IF(N131="","",MIN('Léeme'!$B$15,N131-'Léeme'!$B$16))</f>
        <v/>
      </c>
      <c r="S131" s="16">
        <f>IF(OR(E131="",Q131=""),"",IFERROR(IF(E131&lt;=0,"",E131*(((1+Q131)/(1+N131))+((1+Q131)/(1+N131))^2+((1+Q131)/(1+N131))^3+((1+Q131)/(1+N131))^4+((1+Q131)/(1+N131))^5)+E131*(1+Q131)^5*(1+R131)/((N131-R131)*(1+N131)^5)),""))</f>
        <v/>
      </c>
      <c r="T131" s="9">
        <f>IF(OR(E131="",N131=""),"",IFERROR((C131*N131-E131)/(C131+E131),""))</f>
        <v/>
      </c>
      <c r="U131" s="9">
        <f>IF(OR(H131="",T131=""),"",IFERROR(MIN(MAX(H131,'Léeme'!$B$17),'Léeme'!$B$18)-T131,""))</f>
        <v/>
      </c>
      <c r="V131" s="16">
        <f>IF(OR(I131="",M131="",L131=""),"",IFERROR((I131/M131-J131-K131)/L131,""))</f>
        <v/>
      </c>
      <c r="W131" s="11">
        <f>IFERROR(P131/C131-1,"")</f>
        <v/>
      </c>
      <c r="X131" s="11">
        <f>IFERROR(S131/C131-1,"")</f>
        <v/>
      </c>
      <c r="Y131" s="11">
        <f>IFERROR(V131/C131-1,"")</f>
        <v/>
      </c>
      <c r="Z131" s="3">
        <f>IF(OR(W131="",ISTEXT(W131)),"sin dato",IF(W131&gt;='Léeme'!$B$19,"barato",IF(W131&lt;=-'Léeme'!$B$19,"caro","medio")))</f>
        <v/>
      </c>
      <c r="AA131" s="3">
        <f>IF(OR(X131="",ISTEXT(X131)),"sin dato",IF(X131&gt;='Léeme'!$B$19,"barato",IF(X131&lt;=-'Léeme'!$B$19,"caro","medio")))</f>
        <v/>
      </c>
      <c r="AB131" s="3">
        <f>IF(OR(U131="",ISTEXT(U131)),"sin dato",IF(U131&gt;='Léeme'!$B$20,"barato",IF(U131&lt;=-'Léeme'!$B$20,"caro","medio")))</f>
        <v/>
      </c>
      <c r="AC131" s="3">
        <f>IF(OR(Y131="",ISTEXT(Y131)),"sin dato",IF(Y131&gt;='Léeme'!$B$19,"barato",IF(Y131&lt;=-'Léeme'!$B$19,"caro","medio")))</f>
        <v/>
      </c>
      <c r="AD131" s="7" t="n">
        <v>0.1712121212121212</v>
      </c>
      <c r="AE131" s="7" t="n">
        <v>0.3718354430379747</v>
      </c>
      <c r="AF131" s="7" t="n">
        <v>0.5617088607594937</v>
      </c>
      <c r="AG131" s="7" t="n">
        <v>0.612</v>
      </c>
    </row>
    <row r="132">
      <c r="A132" s="3" t="inlineStr">
        <is>
          <t>2024-T3</t>
        </is>
      </c>
      <c r="B132" s="13" t="n">
        <v>45565</v>
      </c>
      <c r="C132" s="14" t="n">
        <v>48.490002</v>
      </c>
      <c r="D132" s="14" t="n">
        <v>2.32</v>
      </c>
      <c r="E132" s="14" t="n">
        <v>3.24</v>
      </c>
      <c r="F132" s="5" t="n">
        <v>0.0381</v>
      </c>
      <c r="G132" s="5" t="n">
        <v>0.02405705268232294</v>
      </c>
      <c r="H132" s="5" t="n">
        <v>0.05071491657896088</v>
      </c>
      <c r="I132" s="17" t="n">
        <v>839528000</v>
      </c>
      <c r="J132" s="17" t="n">
        <v>4380677000</v>
      </c>
      <c r="K132" s="17" t="n">
        <v>0</v>
      </c>
      <c r="L132" s="17" t="n">
        <v>183666067</v>
      </c>
      <c r="M132" s="5" t="n">
        <v>0.073</v>
      </c>
      <c r="N132" s="9">
        <f>IF(F132="","",F132+'Léeme'!$B$10)</f>
        <v/>
      </c>
      <c r="O132" s="9">
        <f>IF(OR(G132="",N132=""),"",MIN(MAX(G132,'Léeme'!$B$11),'Léeme'!$B$12,N132-'Léeme'!$B$16))</f>
        <v/>
      </c>
      <c r="P132" s="16">
        <f>IF(OR(D132="",O132=""),"",IFERROR(IF(D132&lt;=0,"",D132*(1+O132)/(N132-O132)),""))</f>
        <v/>
      </c>
      <c r="Q132" s="9">
        <f>IF(H132="","",MIN(MAX(H132,'Léeme'!$B$13),'Léeme'!$B$14))</f>
        <v/>
      </c>
      <c r="R132" s="9">
        <f>IF(N132="","",MIN('Léeme'!$B$15,N132-'Léeme'!$B$16))</f>
        <v/>
      </c>
      <c r="S132" s="16">
        <f>IF(OR(E132="",Q132=""),"",IFERROR(IF(E132&lt;=0,"",E132*(((1+Q132)/(1+N132))+((1+Q132)/(1+N132))^2+((1+Q132)/(1+N132))^3+((1+Q132)/(1+N132))^4+((1+Q132)/(1+N132))^5)+E132*(1+Q132)^5*(1+R132)/((N132-R132)*(1+N132)^5)),""))</f>
        <v/>
      </c>
      <c r="T132" s="9">
        <f>IF(OR(E132="",N132=""),"",IFERROR((C132*N132-E132)/(C132+E132),""))</f>
        <v/>
      </c>
      <c r="U132" s="9">
        <f>IF(OR(H132="",T132=""),"",IFERROR(MIN(MAX(H132,'Léeme'!$B$17),'Léeme'!$B$18)-T132,""))</f>
        <v/>
      </c>
      <c r="V132" s="16">
        <f>IF(OR(I132="",M132="",L132=""),"",IFERROR((I132/M132-J132-K132)/L132,""))</f>
        <v/>
      </c>
      <c r="W132" s="11">
        <f>IFERROR(P132/C132-1,"")</f>
        <v/>
      </c>
      <c r="X132" s="11">
        <f>IFERROR(S132/C132-1,"")</f>
        <v/>
      </c>
      <c r="Y132" s="11">
        <f>IFERROR(V132/C132-1,"")</f>
        <v/>
      </c>
      <c r="Z132" s="3">
        <f>IF(OR(W132="",ISTEXT(W132)),"sin dato",IF(W132&gt;='Léeme'!$B$19,"barato",IF(W132&lt;=-'Léeme'!$B$19,"caro","medio")))</f>
        <v/>
      </c>
      <c r="AA132" s="3">
        <f>IF(OR(X132="",ISTEXT(X132)),"sin dato",IF(X132&gt;='Léeme'!$B$19,"barato",IF(X132&lt;=-'Léeme'!$B$19,"caro","medio")))</f>
        <v/>
      </c>
      <c r="AB132" s="3">
        <f>IF(OR(U132="",ISTEXT(U132)),"sin dato",IF(U132&gt;='Léeme'!$B$20,"barato",IF(U132&lt;=-'Léeme'!$B$20,"caro","medio")))</f>
        <v/>
      </c>
      <c r="AC132" s="3">
        <f>IF(OR(Y132="",ISTEXT(Y132)),"sin dato",IF(Y132&gt;='Léeme'!$B$19,"barato",IF(Y132&lt;=-'Léeme'!$B$19,"caro","medio")))</f>
        <v/>
      </c>
      <c r="AD132" s="7" t="n">
        <v>0.1696696696696697</v>
      </c>
      <c r="AE132" s="7" t="n">
        <v>0.3463949843260188</v>
      </c>
      <c r="AF132" s="7" t="n">
        <v>0.5219435736677116</v>
      </c>
      <c r="AG132" s="7" t="n">
        <v>0.33984375</v>
      </c>
    </row>
    <row r="133">
      <c r="A133" s="3" t="inlineStr">
        <is>
          <t>2024-T4</t>
        </is>
      </c>
      <c r="B133" s="13" t="n">
        <v>45657</v>
      </c>
      <c r="C133" s="14" t="n">
        <v>40.849998</v>
      </c>
      <c r="D133" s="14" t="n">
        <v>2.32</v>
      </c>
      <c r="E133" s="14" t="n">
        <v>3.24</v>
      </c>
      <c r="F133" s="5" t="n">
        <v>0.0458</v>
      </c>
      <c r="G133" s="5" t="n">
        <v>0.02405705268232294</v>
      </c>
      <c r="H133" s="5" t="n">
        <v>0.05071491657896088</v>
      </c>
      <c r="I133" s="17" t="n">
        <v>844492000</v>
      </c>
      <c r="J133" s="17" t="n">
        <v>4198767000</v>
      </c>
      <c r="K133" s="17" t="n">
        <v>0</v>
      </c>
      <c r="L133" s="17" t="n">
        <v>187525891</v>
      </c>
      <c r="M133" s="5" t="n">
        <v>0.073</v>
      </c>
      <c r="N133" s="9">
        <f>IF(F133="","",F133+'Léeme'!$B$10)</f>
        <v/>
      </c>
      <c r="O133" s="9">
        <f>IF(OR(G133="",N133=""),"",MIN(MAX(G133,'Léeme'!$B$11),'Léeme'!$B$12,N133-'Léeme'!$B$16))</f>
        <v/>
      </c>
      <c r="P133" s="16">
        <f>IF(OR(D133="",O133=""),"",IFERROR(IF(D133&lt;=0,"",D133*(1+O133)/(N133-O133)),""))</f>
        <v/>
      </c>
      <c r="Q133" s="9">
        <f>IF(H133="","",MIN(MAX(H133,'Léeme'!$B$13),'Léeme'!$B$14))</f>
        <v/>
      </c>
      <c r="R133" s="9">
        <f>IF(N133="","",MIN('Léeme'!$B$15,N133-'Léeme'!$B$16))</f>
        <v/>
      </c>
      <c r="S133" s="16">
        <f>IF(OR(E133="",Q133=""),"",IFERROR(IF(E133&lt;=0,"",E133*(((1+Q133)/(1+N133))+((1+Q133)/(1+N133))^2+((1+Q133)/(1+N133))^3+((1+Q133)/(1+N133))^4+((1+Q133)/(1+N133))^5)+E133*(1+Q133)^5*(1+R133)/((N133-R133)*(1+N133)^5)),""))</f>
        <v/>
      </c>
      <c r="T133" s="9">
        <f>IF(OR(E133="",N133=""),"",IFERROR((C133*N133-E133)/(C133+E133),""))</f>
        <v/>
      </c>
      <c r="U133" s="9">
        <f>IF(OR(H133="",T133=""),"",IFERROR(MIN(MAX(H133,'Léeme'!$B$17),'Léeme'!$B$18)-T133,""))</f>
        <v/>
      </c>
      <c r="V133" s="16">
        <f>IF(OR(I133="",M133="",L133=""),"",IFERROR((I133/M133-J133-K133)/L133,""))</f>
        <v/>
      </c>
      <c r="W133" s="11">
        <f>IFERROR(P133/C133-1,"")</f>
        <v/>
      </c>
      <c r="X133" s="11">
        <f>IFERROR(S133/C133-1,"")</f>
        <v/>
      </c>
      <c r="Y133" s="11">
        <f>IFERROR(V133/C133-1,"")</f>
        <v/>
      </c>
      <c r="Z133" s="3">
        <f>IF(OR(W133="",ISTEXT(W133)),"sin dato",IF(W133&gt;='Léeme'!$B$19,"barato",IF(W133&lt;=-'Léeme'!$B$19,"caro","medio")))</f>
        <v/>
      </c>
      <c r="AA133" s="3">
        <f>IF(OR(X133="",ISTEXT(X133)),"sin dato",IF(X133&gt;='Léeme'!$B$19,"barato",IF(X133&lt;=-'Léeme'!$B$19,"caro","medio")))</f>
        <v/>
      </c>
      <c r="AB133" s="3">
        <f>IF(OR(U133="",ISTEXT(U133)),"sin dato",IF(U133&gt;='Léeme'!$B$20,"barato",IF(U133&lt;=-'Léeme'!$B$20,"caro","medio")))</f>
        <v/>
      </c>
      <c r="AC133" s="3">
        <f>IF(OR(Y133="",ISTEXT(Y133)),"sin dato",IF(Y133&gt;='Léeme'!$B$19,"barato",IF(Y133&lt;=-'Léeme'!$B$19,"caro","medio")))</f>
        <v/>
      </c>
      <c r="AD133" s="7" t="n">
        <v>0.1949404761904762</v>
      </c>
      <c r="AE133" s="7" t="n">
        <v>0.3866459627329192</v>
      </c>
      <c r="AF133" s="7" t="n">
        <v>0.5885093167701864</v>
      </c>
      <c r="AG133" s="7" t="n">
        <v>0.7900763358778626</v>
      </c>
    </row>
    <row r="134">
      <c r="A134" s="3" t="inlineStr">
        <is>
          <t>2025-T1</t>
        </is>
      </c>
      <c r="B134" s="13" t="n">
        <v>45747</v>
      </c>
      <c r="C134" s="14" t="n">
        <v>42.650002</v>
      </c>
      <c r="D134" s="14" t="n">
        <v>2.32</v>
      </c>
      <c r="E134" s="14" t="n">
        <v>3.32</v>
      </c>
      <c r="F134" s="5" t="n">
        <v>0.0423</v>
      </c>
      <c r="G134" s="5" t="n">
        <v>0.02405705268232294</v>
      </c>
      <c r="H134" s="5" t="n">
        <v>0.04143881147333439</v>
      </c>
      <c r="I134" s="17" t="n">
        <v>829096000</v>
      </c>
      <c r="J134" s="17" t="n">
        <v>4365072000</v>
      </c>
      <c r="K134" s="17" t="n">
        <v>0</v>
      </c>
      <c r="L134" s="17" t="n">
        <v>187540929</v>
      </c>
      <c r="M134" s="5" t="n">
        <v>0.077</v>
      </c>
      <c r="N134" s="9">
        <f>IF(F134="","",F134+'Léeme'!$B$10)</f>
        <v/>
      </c>
      <c r="O134" s="9">
        <f>IF(OR(G134="",N134=""),"",MIN(MAX(G134,'Léeme'!$B$11),'Léeme'!$B$12,N134-'Léeme'!$B$16))</f>
        <v/>
      </c>
      <c r="P134" s="16">
        <f>IF(OR(D134="",O134=""),"",IFERROR(IF(D134&lt;=0,"",D134*(1+O134)/(N134-O134)),""))</f>
        <v/>
      </c>
      <c r="Q134" s="9">
        <f>IF(H134="","",MIN(MAX(H134,'Léeme'!$B$13),'Léeme'!$B$14))</f>
        <v/>
      </c>
      <c r="R134" s="9">
        <f>IF(N134="","",MIN('Léeme'!$B$15,N134-'Léeme'!$B$16))</f>
        <v/>
      </c>
      <c r="S134" s="16">
        <f>IF(OR(E134="",Q134=""),"",IFERROR(IF(E134&lt;=0,"",E134*(((1+Q134)/(1+N134))+((1+Q134)/(1+N134))^2+((1+Q134)/(1+N134))^3+((1+Q134)/(1+N134))^4+((1+Q134)/(1+N134))^5)+E134*(1+Q134)^5*(1+R134)/((N134-R134)*(1+N134)^5)),""))</f>
        <v/>
      </c>
      <c r="T134" s="9">
        <f>IF(OR(E134="",N134=""),"",IFERROR((C134*N134-E134)/(C134+E134),""))</f>
        <v/>
      </c>
      <c r="U134" s="9">
        <f>IF(OR(H134="",T134=""),"",IFERROR(MIN(MAX(H134,'Léeme'!$B$17),'Léeme'!$B$18)-T134,""))</f>
        <v/>
      </c>
      <c r="V134" s="16">
        <f>IF(OR(I134="",M134="",L134=""),"",IFERROR((I134/M134-J134-K134)/L134,""))</f>
        <v/>
      </c>
      <c r="W134" s="11">
        <f>IFERROR(P134/C134-1,"")</f>
        <v/>
      </c>
      <c r="X134" s="11">
        <f>IFERROR(S134/C134-1,"")</f>
        <v/>
      </c>
      <c r="Y134" s="11">
        <f>IFERROR(V134/C134-1,"")</f>
        <v/>
      </c>
      <c r="Z134" s="3">
        <f>IF(OR(W134="",ISTEXT(W134)),"sin dato",IF(W134&gt;='Léeme'!$B$19,"barato",IF(W134&lt;=-'Léeme'!$B$19,"caro","medio")))</f>
        <v/>
      </c>
      <c r="AA134" s="3">
        <f>IF(OR(X134="",ISTEXT(X134)),"sin dato",IF(X134&gt;='Léeme'!$B$19,"barato",IF(X134&lt;=-'Léeme'!$B$19,"caro","medio")))</f>
        <v/>
      </c>
      <c r="AB134" s="3">
        <f>IF(OR(U134="",ISTEXT(U134)),"sin dato",IF(U134&gt;='Léeme'!$B$20,"barato",IF(U134&lt;=-'Léeme'!$B$20,"caro","medio")))</f>
        <v/>
      </c>
      <c r="AC134" s="3">
        <f>IF(OR(Y134="",ISTEXT(Y134)),"sin dato",IF(Y134&gt;='Léeme'!$B$19,"barato",IF(Y134&lt;=-'Léeme'!$B$19,"caro","medio")))</f>
        <v/>
      </c>
      <c r="AD134" s="7" t="n">
        <v>0.2227138643067847</v>
      </c>
      <c r="AE134" s="7" t="n">
        <v>0.3984615384615385</v>
      </c>
      <c r="AF134" s="7" t="n">
        <v>0.4907692307692308</v>
      </c>
      <c r="AG134" s="7" t="n">
        <v>0.332089552238806</v>
      </c>
    </row>
    <row r="135">
      <c r="A135" s="3" t="inlineStr">
        <is>
          <t>2025-T2</t>
        </is>
      </c>
      <c r="B135" s="13" t="n">
        <v>45838</v>
      </c>
      <c r="C135" s="14" t="n">
        <v>43.18</v>
      </c>
      <c r="D135" s="14" t="n">
        <v>2.32</v>
      </c>
      <c r="E135" s="14" t="n">
        <v>3.32</v>
      </c>
      <c r="F135" s="5" t="n">
        <v>0.0424</v>
      </c>
      <c r="G135" s="5" t="n">
        <v>0.02405705268232294</v>
      </c>
      <c r="H135" s="5" t="n">
        <v>0.04143881147333439</v>
      </c>
      <c r="I135" s="17" t="n">
        <v>876704000</v>
      </c>
      <c r="J135" s="17" t="n">
        <v>4486540000</v>
      </c>
      <c r="K135" s="17" t="n">
        <v>0</v>
      </c>
      <c r="L135" s="17" t="n">
        <v>187950480</v>
      </c>
      <c r="M135" s="5" t="n">
        <v>0.077</v>
      </c>
      <c r="N135" s="9">
        <f>IF(F135="","",F135+'Léeme'!$B$10)</f>
        <v/>
      </c>
      <c r="O135" s="9">
        <f>IF(OR(G135="",N135=""),"",MIN(MAX(G135,'Léeme'!$B$11),'Léeme'!$B$12,N135-'Léeme'!$B$16))</f>
        <v/>
      </c>
      <c r="P135" s="16">
        <f>IF(OR(D135="",O135=""),"",IFERROR(IF(D135&lt;=0,"",D135*(1+O135)/(N135-O135)),""))</f>
        <v/>
      </c>
      <c r="Q135" s="9">
        <f>IF(H135="","",MIN(MAX(H135,'Léeme'!$B$13),'Léeme'!$B$14))</f>
        <v/>
      </c>
      <c r="R135" s="9">
        <f>IF(N135="","",MIN('Léeme'!$B$15,N135-'Léeme'!$B$16))</f>
        <v/>
      </c>
      <c r="S135" s="16">
        <f>IF(OR(E135="",Q135=""),"",IFERROR(IF(E135&lt;=0,"",E135*(((1+Q135)/(1+N135))+((1+Q135)/(1+N135))^2+((1+Q135)/(1+N135))^3+((1+Q135)/(1+N135))^4+((1+Q135)/(1+N135))^5)+E135*(1+Q135)^5*(1+R135)/((N135-R135)*(1+N135)^5)),""))</f>
        <v/>
      </c>
      <c r="T135" s="9">
        <f>IF(OR(E135="",N135=""),"",IFERROR((C135*N135-E135)/(C135+E135),""))</f>
        <v/>
      </c>
      <c r="U135" s="9">
        <f>IF(OR(H135="",T135=""),"",IFERROR(MIN(MAX(H135,'Léeme'!$B$17),'Léeme'!$B$18)-T135,""))</f>
        <v/>
      </c>
      <c r="V135" s="16">
        <f>IF(OR(I135="",M135="",L135=""),"",IFERROR((I135/M135-J135-K135)/L135,""))</f>
        <v/>
      </c>
      <c r="W135" s="11">
        <f>IFERROR(P135/C135-1,"")</f>
        <v/>
      </c>
      <c r="X135" s="11">
        <f>IFERROR(S135/C135-1,"")</f>
        <v/>
      </c>
      <c r="Y135" s="11">
        <f>IFERROR(V135/C135-1,"")</f>
        <v/>
      </c>
      <c r="Z135" s="3">
        <f>IF(OR(W135="",ISTEXT(W135)),"sin dato",IF(W135&gt;='Léeme'!$B$19,"barato",IF(W135&lt;=-'Léeme'!$B$19,"caro","medio")))</f>
        <v/>
      </c>
      <c r="AA135" s="3">
        <f>IF(OR(X135="",ISTEXT(X135)),"sin dato",IF(X135&gt;='Léeme'!$B$19,"barato",IF(X135&lt;=-'Léeme'!$B$19,"caro","medio")))</f>
        <v/>
      </c>
      <c r="AB135" s="3">
        <f>IF(OR(U135="",ISTEXT(U135)),"sin dato",IF(U135&gt;='Léeme'!$B$20,"barato",IF(U135&lt;=-'Léeme'!$B$20,"caro","medio")))</f>
        <v/>
      </c>
      <c r="AC135" s="3">
        <f>IF(OR(Y135="",ISTEXT(Y135)),"sin dato",IF(Y135&gt;='Léeme'!$B$19,"barato",IF(Y135&lt;=-'Léeme'!$B$19,"caro","medio")))</f>
        <v/>
      </c>
      <c r="AD135" s="7" t="n">
        <v>0.2149122807017544</v>
      </c>
      <c r="AE135" s="7" t="n">
        <v>0.3582317073170732</v>
      </c>
      <c r="AF135" s="7" t="n">
        <v>0.4832317073170732</v>
      </c>
      <c r="AG135" s="7" t="n">
        <v>0.4854014598540146</v>
      </c>
    </row>
    <row r="136">
      <c r="A136" s="3" t="inlineStr">
        <is>
          <t>2025-T3</t>
        </is>
      </c>
      <c r="B136" s="13" t="n">
        <v>45930</v>
      </c>
      <c r="C136" s="14" t="n">
        <v>42.57</v>
      </c>
      <c r="D136" s="14" t="n">
        <v>2.4</v>
      </c>
      <c r="E136" s="14" t="n">
        <v>3.32</v>
      </c>
      <c r="F136" s="5" t="n">
        <v>0.0416</v>
      </c>
      <c r="G136" s="5" t="n">
        <v>0.02903366107118788</v>
      </c>
      <c r="H136" s="5" t="n">
        <v>0.04143881147333439</v>
      </c>
      <c r="I136" s="17" t="n">
        <v>870796000</v>
      </c>
      <c r="J136" s="17" t="n">
        <v>4638620000</v>
      </c>
      <c r="K136" s="17" t="n">
        <v>0</v>
      </c>
      <c r="L136" s="17" t="n">
        <v>188206484</v>
      </c>
      <c r="M136" s="5" t="n">
        <v>0.077</v>
      </c>
      <c r="N136" s="9">
        <f>IF(F136="","",F136+'Léeme'!$B$10)</f>
        <v/>
      </c>
      <c r="O136" s="9">
        <f>IF(OR(G136="",N136=""),"",MIN(MAX(G136,'Léeme'!$B$11),'Léeme'!$B$12,N136-'Léeme'!$B$16))</f>
        <v/>
      </c>
      <c r="P136" s="16">
        <f>IF(OR(D136="",O136=""),"",IFERROR(IF(D136&lt;=0,"",D136*(1+O136)/(N136-O136)),""))</f>
        <v/>
      </c>
      <c r="Q136" s="9">
        <f>IF(H136="","",MIN(MAX(H136,'Léeme'!$B$13),'Léeme'!$B$14))</f>
        <v/>
      </c>
      <c r="R136" s="9">
        <f>IF(N136="","",MIN('Léeme'!$B$15,N136-'Léeme'!$B$16))</f>
        <v/>
      </c>
      <c r="S136" s="16">
        <f>IF(OR(E136="",Q136=""),"",IFERROR(IF(E136&lt;=0,"",E136*(((1+Q136)/(1+N136))+((1+Q136)/(1+N136))^2+((1+Q136)/(1+N136))^3+((1+Q136)/(1+N136))^4+((1+Q136)/(1+N136))^5)+E136*(1+Q136)^5*(1+R136)/((N136-R136)*(1+N136)^5)),""))</f>
        <v/>
      </c>
      <c r="T136" s="9">
        <f>IF(OR(E136="",N136=""),"",IFERROR((C136*N136-E136)/(C136+E136),""))</f>
        <v/>
      </c>
      <c r="U136" s="9">
        <f>IF(OR(H136="",T136=""),"",IFERROR(MIN(MAX(H136,'Léeme'!$B$17),'Léeme'!$B$18)-T136,""))</f>
        <v/>
      </c>
      <c r="V136" s="16">
        <f>IF(OR(I136="",M136="",L136=""),"",IFERROR((I136/M136-J136-K136)/L136,""))</f>
        <v/>
      </c>
      <c r="W136" s="11">
        <f>IFERROR(P136/C136-1,"")</f>
        <v/>
      </c>
      <c r="X136" s="11">
        <f>IFERROR(S136/C136-1,"")</f>
        <v/>
      </c>
      <c r="Y136" s="11">
        <f>IFERROR(V136/C136-1,"")</f>
        <v/>
      </c>
      <c r="Z136" s="3">
        <f>IF(OR(W136="",ISTEXT(W136)),"sin dato",IF(W136&gt;='Léeme'!$B$19,"barato",IF(W136&lt;=-'Léeme'!$B$19,"caro","medio")))</f>
        <v/>
      </c>
      <c r="AA136" s="3">
        <f>IF(OR(X136="",ISTEXT(X136)),"sin dato",IF(X136&gt;='Léeme'!$B$19,"barato",IF(X136&lt;=-'Léeme'!$B$19,"caro","medio")))</f>
        <v/>
      </c>
      <c r="AB136" s="3">
        <f>IF(OR(U136="",ISTEXT(U136)),"sin dato",IF(U136&gt;='Léeme'!$B$20,"barato",IF(U136&lt;=-'Léeme'!$B$20,"caro","medio")))</f>
        <v/>
      </c>
      <c r="AC136" s="3">
        <f>IF(OR(Y136="",ISTEXT(Y136)),"sin dato",IF(Y136&gt;='Léeme'!$B$19,"barato",IF(Y136&lt;=-'Léeme'!$B$19,"caro","medio")))</f>
        <v/>
      </c>
      <c r="AD136" s="7" t="n">
        <v>0.372463768115942</v>
      </c>
      <c r="AE136" s="7" t="n">
        <v>0.4274924471299094</v>
      </c>
      <c r="AF136" s="7" t="n">
        <v>0.5090634441087614</v>
      </c>
      <c r="AG136" s="7" t="n">
        <v>0.4321428571428572</v>
      </c>
    </row>
    <row r="137">
      <c r="A137" s="3" t="inlineStr">
        <is>
          <t>2025-T4</t>
        </is>
      </c>
      <c r="B137" s="13" t="n">
        <v>46022</v>
      </c>
      <c r="C137" s="14" t="n">
        <v>39.630001</v>
      </c>
      <c r="D137" s="14" t="n">
        <v>2.4</v>
      </c>
      <c r="E137" s="14" t="n">
        <v>3.32</v>
      </c>
      <c r="F137" s="5" t="n">
        <v>0.0418</v>
      </c>
      <c r="G137" s="5" t="n">
        <v>0.02903366107118788</v>
      </c>
      <c r="H137" s="5" t="n">
        <v>0.04143881147333439</v>
      </c>
      <c r="I137" s="17" t="n">
        <v>880840000</v>
      </c>
      <c r="J137" s="17" t="n">
        <v>4712543000</v>
      </c>
      <c r="K137" s="17" t="n">
        <v>0</v>
      </c>
      <c r="L137" s="17" t="n">
        <v>189884648</v>
      </c>
      <c r="M137" s="5" t="n">
        <v>0.077</v>
      </c>
      <c r="N137" s="9">
        <f>IF(F137="","",F137+'Léeme'!$B$10)</f>
        <v/>
      </c>
      <c r="O137" s="9">
        <f>IF(OR(G137="",N137=""),"",MIN(MAX(G137,'Léeme'!$B$11),'Léeme'!$B$12,N137-'Léeme'!$B$16))</f>
        <v/>
      </c>
      <c r="P137" s="16">
        <f>IF(OR(D137="",O137=""),"",IFERROR(IF(D137&lt;=0,"",D137*(1+O137)/(N137-O137)),""))</f>
        <v/>
      </c>
      <c r="Q137" s="9">
        <f>IF(H137="","",MIN(MAX(H137,'Léeme'!$B$13),'Léeme'!$B$14))</f>
        <v/>
      </c>
      <c r="R137" s="9">
        <f>IF(N137="","",MIN('Léeme'!$B$15,N137-'Léeme'!$B$16))</f>
        <v/>
      </c>
      <c r="S137" s="16">
        <f>IF(OR(E137="",Q137=""),"",IFERROR(IF(E137&lt;=0,"",E137*(((1+Q137)/(1+N137))+((1+Q137)/(1+N137))^2+((1+Q137)/(1+N137))^3+((1+Q137)/(1+N137))^4+((1+Q137)/(1+N137))^5)+E137*(1+Q137)^5*(1+R137)/((N137-R137)*(1+N137)^5)),""))</f>
        <v/>
      </c>
      <c r="T137" s="9">
        <f>IF(OR(E137="",N137=""),"",IFERROR((C137*N137-E137)/(C137+E137),""))</f>
        <v/>
      </c>
      <c r="U137" s="9">
        <f>IF(OR(H137="",T137=""),"",IFERROR(MIN(MAX(H137,'Léeme'!$B$17),'Léeme'!$B$18)-T137,""))</f>
        <v/>
      </c>
      <c r="V137" s="16">
        <f>IF(OR(I137="",M137="",L137=""),"",IFERROR((I137/M137-J137-K137)/L137,""))</f>
        <v/>
      </c>
      <c r="W137" s="11">
        <f>IFERROR(P137/C137-1,"")</f>
        <v/>
      </c>
      <c r="X137" s="11">
        <f>IFERROR(S137/C137-1,"")</f>
        <v/>
      </c>
      <c r="Y137" s="11">
        <f>IFERROR(V137/C137-1,"")</f>
        <v/>
      </c>
      <c r="Z137" s="3">
        <f>IF(OR(W137="",ISTEXT(W137)),"sin dato",IF(W137&gt;='Léeme'!$B$19,"barato",IF(W137&lt;=-'Léeme'!$B$19,"caro","medio")))</f>
        <v/>
      </c>
      <c r="AA137" s="3">
        <f>IF(OR(X137="",ISTEXT(X137)),"sin dato",IF(X137&gt;='Léeme'!$B$19,"barato",IF(X137&lt;=-'Léeme'!$B$19,"caro","medio")))</f>
        <v/>
      </c>
      <c r="AB137" s="3">
        <f>IF(OR(U137="",ISTEXT(U137)),"sin dato",IF(U137&gt;='Léeme'!$B$20,"barato",IF(U137&lt;=-'Léeme'!$B$20,"caro","medio")))</f>
        <v/>
      </c>
      <c r="AC137" s="3">
        <f>IF(OR(Y137="",ISTEXT(Y137)),"sin dato",IF(Y137&gt;='Léeme'!$B$19,"barato",IF(Y137&lt;=-'Léeme'!$B$19,"caro","medio")))</f>
        <v/>
      </c>
      <c r="AD137" s="7" t="n">
        <v>0.4267241379310345</v>
      </c>
      <c r="AE137" s="7" t="n">
        <v>0.5074850299401198</v>
      </c>
      <c r="AF137" s="7" t="n">
        <v>0.5733532934131736</v>
      </c>
      <c r="AG137" s="7" t="n">
        <v>0.6118881118881119</v>
      </c>
    </row>
    <row r="138">
      <c r="A138" s="3" t="inlineStr">
        <is>
          <t>2026-T1</t>
        </is>
      </c>
      <c r="B138" s="13" t="n">
        <v>46112</v>
      </c>
      <c r="C138" s="14" t="n">
        <v>42.029999</v>
      </c>
      <c r="D138" s="14" t="n">
        <v>2.4</v>
      </c>
      <c r="E138" s="14" t="n">
        <v>3.4</v>
      </c>
      <c r="F138" s="5" t="n">
        <v>0.043</v>
      </c>
      <c r="G138" s="5" t="n">
        <v>0.02903366107118788</v>
      </c>
      <c r="H138" s="5" t="n">
        <v>0.0642800319655179</v>
      </c>
      <c r="I138" s="17" t="n">
        <v>912580000</v>
      </c>
      <c r="J138" s="17" t="n">
        <v>4815378000</v>
      </c>
      <c r="K138" s="17" t="n">
        <v>0</v>
      </c>
      <c r="L138" s="17" t="n">
        <v>189937404</v>
      </c>
      <c r="M138" s="5" t="n">
        <v>0.074</v>
      </c>
      <c r="N138" s="9">
        <f>IF(F138="","",F138+'Léeme'!$B$10)</f>
        <v/>
      </c>
      <c r="O138" s="9">
        <f>IF(OR(G138="",N138=""),"",MIN(MAX(G138,'Léeme'!$B$11),'Léeme'!$B$12,N138-'Léeme'!$B$16))</f>
        <v/>
      </c>
      <c r="P138" s="16">
        <f>IF(OR(D138="",O138=""),"",IFERROR(IF(D138&lt;=0,"",D138*(1+O138)/(N138-O138)),""))</f>
        <v/>
      </c>
      <c r="Q138" s="9">
        <f>IF(H138="","",MIN(MAX(H138,'Léeme'!$B$13),'Léeme'!$B$14))</f>
        <v/>
      </c>
      <c r="R138" s="9">
        <f>IF(N138="","",MIN('Léeme'!$B$15,N138-'Léeme'!$B$16))</f>
        <v/>
      </c>
      <c r="S138" s="16">
        <f>IF(OR(E138="",Q138=""),"",IFERROR(IF(E138&lt;=0,"",E138*(((1+Q138)/(1+N138))+((1+Q138)/(1+N138))^2+((1+Q138)/(1+N138))^3+((1+Q138)/(1+N138))^4+((1+Q138)/(1+N138))^5)+E138*(1+Q138)^5*(1+R138)/((N138-R138)*(1+N138)^5)),""))</f>
        <v/>
      </c>
      <c r="T138" s="9">
        <f>IF(OR(E138="",N138=""),"",IFERROR((C138*N138-E138)/(C138+E138),""))</f>
        <v/>
      </c>
      <c r="U138" s="9">
        <f>IF(OR(H138="",T138=""),"",IFERROR(MIN(MAX(H138,'Léeme'!$B$17),'Léeme'!$B$18)-T138,""))</f>
        <v/>
      </c>
      <c r="V138" s="16">
        <f>IF(OR(I138="",M138="",L138=""),"",IFERROR((I138/M138-J138-K138)/L138,""))</f>
        <v/>
      </c>
      <c r="W138" s="11">
        <f>IFERROR(P138/C138-1,"")</f>
        <v/>
      </c>
      <c r="X138" s="11">
        <f>IFERROR(S138/C138-1,"")</f>
        <v/>
      </c>
      <c r="Y138" s="11">
        <f>IFERROR(V138/C138-1,"")</f>
        <v/>
      </c>
      <c r="Z138" s="3">
        <f>IF(OR(W138="",ISTEXT(W138)),"sin dato",IF(W138&gt;='Léeme'!$B$19,"barato",IF(W138&lt;=-'Léeme'!$B$19,"caro","medio")))</f>
        <v/>
      </c>
      <c r="AA138" s="3">
        <f>IF(OR(X138="",ISTEXT(X138)),"sin dato",IF(X138&gt;='Léeme'!$B$19,"barato",IF(X138&lt;=-'Léeme'!$B$19,"caro","medio")))</f>
        <v/>
      </c>
      <c r="AB138" s="3">
        <f>IF(OR(U138="",ISTEXT(U138)),"sin dato",IF(U138&gt;='Léeme'!$B$20,"barato",IF(U138&lt;=-'Léeme'!$B$20,"caro","medio")))</f>
        <v/>
      </c>
      <c r="AC138" s="3">
        <f>IF(OR(Y138="",ISTEXT(Y138)),"sin dato",IF(Y138&gt;='Léeme'!$B$19,"barato",IF(Y138&lt;=-'Léeme'!$B$19,"caro","medio")))</f>
        <v/>
      </c>
      <c r="AD138" s="7" t="n">
        <v>0.3547008547008547</v>
      </c>
      <c r="AE138" s="7" t="n">
        <v>0.5741839762611276</v>
      </c>
      <c r="AF138" s="7" t="n">
        <v>0.7640949554896143</v>
      </c>
      <c r="AG138" s="7" t="n">
        <v>0.7568493150684932</v>
      </c>
    </row>
    <row r="139">
      <c r="A139" s="3" t="inlineStr">
        <is>
          <t>2026-T2</t>
        </is>
      </c>
      <c r="B139" s="13" t="n">
        <v>46203</v>
      </c>
      <c r="C139" s="14" t="n">
        <v>46.529999</v>
      </c>
      <c r="D139" s="14" t="n">
        <v>2.4</v>
      </c>
      <c r="E139" s="14" t="n">
        <v>3.4</v>
      </c>
      <c r="F139" s="5" t="n">
        <v>0.0444</v>
      </c>
      <c r="G139" s="5" t="n">
        <v>0.02903366107118788</v>
      </c>
      <c r="H139" s="5" t="n">
        <v>0.0642800319655179</v>
      </c>
      <c r="I139" s="17" t="n">
        <v>920188000</v>
      </c>
      <c r="J139" s="17" t="n">
        <v>4849553000</v>
      </c>
      <c r="K139" s="17" t="n">
        <v>0</v>
      </c>
      <c r="L139" s="17" t="n">
        <v>190249614</v>
      </c>
      <c r="M139" s="5" t="n">
        <v>0.074</v>
      </c>
      <c r="N139" s="9">
        <f>IF(F139="","",F139+'Léeme'!$B$10)</f>
        <v/>
      </c>
      <c r="O139" s="9">
        <f>IF(OR(G139="",N139=""),"",MIN(MAX(G139,'Léeme'!$B$11),'Léeme'!$B$12,N139-'Léeme'!$B$16))</f>
        <v/>
      </c>
      <c r="P139" s="16">
        <f>IF(OR(D139="",O139=""),"",IFERROR(IF(D139&lt;=0,"",D139*(1+O139)/(N139-O139)),""))</f>
        <v/>
      </c>
      <c r="Q139" s="9">
        <f>IF(H139="","",MIN(MAX(H139,'Léeme'!$B$13),'Léeme'!$B$14))</f>
        <v/>
      </c>
      <c r="R139" s="9">
        <f>IF(N139="","",MIN('Léeme'!$B$15,N139-'Léeme'!$B$16))</f>
        <v/>
      </c>
      <c r="S139" s="16">
        <f>IF(OR(E139="",Q139=""),"",IFERROR(IF(E139&lt;=0,"",E139*(((1+Q139)/(1+N139))+((1+Q139)/(1+N139))^2+((1+Q139)/(1+N139))^3+((1+Q139)/(1+N139))^4+((1+Q139)/(1+N139))^5)+E139*(1+Q139)^5*(1+R139)/((N139-R139)*(1+N139)^5)),""))</f>
        <v/>
      </c>
      <c r="T139" s="9">
        <f>IF(OR(E139="",N139=""),"",IFERROR((C139*N139-E139)/(C139+E139),""))</f>
        <v/>
      </c>
      <c r="U139" s="9">
        <f>IF(OR(H139="",T139=""),"",IFERROR(MIN(MAX(H139,'Léeme'!$B$17),'Léeme'!$B$18)-T139,""))</f>
        <v/>
      </c>
      <c r="V139" s="16">
        <f>IF(OR(I139="",M139="",L139=""),"",IFERROR((I139/M139-J139-K139)/L139,""))</f>
        <v/>
      </c>
      <c r="W139" s="11">
        <f>IFERROR(P139/C139-1,"")</f>
        <v/>
      </c>
      <c r="X139" s="11">
        <f>IFERROR(S139/C139-1,"")</f>
        <v/>
      </c>
      <c r="Y139" s="11">
        <f>IFERROR(V139/C139-1,"")</f>
        <v/>
      </c>
      <c r="Z139" s="3">
        <f>IF(OR(W139="",ISTEXT(W139)),"sin dato",IF(W139&gt;='Léeme'!$B$19,"barato",IF(W139&lt;=-'Léeme'!$B$19,"caro","medio")))</f>
        <v/>
      </c>
      <c r="AA139" s="3">
        <f>IF(OR(X139="",ISTEXT(X139)),"sin dato",IF(X139&gt;='Léeme'!$B$19,"barato",IF(X139&lt;=-'Léeme'!$B$19,"caro","medio")))</f>
        <v/>
      </c>
      <c r="AB139" s="3">
        <f>IF(OR(U139="",ISTEXT(U139)),"sin dato",IF(U139&gt;='Léeme'!$B$20,"barato",IF(U139&lt;=-'Léeme'!$B$20,"caro","medio")))</f>
        <v/>
      </c>
      <c r="AC139" s="3">
        <f>IF(OR(Y139="",ISTEXT(Y139)),"sin dato",IF(Y139&gt;='Léeme'!$B$19,"barato",IF(Y139&lt;=-'Léeme'!$B$19,"caro","medio")))</f>
        <v/>
      </c>
      <c r="AD139" s="7" t="n">
        <v>0.2443502824858757</v>
      </c>
      <c r="AE139" s="7" t="n">
        <v>0.386764705882353</v>
      </c>
      <c r="AF139" s="7" t="n">
        <v>0.7102941176470589</v>
      </c>
      <c r="AG139" s="7" t="n">
        <v>0.4932885906040269</v>
      </c>
    </row>
    <row r="140">
      <c r="A140" s="3" t="inlineStr">
        <is>
          <t>2026-T3</t>
        </is>
      </c>
      <c r="B140" s="13" t="n">
        <v>46293</v>
      </c>
      <c r="C140" s="14" t="n">
        <v>41.41</v>
      </c>
      <c r="D140" s="14" t="n">
        <v>2.48</v>
      </c>
      <c r="E140" s="14" t="n">
        <v>3.4</v>
      </c>
      <c r="F140" s="5" t="n">
        <v>0.0524</v>
      </c>
      <c r="G140" s="5" t="n">
        <v>0.03186567045409161</v>
      </c>
      <c r="H140" s="5" t="n">
        <v>0.0642800319655179</v>
      </c>
      <c r="I140" s="17" t="n">
        <v>941680000</v>
      </c>
      <c r="J140" s="17" t="n">
        <v>4997050000</v>
      </c>
      <c r="K140" s="17" t="n">
        <v>0</v>
      </c>
      <c r="L140" s="17" t="n">
        <v>191931110</v>
      </c>
      <c r="M140" s="5" t="n">
        <v>0.074</v>
      </c>
      <c r="N140" s="9">
        <f>IF(F140="","",F140+'Léeme'!$B$10)</f>
        <v/>
      </c>
      <c r="O140" s="9">
        <f>IF(OR(G140="",N140=""),"",MIN(MAX(G140,'Léeme'!$B$11),'Léeme'!$B$12,N140-'Léeme'!$B$16))</f>
        <v/>
      </c>
      <c r="P140" s="16">
        <f>IF(OR(D140="",O140=""),"",IFERROR(IF(D140&lt;=0,"",D140*(1+O140)/(N140-O140)),""))</f>
        <v/>
      </c>
      <c r="Q140" s="9">
        <f>IF(H140="","",MIN(MAX(H140,'Léeme'!$B$13),'Léeme'!$B$14))</f>
        <v/>
      </c>
      <c r="R140" s="9">
        <f>IF(N140="","",MIN('Léeme'!$B$15,N140-'Léeme'!$B$16))</f>
        <v/>
      </c>
      <c r="S140" s="16">
        <f>IF(OR(E140="",Q140=""),"",IFERROR(IF(E140&lt;=0,"",E140*(((1+Q140)/(1+N140))+((1+Q140)/(1+N140))^2+((1+Q140)/(1+N140))^3+((1+Q140)/(1+N140))^4+((1+Q140)/(1+N140))^5)+E140*(1+Q140)^5*(1+R140)/((N140-R140)*(1+N140)^5)),""))</f>
        <v/>
      </c>
      <c r="T140" s="9">
        <f>IF(OR(E140="",N140=""),"",IFERROR((C140*N140-E140)/(C140+E140),""))</f>
        <v/>
      </c>
      <c r="U140" s="9">
        <f>IF(OR(H140="",T140=""),"",IFERROR(MIN(MAX(H140,'Léeme'!$B$17),'Léeme'!$B$18)-T140,""))</f>
        <v/>
      </c>
      <c r="V140" s="16">
        <f>IF(OR(I140="",M140="",L140=""),"",IFERROR((I140/M140-J140-K140)/L140,""))</f>
        <v/>
      </c>
      <c r="W140" s="11">
        <f>IFERROR(P140/C140-1,"")</f>
        <v/>
      </c>
      <c r="X140" s="11">
        <f>IFERROR(S140/C140-1,"")</f>
        <v/>
      </c>
      <c r="Y140" s="11">
        <f>IFERROR(V140/C140-1,"")</f>
        <v/>
      </c>
      <c r="Z140" s="3">
        <f>IF(OR(W140="",ISTEXT(W140)),"sin dato",IF(W140&gt;='Léeme'!$B$19,"barato",IF(W140&lt;=-'Léeme'!$B$19,"caro","medio")))</f>
        <v/>
      </c>
      <c r="AA140" s="3">
        <f>IF(OR(X140="",ISTEXT(X140)),"sin dato",IF(X140&gt;='Léeme'!$B$19,"barato",IF(X140&lt;=-'Léeme'!$B$19,"caro","medio")))</f>
        <v/>
      </c>
      <c r="AB140" s="3">
        <f>IF(OR(U140="",ISTEXT(U140)),"sin dato",IF(U140&gt;='Léeme'!$B$20,"barato",IF(U140&lt;=-'Léeme'!$B$20,"caro","medio")))</f>
        <v/>
      </c>
      <c r="AC140" s="3">
        <f>IF(OR(Y140="",ISTEXT(Y140)),"sin dato",IF(Y140&gt;='Léeme'!$B$19,"barato",IF(Y140&lt;=-'Léeme'!$B$19,"caro","medio")))</f>
        <v/>
      </c>
      <c r="AD140" s="7" t="n">
        <v>0.3011204481792717</v>
      </c>
      <c r="AE140" s="7" t="n">
        <v>0.3309037900874636</v>
      </c>
      <c r="AF140" s="7" t="n">
        <v>0.7186588921282799</v>
      </c>
      <c r="AG140" s="7" t="n">
        <v>0.8322368421052632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2" t="inlineStr">
        <is>
          <t>Trimestre</t>
        </is>
      </c>
      <c r="B1" s="2" t="inlineStr">
        <is>
          <t>Fecha</t>
        </is>
      </c>
      <c r="C1" s="2" t="inlineStr">
        <is>
          <t>Precio</t>
        </is>
      </c>
      <c r="D1" s="2" t="inlineStr">
        <is>
          <t>Dividendo anualizado</t>
        </is>
      </c>
      <c r="E1" s="2" t="inlineStr">
        <is>
          <t>Flujo por acción, 12 meses</t>
        </is>
      </c>
      <c r="F1" s="2" t="inlineStr">
        <is>
          <t>Treasury 10 años</t>
        </is>
      </c>
      <c r="G1" s="2" t="inlineStr">
        <is>
          <t>Crecimiento del dividendo, 5 años</t>
        </is>
      </c>
      <c r="H1" s="2" t="inlineStr">
        <is>
          <t>Crecimiento del flujo, 5 años (sin acotar)</t>
        </is>
      </c>
      <c r="I1" s="2" t="inlineStr">
        <is>
          <t>NOI anualizado (USD)</t>
        </is>
      </c>
      <c r="J1" s="2" t="inlineStr">
        <is>
          <t>Deuda neta (USD)</t>
        </is>
      </c>
      <c r="K1" s="2" t="inlineStr">
        <is>
          <t>Preferentes (USD)</t>
        </is>
      </c>
      <c r="L1" s="2" t="inlineStr">
        <is>
          <t>Acciones</t>
        </is>
      </c>
      <c r="M1" s="2" t="inlineStr">
        <is>
          <t>Cap rate de compras</t>
        </is>
      </c>
      <c r="N1" s="2" t="inlineStr">
        <is>
          <t>Tasa de descuento r</t>
        </is>
      </c>
      <c r="O1" s="2" t="inlineStr">
        <is>
          <t>g del DDM</t>
        </is>
      </c>
      <c r="P1" s="2" t="inlineStr">
        <is>
          <t>Valor DDM</t>
        </is>
      </c>
      <c r="Q1" s="2" t="inlineStr">
        <is>
          <t>g de los 5 años del DCF</t>
        </is>
      </c>
      <c r="R1" s="2" t="inlineStr">
        <is>
          <t>g perpetuo del DCF</t>
        </is>
      </c>
      <c r="S1" s="2" t="inlineStr">
        <is>
          <t>Valor DCF</t>
        </is>
      </c>
      <c r="T1" s="2" t="inlineStr">
        <is>
          <t>g implícito en el precio</t>
        </is>
      </c>
      <c r="U1" s="2" t="inlineStr">
        <is>
          <t>Entregado − implícito</t>
        </is>
      </c>
      <c r="V1" s="2" t="inlineStr">
        <is>
          <t>NAV por acción</t>
        </is>
      </c>
      <c r="W1" s="2" t="inlineStr">
        <is>
          <t>DDM ÷ precio − 1</t>
        </is>
      </c>
      <c r="X1" s="2" t="inlineStr">
        <is>
          <t>DCF ÷ precio − 1</t>
        </is>
      </c>
      <c r="Y1" s="2" t="inlineStr">
        <is>
          <t>NAV ÷ precio − 1</t>
        </is>
      </c>
      <c r="Z1" s="2" t="inlineStr">
        <is>
          <t>Señal DDM</t>
        </is>
      </c>
      <c r="AA1" s="2" t="inlineStr">
        <is>
          <t>Señal DCF</t>
        </is>
      </c>
      <c r="AB1" s="2" t="inlineStr">
        <is>
          <t>Señal crecimiento</t>
        </is>
      </c>
      <c r="AC1" s="2" t="inlineStr">
        <is>
          <t>Señal NAV</t>
        </is>
      </c>
      <c r="AD1" s="2" t="inlineStr">
        <is>
          <t>Percentil: DDM (Gordon sobre el dividendo)</t>
        </is>
      </c>
      <c r="AE1" s="2" t="inlineStr">
        <is>
          <t>Percentil: DCF del flujo en dos etapas</t>
        </is>
      </c>
      <c r="AF1" s="2" t="inlineStr">
        <is>
          <t>Percentil: Crecimiento entregado contra implícito</t>
        </is>
      </c>
      <c r="AG1" s="2" t="inlineStr">
        <is>
          <t>Percentil: NAV aproximado</t>
        </is>
      </c>
    </row>
    <row r="2">
      <c r="A2" s="3" t="inlineStr">
        <is>
          <t>1994-T4</t>
        </is>
      </c>
      <c r="B2" s="13" t="n">
        <v>34698</v>
      </c>
      <c r="C2" s="14" t="n">
        <v>8.5625</v>
      </c>
      <c r="D2" s="14" t="n">
        <v>0.8999999999999999</v>
      </c>
      <c r="F2" s="5" t="n">
        <v>0.0784</v>
      </c>
      <c r="N2" s="9">
        <f>IF(F2="","",F2+'Léeme'!$B$10)</f>
        <v/>
      </c>
      <c r="O2" s="9">
        <f>IF(OR(G2="",N2=""),"",MIN(MAX(G2,'Léeme'!$B$11),'Léeme'!$B$12,N2-'Léeme'!$B$16))</f>
        <v/>
      </c>
      <c r="P2" s="16">
        <f>IF(OR(D2="",O2=""),"",IFERROR(IF(D2&lt;=0,"",D2*(1+O2)/(N2-O2)),""))</f>
        <v/>
      </c>
      <c r="Q2" s="9">
        <f>IF(H2="","",MIN(MAX(H2,'Léeme'!$B$13),'Léeme'!$B$14))</f>
        <v/>
      </c>
      <c r="R2" s="9">
        <f>IF(N2="","",MIN('Léeme'!$B$15,N2-'Léeme'!$B$16))</f>
        <v/>
      </c>
      <c r="S2" s="16">
        <f>IF(OR(E2="",Q2=""),"",IFERROR(IF(E2&lt;=0,"",E2*(((1+Q2)/(1+N2))+((1+Q2)/(1+N2))^2+((1+Q2)/(1+N2))^3+((1+Q2)/(1+N2))^4+((1+Q2)/(1+N2))^5)+E2*(1+Q2)^5*(1+R2)/((N2-R2)*(1+N2)^5)),""))</f>
        <v/>
      </c>
      <c r="T2" s="9">
        <f>IF(OR(E2="",N2=""),"",IFERROR((C2*N2-E2)/(C2+E2),""))</f>
        <v/>
      </c>
      <c r="U2" s="9">
        <f>IF(OR(H2="",T2=""),"",IFERROR(MIN(MAX(H2,'Léeme'!$B$17),'Léeme'!$B$18)-T2,""))</f>
        <v/>
      </c>
      <c r="V2" s="16">
        <f>IF(OR(I2="",M2="",L2=""),"",IFERROR((I2/M2-J2-K2)/L2,""))</f>
        <v/>
      </c>
      <c r="W2" s="11">
        <f>IFERROR(P2/C2-1,"")</f>
        <v/>
      </c>
      <c r="X2" s="11">
        <f>IFERROR(S2/C2-1,"")</f>
        <v/>
      </c>
      <c r="Y2" s="11">
        <f>IFERROR(V2/C2-1,"")</f>
        <v/>
      </c>
      <c r="Z2" s="3">
        <f>IF(OR(W2="",ISTEXT(W2)),"sin dato",IF(W2&gt;='Léeme'!$B$19,"barato",IF(W2&lt;=-'Léeme'!$B$19,"caro","medio")))</f>
        <v/>
      </c>
      <c r="AA2" s="3">
        <f>IF(OR(X2="",ISTEXT(X2)),"sin dato",IF(X2&gt;='Léeme'!$B$19,"barato",IF(X2&lt;=-'Léeme'!$B$19,"caro","medio")))</f>
        <v/>
      </c>
      <c r="AB2" s="3">
        <f>IF(OR(U2="",ISTEXT(U2)),"sin dato",IF(U2&gt;='Léeme'!$B$20,"barato",IF(U2&lt;=-'Léeme'!$B$20,"caro","medio")))</f>
        <v/>
      </c>
      <c r="AC2" s="3">
        <f>IF(OR(Y2="",ISTEXT(Y2)),"sin dato",IF(Y2&gt;='Léeme'!$B$19,"barato",IF(Y2&lt;=-'Léeme'!$B$19,"caro","medio")))</f>
        <v/>
      </c>
      <c r="AD2" s="7" t="n"/>
      <c r="AE2" s="7" t="n"/>
      <c r="AF2" s="7" t="n"/>
      <c r="AG2" s="7" t="n"/>
    </row>
    <row r="3">
      <c r="A3" s="3" t="inlineStr">
        <is>
          <t>1995-T1</t>
        </is>
      </c>
      <c r="B3" s="13" t="n">
        <v>34789</v>
      </c>
      <c r="C3" s="14" t="n">
        <v>9.0625</v>
      </c>
      <c r="D3" s="14" t="n">
        <v>0.8999999999999999</v>
      </c>
      <c r="F3" s="5" t="n">
        <v>0.07200000000000001</v>
      </c>
      <c r="N3" s="9">
        <f>IF(F3="","",F3+'Léeme'!$B$10)</f>
        <v/>
      </c>
      <c r="O3" s="9">
        <f>IF(OR(G3="",N3=""),"",MIN(MAX(G3,'Léeme'!$B$11),'Léeme'!$B$12,N3-'Léeme'!$B$16))</f>
        <v/>
      </c>
      <c r="P3" s="16">
        <f>IF(OR(D3="",O3=""),"",IFERROR(IF(D3&lt;=0,"",D3*(1+O3)/(N3-O3)),""))</f>
        <v/>
      </c>
      <c r="Q3" s="9">
        <f>IF(H3="","",MIN(MAX(H3,'Léeme'!$B$13),'Léeme'!$B$14))</f>
        <v/>
      </c>
      <c r="R3" s="9">
        <f>IF(N3="","",MIN('Léeme'!$B$15,N3-'Léeme'!$B$16))</f>
        <v/>
      </c>
      <c r="S3" s="16">
        <f>IF(OR(E3="",Q3=""),"",IFERROR(IF(E3&lt;=0,"",E3*(((1+Q3)/(1+N3))+((1+Q3)/(1+N3))^2+((1+Q3)/(1+N3))^3+((1+Q3)/(1+N3))^4+((1+Q3)/(1+N3))^5)+E3*(1+Q3)^5*(1+R3)/((N3-R3)*(1+N3)^5)),""))</f>
        <v/>
      </c>
      <c r="T3" s="9">
        <f>IF(OR(E3="",N3=""),"",IFERROR((C3*N3-E3)/(C3+E3),""))</f>
        <v/>
      </c>
      <c r="U3" s="9">
        <f>IF(OR(H3="",T3=""),"",IFERROR(MIN(MAX(H3,'Léeme'!$B$17),'Léeme'!$B$18)-T3,""))</f>
        <v/>
      </c>
      <c r="V3" s="16">
        <f>IF(OR(I3="",M3="",L3=""),"",IFERROR((I3/M3-J3-K3)/L3,""))</f>
        <v/>
      </c>
      <c r="W3" s="11">
        <f>IFERROR(P3/C3-1,"")</f>
        <v/>
      </c>
      <c r="X3" s="11">
        <f>IFERROR(S3/C3-1,"")</f>
        <v/>
      </c>
      <c r="Y3" s="11">
        <f>IFERROR(V3/C3-1,"")</f>
        <v/>
      </c>
      <c r="Z3" s="3">
        <f>IF(OR(W3="",ISTEXT(W3)),"sin dato",IF(W3&gt;='Léeme'!$B$19,"barato",IF(W3&lt;=-'Léeme'!$B$19,"caro","medio")))</f>
        <v/>
      </c>
      <c r="AA3" s="3">
        <f>IF(OR(X3="",ISTEXT(X3)),"sin dato",IF(X3&gt;='Léeme'!$B$19,"barato",IF(X3&lt;=-'Léeme'!$B$19,"caro","medio")))</f>
        <v/>
      </c>
      <c r="AB3" s="3">
        <f>IF(OR(U3="",ISTEXT(U3)),"sin dato",IF(U3&gt;='Léeme'!$B$20,"barato",IF(U3&lt;=-'Léeme'!$B$20,"caro","medio")))</f>
        <v/>
      </c>
      <c r="AC3" s="3">
        <f>IF(OR(Y3="",ISTEXT(Y3)),"sin dato",IF(Y3&gt;='Léeme'!$B$19,"barato",IF(Y3&lt;=-'Léeme'!$B$19,"caro","medio")))</f>
        <v/>
      </c>
      <c r="AD3" s="7" t="n"/>
      <c r="AE3" s="7" t="n"/>
      <c r="AF3" s="7" t="n"/>
      <c r="AG3" s="7" t="n"/>
    </row>
    <row r="4">
      <c r="A4" s="3" t="inlineStr">
        <is>
          <t>1995-T2</t>
        </is>
      </c>
      <c r="B4" s="13" t="n">
        <v>34880</v>
      </c>
      <c r="C4" s="14" t="n">
        <v>10.5625</v>
      </c>
      <c r="D4" s="14" t="n">
        <v>0.8999999999999999</v>
      </c>
      <c r="F4" s="5" t="n">
        <v>0.0621</v>
      </c>
      <c r="N4" s="9">
        <f>IF(F4="","",F4+'Léeme'!$B$10)</f>
        <v/>
      </c>
      <c r="O4" s="9">
        <f>IF(OR(G4="",N4=""),"",MIN(MAX(G4,'Léeme'!$B$11),'Léeme'!$B$12,N4-'Léeme'!$B$16))</f>
        <v/>
      </c>
      <c r="P4" s="16">
        <f>IF(OR(D4="",O4=""),"",IFERROR(IF(D4&lt;=0,"",D4*(1+O4)/(N4-O4)),""))</f>
        <v/>
      </c>
      <c r="Q4" s="9">
        <f>IF(H4="","",MIN(MAX(H4,'Léeme'!$B$13),'Léeme'!$B$14))</f>
        <v/>
      </c>
      <c r="R4" s="9">
        <f>IF(N4="","",MIN('Léeme'!$B$15,N4-'Léeme'!$B$16))</f>
        <v/>
      </c>
      <c r="S4" s="16">
        <f>IF(OR(E4="",Q4=""),"",IFERROR(IF(E4&lt;=0,"",E4*(((1+Q4)/(1+N4))+((1+Q4)/(1+N4))^2+((1+Q4)/(1+N4))^3+((1+Q4)/(1+N4))^4+((1+Q4)/(1+N4))^5)+E4*(1+Q4)^5*(1+R4)/((N4-R4)*(1+N4)^5)),""))</f>
        <v/>
      </c>
      <c r="T4" s="9">
        <f>IF(OR(E4="",N4=""),"",IFERROR((C4*N4-E4)/(C4+E4),""))</f>
        <v/>
      </c>
      <c r="U4" s="9">
        <f>IF(OR(H4="",T4=""),"",IFERROR(MIN(MAX(H4,'Léeme'!$B$17),'Léeme'!$B$18)-T4,""))</f>
        <v/>
      </c>
      <c r="V4" s="16">
        <f>IF(OR(I4="",M4="",L4=""),"",IFERROR((I4/M4-J4-K4)/L4,""))</f>
        <v/>
      </c>
      <c r="W4" s="11">
        <f>IFERROR(P4/C4-1,"")</f>
        <v/>
      </c>
      <c r="X4" s="11">
        <f>IFERROR(S4/C4-1,"")</f>
        <v/>
      </c>
      <c r="Y4" s="11">
        <f>IFERROR(V4/C4-1,"")</f>
        <v/>
      </c>
      <c r="Z4" s="3">
        <f>IF(OR(W4="",ISTEXT(W4)),"sin dato",IF(W4&gt;='Léeme'!$B$19,"barato",IF(W4&lt;=-'Léeme'!$B$19,"caro","medio")))</f>
        <v/>
      </c>
      <c r="AA4" s="3">
        <f>IF(OR(X4="",ISTEXT(X4)),"sin dato",IF(X4&gt;='Léeme'!$B$19,"barato",IF(X4&lt;=-'Léeme'!$B$19,"caro","medio")))</f>
        <v/>
      </c>
      <c r="AB4" s="3">
        <f>IF(OR(U4="",ISTEXT(U4)),"sin dato",IF(U4&gt;='Léeme'!$B$20,"barato",IF(U4&lt;=-'Léeme'!$B$20,"caro","medio")))</f>
        <v/>
      </c>
      <c r="AC4" s="3">
        <f>IF(OR(Y4="",ISTEXT(Y4)),"sin dato",IF(Y4&gt;='Léeme'!$B$19,"barato",IF(Y4&lt;=-'Léeme'!$B$19,"caro","medio")))</f>
        <v/>
      </c>
      <c r="AD4" s="7" t="n"/>
      <c r="AE4" s="7" t="n"/>
      <c r="AF4" s="7" t="n"/>
      <c r="AG4" s="7" t="n"/>
    </row>
    <row r="5">
      <c r="A5" s="3" t="inlineStr">
        <is>
          <t>1995-T3</t>
        </is>
      </c>
      <c r="B5" s="13" t="n">
        <v>34971</v>
      </c>
      <c r="C5" s="14" t="n">
        <v>10.5625</v>
      </c>
      <c r="D5" s="14" t="n">
        <v>0.9299999999999999</v>
      </c>
      <c r="F5" s="5" t="n">
        <v>0.0617</v>
      </c>
      <c r="N5" s="9">
        <f>IF(F5="","",F5+'Léeme'!$B$10)</f>
        <v/>
      </c>
      <c r="O5" s="9">
        <f>IF(OR(G5="",N5=""),"",MIN(MAX(G5,'Léeme'!$B$11),'Léeme'!$B$12,N5-'Léeme'!$B$16))</f>
        <v/>
      </c>
      <c r="P5" s="16">
        <f>IF(OR(D5="",O5=""),"",IFERROR(IF(D5&lt;=0,"",D5*(1+O5)/(N5-O5)),""))</f>
        <v/>
      </c>
      <c r="Q5" s="9">
        <f>IF(H5="","",MIN(MAX(H5,'Léeme'!$B$13),'Léeme'!$B$14))</f>
        <v/>
      </c>
      <c r="R5" s="9">
        <f>IF(N5="","",MIN('Léeme'!$B$15,N5-'Léeme'!$B$16))</f>
        <v/>
      </c>
      <c r="S5" s="16">
        <f>IF(OR(E5="",Q5=""),"",IFERROR(IF(E5&lt;=0,"",E5*(((1+Q5)/(1+N5))+((1+Q5)/(1+N5))^2+((1+Q5)/(1+N5))^3+((1+Q5)/(1+N5))^4+((1+Q5)/(1+N5))^5)+E5*(1+Q5)^5*(1+R5)/((N5-R5)*(1+N5)^5)),""))</f>
        <v/>
      </c>
      <c r="T5" s="9">
        <f>IF(OR(E5="",N5=""),"",IFERROR((C5*N5-E5)/(C5+E5),""))</f>
        <v/>
      </c>
      <c r="U5" s="9">
        <f>IF(OR(H5="",T5=""),"",IFERROR(MIN(MAX(H5,'Léeme'!$B$17),'Léeme'!$B$18)-T5,""))</f>
        <v/>
      </c>
      <c r="V5" s="16">
        <f>IF(OR(I5="",M5="",L5=""),"",IFERROR((I5/M5-J5-K5)/L5,""))</f>
        <v/>
      </c>
      <c r="W5" s="11">
        <f>IFERROR(P5/C5-1,"")</f>
        <v/>
      </c>
      <c r="X5" s="11">
        <f>IFERROR(S5/C5-1,"")</f>
        <v/>
      </c>
      <c r="Y5" s="11">
        <f>IFERROR(V5/C5-1,"")</f>
        <v/>
      </c>
      <c r="Z5" s="3">
        <f>IF(OR(W5="",ISTEXT(W5)),"sin dato",IF(W5&gt;='Léeme'!$B$19,"barato",IF(W5&lt;=-'Léeme'!$B$19,"caro","medio")))</f>
        <v/>
      </c>
      <c r="AA5" s="3">
        <f>IF(OR(X5="",ISTEXT(X5)),"sin dato",IF(X5&gt;='Léeme'!$B$19,"barato",IF(X5&lt;=-'Léeme'!$B$19,"caro","medio")))</f>
        <v/>
      </c>
      <c r="AB5" s="3">
        <f>IF(OR(U5="",ISTEXT(U5)),"sin dato",IF(U5&gt;='Léeme'!$B$20,"barato",IF(U5&lt;=-'Léeme'!$B$20,"caro","medio")))</f>
        <v/>
      </c>
      <c r="AC5" s="3">
        <f>IF(OR(Y5="",ISTEXT(Y5)),"sin dato",IF(Y5&gt;='Léeme'!$B$19,"barato",IF(Y5&lt;=-'Léeme'!$B$19,"caro","medio")))</f>
        <v/>
      </c>
      <c r="AD5" s="7" t="n"/>
      <c r="AE5" s="7" t="n"/>
      <c r="AF5" s="7" t="n"/>
      <c r="AG5" s="7" t="n"/>
    </row>
    <row r="6">
      <c r="A6" s="3" t="inlineStr">
        <is>
          <t>1995-T4</t>
        </is>
      </c>
      <c r="B6" s="13" t="n">
        <v>35062</v>
      </c>
      <c r="C6" s="14" t="n">
        <v>11.25</v>
      </c>
      <c r="D6" s="14" t="n">
        <v>0.9299999999999999</v>
      </c>
      <c r="F6" s="5" t="n">
        <v>0.0558</v>
      </c>
      <c r="N6" s="9">
        <f>IF(F6="","",F6+'Léeme'!$B$10)</f>
        <v/>
      </c>
      <c r="O6" s="9">
        <f>IF(OR(G6="",N6=""),"",MIN(MAX(G6,'Léeme'!$B$11),'Léeme'!$B$12,N6-'Léeme'!$B$16))</f>
        <v/>
      </c>
      <c r="P6" s="16">
        <f>IF(OR(D6="",O6=""),"",IFERROR(IF(D6&lt;=0,"",D6*(1+O6)/(N6-O6)),""))</f>
        <v/>
      </c>
      <c r="Q6" s="9">
        <f>IF(H6="","",MIN(MAX(H6,'Léeme'!$B$13),'Léeme'!$B$14))</f>
        <v/>
      </c>
      <c r="R6" s="9">
        <f>IF(N6="","",MIN('Léeme'!$B$15,N6-'Léeme'!$B$16))</f>
        <v/>
      </c>
      <c r="S6" s="16">
        <f>IF(OR(E6="",Q6=""),"",IFERROR(IF(E6&lt;=0,"",E6*(((1+Q6)/(1+N6))+((1+Q6)/(1+N6))^2+((1+Q6)/(1+N6))^3+((1+Q6)/(1+N6))^4+((1+Q6)/(1+N6))^5)+E6*(1+Q6)^5*(1+R6)/((N6-R6)*(1+N6)^5)),""))</f>
        <v/>
      </c>
      <c r="T6" s="9">
        <f>IF(OR(E6="",N6=""),"",IFERROR((C6*N6-E6)/(C6+E6),""))</f>
        <v/>
      </c>
      <c r="U6" s="9">
        <f>IF(OR(H6="",T6=""),"",IFERROR(MIN(MAX(H6,'Léeme'!$B$17),'Léeme'!$B$18)-T6,""))</f>
        <v/>
      </c>
      <c r="V6" s="16">
        <f>IF(OR(I6="",M6="",L6=""),"",IFERROR((I6/M6-J6-K6)/L6,""))</f>
        <v/>
      </c>
      <c r="W6" s="11">
        <f>IFERROR(P6/C6-1,"")</f>
        <v/>
      </c>
      <c r="X6" s="11">
        <f>IFERROR(S6/C6-1,"")</f>
        <v/>
      </c>
      <c r="Y6" s="11">
        <f>IFERROR(V6/C6-1,"")</f>
        <v/>
      </c>
      <c r="Z6" s="3">
        <f>IF(OR(W6="",ISTEXT(W6)),"sin dato",IF(W6&gt;='Léeme'!$B$19,"barato",IF(W6&lt;=-'Léeme'!$B$19,"caro","medio")))</f>
        <v/>
      </c>
      <c r="AA6" s="3">
        <f>IF(OR(X6="",ISTEXT(X6)),"sin dato",IF(X6&gt;='Léeme'!$B$19,"barato",IF(X6&lt;=-'Léeme'!$B$19,"caro","medio")))</f>
        <v/>
      </c>
      <c r="AB6" s="3">
        <f>IF(OR(U6="",ISTEXT(U6)),"sin dato",IF(U6&gt;='Léeme'!$B$20,"barato",IF(U6&lt;=-'Léeme'!$B$20,"caro","medio")))</f>
        <v/>
      </c>
      <c r="AC6" s="3">
        <f>IF(OR(Y6="",ISTEXT(Y6)),"sin dato",IF(Y6&gt;='Léeme'!$B$19,"barato",IF(Y6&lt;=-'Léeme'!$B$19,"caro","medio")))</f>
        <v/>
      </c>
      <c r="AD6" s="7" t="n"/>
      <c r="AE6" s="7" t="n"/>
      <c r="AF6" s="7" t="n"/>
      <c r="AG6" s="7" t="n"/>
    </row>
    <row r="7">
      <c r="A7" s="3" t="inlineStr">
        <is>
          <t>1996-T1</t>
        </is>
      </c>
      <c r="B7" s="13" t="n">
        <v>35153</v>
      </c>
      <c r="C7" s="14" t="n">
        <v>10.375001</v>
      </c>
      <c r="D7" s="14" t="n">
        <v>0.9299999999999999</v>
      </c>
      <c r="F7" s="5" t="n">
        <v>0.0634</v>
      </c>
      <c r="N7" s="9">
        <f>IF(F7="","",F7+'Léeme'!$B$10)</f>
        <v/>
      </c>
      <c r="O7" s="9">
        <f>IF(OR(G7="",N7=""),"",MIN(MAX(G7,'Léeme'!$B$11),'Léeme'!$B$12,N7-'Léeme'!$B$16))</f>
        <v/>
      </c>
      <c r="P7" s="16">
        <f>IF(OR(D7="",O7=""),"",IFERROR(IF(D7&lt;=0,"",D7*(1+O7)/(N7-O7)),""))</f>
        <v/>
      </c>
      <c r="Q7" s="9">
        <f>IF(H7="","",MIN(MAX(H7,'Léeme'!$B$13),'Léeme'!$B$14))</f>
        <v/>
      </c>
      <c r="R7" s="9">
        <f>IF(N7="","",MIN('Léeme'!$B$15,N7-'Léeme'!$B$16))</f>
        <v/>
      </c>
      <c r="S7" s="16">
        <f>IF(OR(E7="",Q7=""),"",IFERROR(IF(E7&lt;=0,"",E7*(((1+Q7)/(1+N7))+((1+Q7)/(1+N7))^2+((1+Q7)/(1+N7))^3+((1+Q7)/(1+N7))^4+((1+Q7)/(1+N7))^5)+E7*(1+Q7)^5*(1+R7)/((N7-R7)*(1+N7)^5)),""))</f>
        <v/>
      </c>
      <c r="T7" s="9">
        <f>IF(OR(E7="",N7=""),"",IFERROR((C7*N7-E7)/(C7+E7),""))</f>
        <v/>
      </c>
      <c r="U7" s="9">
        <f>IF(OR(H7="",T7=""),"",IFERROR(MIN(MAX(H7,'Léeme'!$B$17),'Léeme'!$B$18)-T7,""))</f>
        <v/>
      </c>
      <c r="V7" s="16">
        <f>IF(OR(I7="",M7="",L7=""),"",IFERROR((I7/M7-J7-K7)/L7,""))</f>
        <v/>
      </c>
      <c r="W7" s="11">
        <f>IFERROR(P7/C7-1,"")</f>
        <v/>
      </c>
      <c r="X7" s="11">
        <f>IFERROR(S7/C7-1,"")</f>
        <v/>
      </c>
      <c r="Y7" s="11">
        <f>IFERROR(V7/C7-1,"")</f>
        <v/>
      </c>
      <c r="Z7" s="3">
        <f>IF(OR(W7="",ISTEXT(W7)),"sin dato",IF(W7&gt;='Léeme'!$B$19,"barato",IF(W7&lt;=-'Léeme'!$B$19,"caro","medio")))</f>
        <v/>
      </c>
      <c r="AA7" s="3">
        <f>IF(OR(X7="",ISTEXT(X7)),"sin dato",IF(X7&gt;='Léeme'!$B$19,"barato",IF(X7&lt;=-'Léeme'!$B$19,"caro","medio")))</f>
        <v/>
      </c>
      <c r="AB7" s="3">
        <f>IF(OR(U7="",ISTEXT(U7)),"sin dato",IF(U7&gt;='Léeme'!$B$20,"barato",IF(U7&lt;=-'Léeme'!$B$20,"caro","medio")))</f>
        <v/>
      </c>
      <c r="AC7" s="3">
        <f>IF(OR(Y7="",ISTEXT(Y7)),"sin dato",IF(Y7&gt;='Léeme'!$B$19,"barato",IF(Y7&lt;=-'Léeme'!$B$19,"caro","medio")))</f>
        <v/>
      </c>
      <c r="AD7" s="7" t="n"/>
      <c r="AE7" s="7" t="n"/>
      <c r="AF7" s="7" t="n"/>
      <c r="AG7" s="7" t="n"/>
    </row>
    <row r="8">
      <c r="A8" s="3" t="inlineStr">
        <is>
          <t>1996-T2</t>
        </is>
      </c>
      <c r="B8" s="13" t="n">
        <v>35244</v>
      </c>
      <c r="C8" s="14" t="n">
        <v>10.375001</v>
      </c>
      <c r="D8" s="14" t="n">
        <v>0.9299999999999999</v>
      </c>
      <c r="F8" s="5" t="n">
        <v>0.0673</v>
      </c>
      <c r="N8" s="9">
        <f>IF(F8="","",F8+'Léeme'!$B$10)</f>
        <v/>
      </c>
      <c r="O8" s="9">
        <f>IF(OR(G8="",N8=""),"",MIN(MAX(G8,'Léeme'!$B$11),'Léeme'!$B$12,N8-'Léeme'!$B$16))</f>
        <v/>
      </c>
      <c r="P8" s="16">
        <f>IF(OR(D8="",O8=""),"",IFERROR(IF(D8&lt;=0,"",D8*(1+O8)/(N8-O8)),""))</f>
        <v/>
      </c>
      <c r="Q8" s="9">
        <f>IF(H8="","",MIN(MAX(H8,'Léeme'!$B$13),'Léeme'!$B$14))</f>
        <v/>
      </c>
      <c r="R8" s="9">
        <f>IF(N8="","",MIN('Léeme'!$B$15,N8-'Léeme'!$B$16))</f>
        <v/>
      </c>
      <c r="S8" s="16">
        <f>IF(OR(E8="",Q8=""),"",IFERROR(IF(E8&lt;=0,"",E8*(((1+Q8)/(1+N8))+((1+Q8)/(1+N8))^2+((1+Q8)/(1+N8))^3+((1+Q8)/(1+N8))^4+((1+Q8)/(1+N8))^5)+E8*(1+Q8)^5*(1+R8)/((N8-R8)*(1+N8)^5)),""))</f>
        <v/>
      </c>
      <c r="T8" s="9">
        <f>IF(OR(E8="",N8=""),"",IFERROR((C8*N8-E8)/(C8+E8),""))</f>
        <v/>
      </c>
      <c r="U8" s="9">
        <f>IF(OR(H8="",T8=""),"",IFERROR(MIN(MAX(H8,'Léeme'!$B$17),'Léeme'!$B$18)-T8,""))</f>
        <v/>
      </c>
      <c r="V8" s="16">
        <f>IF(OR(I8="",M8="",L8=""),"",IFERROR((I8/M8-J8-K8)/L8,""))</f>
        <v/>
      </c>
      <c r="W8" s="11">
        <f>IFERROR(P8/C8-1,"")</f>
        <v/>
      </c>
      <c r="X8" s="11">
        <f>IFERROR(S8/C8-1,"")</f>
        <v/>
      </c>
      <c r="Y8" s="11">
        <f>IFERROR(V8/C8-1,"")</f>
        <v/>
      </c>
      <c r="Z8" s="3">
        <f>IF(OR(W8="",ISTEXT(W8)),"sin dato",IF(W8&gt;='Léeme'!$B$19,"barato",IF(W8&lt;=-'Léeme'!$B$19,"caro","medio")))</f>
        <v/>
      </c>
      <c r="AA8" s="3">
        <f>IF(OR(X8="",ISTEXT(X8)),"sin dato",IF(X8&gt;='Léeme'!$B$19,"barato",IF(X8&lt;=-'Léeme'!$B$19,"caro","medio")))</f>
        <v/>
      </c>
      <c r="AB8" s="3">
        <f>IF(OR(U8="",ISTEXT(U8)),"sin dato",IF(U8&gt;='Léeme'!$B$20,"barato",IF(U8&lt;=-'Léeme'!$B$20,"caro","medio")))</f>
        <v/>
      </c>
      <c r="AC8" s="3">
        <f>IF(OR(Y8="",ISTEXT(Y8)),"sin dato",IF(Y8&gt;='Léeme'!$B$19,"barato",IF(Y8&lt;=-'Léeme'!$B$19,"caro","medio")))</f>
        <v/>
      </c>
      <c r="AD8" s="7" t="n"/>
      <c r="AE8" s="7" t="n"/>
      <c r="AF8" s="7" t="n"/>
      <c r="AG8" s="7" t="n"/>
    </row>
    <row r="9">
      <c r="A9" s="3" t="inlineStr">
        <is>
          <t>1996-T3</t>
        </is>
      </c>
      <c r="B9" s="13" t="n">
        <v>35338</v>
      </c>
      <c r="C9" s="14" t="n">
        <v>11.375001</v>
      </c>
      <c r="D9" s="14" t="n">
        <v>0.9299999999999999</v>
      </c>
      <c r="F9" s="5" t="n">
        <v>0.0672</v>
      </c>
      <c r="N9" s="9">
        <f>IF(F9="","",F9+'Léeme'!$B$10)</f>
        <v/>
      </c>
      <c r="O9" s="9">
        <f>IF(OR(G9="",N9=""),"",MIN(MAX(G9,'Léeme'!$B$11),'Léeme'!$B$12,N9-'Léeme'!$B$16))</f>
        <v/>
      </c>
      <c r="P9" s="16">
        <f>IF(OR(D9="",O9=""),"",IFERROR(IF(D9&lt;=0,"",D9*(1+O9)/(N9-O9)),""))</f>
        <v/>
      </c>
      <c r="Q9" s="9">
        <f>IF(H9="","",MIN(MAX(H9,'Léeme'!$B$13),'Léeme'!$B$14))</f>
        <v/>
      </c>
      <c r="R9" s="9">
        <f>IF(N9="","",MIN('Léeme'!$B$15,N9-'Léeme'!$B$16))</f>
        <v/>
      </c>
      <c r="S9" s="16">
        <f>IF(OR(E9="",Q9=""),"",IFERROR(IF(E9&lt;=0,"",E9*(((1+Q9)/(1+N9))+((1+Q9)/(1+N9))^2+((1+Q9)/(1+N9))^3+((1+Q9)/(1+N9))^4+((1+Q9)/(1+N9))^5)+E9*(1+Q9)^5*(1+R9)/((N9-R9)*(1+N9)^5)),""))</f>
        <v/>
      </c>
      <c r="T9" s="9">
        <f>IF(OR(E9="",N9=""),"",IFERROR((C9*N9-E9)/(C9+E9),""))</f>
        <v/>
      </c>
      <c r="U9" s="9">
        <f>IF(OR(H9="",T9=""),"",IFERROR(MIN(MAX(H9,'Léeme'!$B$17),'Léeme'!$B$18)-T9,""))</f>
        <v/>
      </c>
      <c r="V9" s="16">
        <f>IF(OR(I9="",M9="",L9=""),"",IFERROR((I9/M9-J9-K9)/L9,""))</f>
        <v/>
      </c>
      <c r="W9" s="11">
        <f>IFERROR(P9/C9-1,"")</f>
        <v/>
      </c>
      <c r="X9" s="11">
        <f>IFERROR(S9/C9-1,"")</f>
        <v/>
      </c>
      <c r="Y9" s="11">
        <f>IFERROR(V9/C9-1,"")</f>
        <v/>
      </c>
      <c r="Z9" s="3">
        <f>IF(OR(W9="",ISTEXT(W9)),"sin dato",IF(W9&gt;='Léeme'!$B$19,"barato",IF(W9&lt;=-'Léeme'!$B$19,"caro","medio")))</f>
        <v/>
      </c>
      <c r="AA9" s="3">
        <f>IF(OR(X9="",ISTEXT(X9)),"sin dato",IF(X9&gt;='Léeme'!$B$19,"barato",IF(X9&lt;=-'Léeme'!$B$19,"caro","medio")))</f>
        <v/>
      </c>
      <c r="AB9" s="3">
        <f>IF(OR(U9="",ISTEXT(U9)),"sin dato",IF(U9&gt;='Léeme'!$B$20,"barato",IF(U9&lt;=-'Léeme'!$B$20,"caro","medio")))</f>
        <v/>
      </c>
      <c r="AC9" s="3">
        <f>IF(OR(Y9="",ISTEXT(Y9)),"sin dato",IF(Y9&gt;='Léeme'!$B$19,"barato",IF(Y9&lt;=-'Léeme'!$B$19,"caro","medio")))</f>
        <v/>
      </c>
      <c r="AD9" s="7" t="n"/>
      <c r="AE9" s="7" t="n"/>
      <c r="AF9" s="7" t="n"/>
      <c r="AG9" s="7" t="n"/>
    </row>
    <row r="10">
      <c r="A10" s="3" t="inlineStr">
        <is>
          <t>1996-T4</t>
        </is>
      </c>
      <c r="B10" s="13" t="n">
        <v>35430</v>
      </c>
      <c r="C10" s="14" t="n">
        <v>11.9375</v>
      </c>
      <c r="D10" s="14" t="n">
        <v>0.9450000000000001</v>
      </c>
      <c r="F10" s="5" t="n">
        <v>0.0643</v>
      </c>
      <c r="N10" s="9">
        <f>IF(F10="","",F10+'Léeme'!$B$10)</f>
        <v/>
      </c>
      <c r="O10" s="9">
        <f>IF(OR(G10="",N10=""),"",MIN(MAX(G10,'Léeme'!$B$11),'Léeme'!$B$12,N10-'Léeme'!$B$16))</f>
        <v/>
      </c>
      <c r="P10" s="16">
        <f>IF(OR(D10="",O10=""),"",IFERROR(IF(D10&lt;=0,"",D10*(1+O10)/(N10-O10)),""))</f>
        <v/>
      </c>
      <c r="Q10" s="9">
        <f>IF(H10="","",MIN(MAX(H10,'Léeme'!$B$13),'Léeme'!$B$14))</f>
        <v/>
      </c>
      <c r="R10" s="9">
        <f>IF(N10="","",MIN('Léeme'!$B$15,N10-'Léeme'!$B$16))</f>
        <v/>
      </c>
      <c r="S10" s="16">
        <f>IF(OR(E10="",Q10=""),"",IFERROR(IF(E10&lt;=0,"",E10*(((1+Q10)/(1+N10))+((1+Q10)/(1+N10))^2+((1+Q10)/(1+N10))^3+((1+Q10)/(1+N10))^4+((1+Q10)/(1+N10))^5)+E10*(1+Q10)^5*(1+R10)/((N10-R10)*(1+N10)^5)),""))</f>
        <v/>
      </c>
      <c r="T10" s="9">
        <f>IF(OR(E10="",N10=""),"",IFERROR((C10*N10-E10)/(C10+E10),""))</f>
        <v/>
      </c>
      <c r="U10" s="9">
        <f>IF(OR(H10="",T10=""),"",IFERROR(MIN(MAX(H10,'Léeme'!$B$17),'Léeme'!$B$18)-T10,""))</f>
        <v/>
      </c>
      <c r="V10" s="16">
        <f>IF(OR(I10="",M10="",L10=""),"",IFERROR((I10/M10-J10-K10)/L10,""))</f>
        <v/>
      </c>
      <c r="W10" s="11">
        <f>IFERROR(P10/C10-1,"")</f>
        <v/>
      </c>
      <c r="X10" s="11">
        <f>IFERROR(S10/C10-1,"")</f>
        <v/>
      </c>
      <c r="Y10" s="11">
        <f>IFERROR(V10/C10-1,"")</f>
        <v/>
      </c>
      <c r="Z10" s="3">
        <f>IF(OR(W10="",ISTEXT(W10)),"sin dato",IF(W10&gt;='Léeme'!$B$19,"barato",IF(W10&lt;=-'Léeme'!$B$19,"caro","medio")))</f>
        <v/>
      </c>
      <c r="AA10" s="3">
        <f>IF(OR(X10="",ISTEXT(X10)),"sin dato",IF(X10&gt;='Léeme'!$B$19,"barato",IF(X10&lt;=-'Léeme'!$B$19,"caro","medio")))</f>
        <v/>
      </c>
      <c r="AB10" s="3">
        <f>IF(OR(U10="",ISTEXT(U10)),"sin dato",IF(U10&gt;='Léeme'!$B$20,"barato",IF(U10&lt;=-'Léeme'!$B$20,"caro","medio")))</f>
        <v/>
      </c>
      <c r="AC10" s="3">
        <f>IF(OR(Y10="",ISTEXT(Y10)),"sin dato",IF(Y10&gt;='Léeme'!$B$19,"barato",IF(Y10&lt;=-'Léeme'!$B$19,"caro","medio")))</f>
        <v/>
      </c>
      <c r="AD10" s="7" t="n"/>
      <c r="AE10" s="7" t="n"/>
      <c r="AF10" s="7" t="n"/>
      <c r="AG10" s="7" t="n"/>
    </row>
    <row r="11">
      <c r="A11" s="3" t="inlineStr">
        <is>
          <t>1997-T1</t>
        </is>
      </c>
      <c r="B11" s="13" t="n">
        <v>35520</v>
      </c>
      <c r="C11" s="14" t="n">
        <v>11.5</v>
      </c>
      <c r="D11" s="14" t="n">
        <v>0.948</v>
      </c>
      <c r="E11" s="14" t="n">
        <v>1.0385</v>
      </c>
      <c r="F11" s="5" t="n">
        <v>0.0692</v>
      </c>
      <c r="N11" s="9">
        <f>IF(F11="","",F11+'Léeme'!$B$10)</f>
        <v/>
      </c>
      <c r="O11" s="9">
        <f>IF(OR(G11="",N11=""),"",MIN(MAX(G11,'Léeme'!$B$11),'Léeme'!$B$12,N11-'Léeme'!$B$16))</f>
        <v/>
      </c>
      <c r="P11" s="16">
        <f>IF(OR(D11="",O11=""),"",IFERROR(IF(D11&lt;=0,"",D11*(1+O11)/(N11-O11)),""))</f>
        <v/>
      </c>
      <c r="Q11" s="9">
        <f>IF(H11="","",MIN(MAX(H11,'Léeme'!$B$13),'Léeme'!$B$14))</f>
        <v/>
      </c>
      <c r="R11" s="9">
        <f>IF(N11="","",MIN('Léeme'!$B$15,N11-'Léeme'!$B$16))</f>
        <v/>
      </c>
      <c r="S11" s="16">
        <f>IF(OR(E11="",Q11=""),"",IFERROR(IF(E11&lt;=0,"",E11*(((1+Q11)/(1+N11))+((1+Q11)/(1+N11))^2+((1+Q11)/(1+N11))^3+((1+Q11)/(1+N11))^4+((1+Q11)/(1+N11))^5)+E11*(1+Q11)^5*(1+R11)/((N11-R11)*(1+N11)^5)),""))</f>
        <v/>
      </c>
      <c r="T11" s="9">
        <f>IF(OR(E11="",N11=""),"",IFERROR((C11*N11-E11)/(C11+E11),""))</f>
        <v/>
      </c>
      <c r="U11" s="9">
        <f>IF(OR(H11="",T11=""),"",IFERROR(MIN(MAX(H11,'Léeme'!$B$17),'Léeme'!$B$18)-T11,""))</f>
        <v/>
      </c>
      <c r="V11" s="16">
        <f>IF(OR(I11="",M11="",L11=""),"",IFERROR((I11/M11-J11-K11)/L11,""))</f>
        <v/>
      </c>
      <c r="W11" s="11">
        <f>IFERROR(P11/C11-1,"")</f>
        <v/>
      </c>
      <c r="X11" s="11">
        <f>IFERROR(S11/C11-1,"")</f>
        <v/>
      </c>
      <c r="Y11" s="11">
        <f>IFERROR(V11/C11-1,"")</f>
        <v/>
      </c>
      <c r="Z11" s="3">
        <f>IF(OR(W11="",ISTEXT(W11)),"sin dato",IF(W11&gt;='Léeme'!$B$19,"barato",IF(W11&lt;=-'Léeme'!$B$19,"caro","medio")))</f>
        <v/>
      </c>
      <c r="AA11" s="3">
        <f>IF(OR(X11="",ISTEXT(X11)),"sin dato",IF(X11&gt;='Léeme'!$B$19,"barato",IF(X11&lt;=-'Léeme'!$B$19,"caro","medio")))</f>
        <v/>
      </c>
      <c r="AB11" s="3">
        <f>IF(OR(U11="",ISTEXT(U11)),"sin dato",IF(U11&gt;='Léeme'!$B$20,"barato",IF(U11&lt;=-'Léeme'!$B$20,"caro","medio")))</f>
        <v/>
      </c>
      <c r="AC11" s="3">
        <f>IF(OR(Y11="",ISTEXT(Y11)),"sin dato",IF(Y11&gt;='Léeme'!$B$19,"barato",IF(Y11&lt;=-'Léeme'!$B$19,"caro","medio")))</f>
        <v/>
      </c>
      <c r="AD11" s="7" t="n"/>
      <c r="AE11" s="7" t="n"/>
      <c r="AF11" s="7" t="n"/>
      <c r="AG11" s="7" t="n"/>
    </row>
    <row r="12">
      <c r="A12" s="3" t="inlineStr">
        <is>
          <t>1997-T2</t>
        </is>
      </c>
      <c r="B12" s="13" t="n">
        <v>35611</v>
      </c>
      <c r="C12" s="14" t="n">
        <v>13.125</v>
      </c>
      <c r="D12" s="14" t="n">
        <v>0.948</v>
      </c>
      <c r="E12" s="14" t="n">
        <v>1.0385</v>
      </c>
      <c r="F12" s="5" t="n">
        <v>0.06509999999999999</v>
      </c>
      <c r="N12" s="9">
        <f>IF(F12="","",F12+'Léeme'!$B$10)</f>
        <v/>
      </c>
      <c r="O12" s="9">
        <f>IF(OR(G12="",N12=""),"",MIN(MAX(G12,'Léeme'!$B$11),'Léeme'!$B$12,N12-'Léeme'!$B$16))</f>
        <v/>
      </c>
      <c r="P12" s="16">
        <f>IF(OR(D12="",O12=""),"",IFERROR(IF(D12&lt;=0,"",D12*(1+O12)/(N12-O12)),""))</f>
        <v/>
      </c>
      <c r="Q12" s="9">
        <f>IF(H12="","",MIN(MAX(H12,'Léeme'!$B$13),'Léeme'!$B$14))</f>
        <v/>
      </c>
      <c r="R12" s="9">
        <f>IF(N12="","",MIN('Léeme'!$B$15,N12-'Léeme'!$B$16))</f>
        <v/>
      </c>
      <c r="S12" s="16">
        <f>IF(OR(E12="",Q12=""),"",IFERROR(IF(E12&lt;=0,"",E12*(((1+Q12)/(1+N12))+((1+Q12)/(1+N12))^2+((1+Q12)/(1+N12))^3+((1+Q12)/(1+N12))^4+((1+Q12)/(1+N12))^5)+E12*(1+Q12)^5*(1+R12)/((N12-R12)*(1+N12)^5)),""))</f>
        <v/>
      </c>
      <c r="T12" s="9">
        <f>IF(OR(E12="",N12=""),"",IFERROR((C12*N12-E12)/(C12+E12),""))</f>
        <v/>
      </c>
      <c r="U12" s="9">
        <f>IF(OR(H12="",T12=""),"",IFERROR(MIN(MAX(H12,'Léeme'!$B$17),'Léeme'!$B$18)-T12,""))</f>
        <v/>
      </c>
      <c r="V12" s="16">
        <f>IF(OR(I12="",M12="",L12=""),"",IFERROR((I12/M12-J12-K12)/L12,""))</f>
        <v/>
      </c>
      <c r="W12" s="11">
        <f>IFERROR(P12/C12-1,"")</f>
        <v/>
      </c>
      <c r="X12" s="11">
        <f>IFERROR(S12/C12-1,"")</f>
        <v/>
      </c>
      <c r="Y12" s="11">
        <f>IFERROR(V12/C12-1,"")</f>
        <v/>
      </c>
      <c r="Z12" s="3">
        <f>IF(OR(W12="",ISTEXT(W12)),"sin dato",IF(W12&gt;='Léeme'!$B$19,"barato",IF(W12&lt;=-'Léeme'!$B$19,"caro","medio")))</f>
        <v/>
      </c>
      <c r="AA12" s="3">
        <f>IF(OR(X12="",ISTEXT(X12)),"sin dato",IF(X12&gt;='Léeme'!$B$19,"barato",IF(X12&lt;=-'Léeme'!$B$19,"caro","medio")))</f>
        <v/>
      </c>
      <c r="AB12" s="3">
        <f>IF(OR(U12="",ISTEXT(U12)),"sin dato",IF(U12&gt;='Léeme'!$B$20,"barato",IF(U12&lt;=-'Léeme'!$B$20,"caro","medio")))</f>
        <v/>
      </c>
      <c r="AC12" s="3">
        <f>IF(OR(Y12="",ISTEXT(Y12)),"sin dato",IF(Y12&gt;='Léeme'!$B$19,"barato",IF(Y12&lt;=-'Léeme'!$B$19,"caro","medio")))</f>
        <v/>
      </c>
      <c r="AD12" s="7" t="n"/>
      <c r="AE12" s="7" t="n"/>
      <c r="AF12" s="7" t="n"/>
      <c r="AG12" s="7" t="n"/>
    </row>
    <row r="13">
      <c r="A13" s="3" t="inlineStr">
        <is>
          <t>1997-T3</t>
        </is>
      </c>
      <c r="B13" s="13" t="n">
        <v>35703</v>
      </c>
      <c r="C13" s="14" t="n">
        <v>13.46875</v>
      </c>
      <c r="D13" s="14" t="n">
        <v>0.948</v>
      </c>
      <c r="E13" s="14" t="n">
        <v>1.0385</v>
      </c>
      <c r="F13" s="5" t="n">
        <v>0.0612</v>
      </c>
      <c r="N13" s="9">
        <f>IF(F13="","",F13+'Léeme'!$B$10)</f>
        <v/>
      </c>
      <c r="O13" s="9">
        <f>IF(OR(G13="",N13=""),"",MIN(MAX(G13,'Léeme'!$B$11),'Léeme'!$B$12,N13-'Léeme'!$B$16))</f>
        <v/>
      </c>
      <c r="P13" s="16">
        <f>IF(OR(D13="",O13=""),"",IFERROR(IF(D13&lt;=0,"",D13*(1+O13)/(N13-O13)),""))</f>
        <v/>
      </c>
      <c r="Q13" s="9">
        <f>IF(H13="","",MIN(MAX(H13,'Léeme'!$B$13),'Léeme'!$B$14))</f>
        <v/>
      </c>
      <c r="R13" s="9">
        <f>IF(N13="","",MIN('Léeme'!$B$15,N13-'Léeme'!$B$16))</f>
        <v/>
      </c>
      <c r="S13" s="16">
        <f>IF(OR(E13="",Q13=""),"",IFERROR(IF(E13&lt;=0,"",E13*(((1+Q13)/(1+N13))+((1+Q13)/(1+N13))^2+((1+Q13)/(1+N13))^3+((1+Q13)/(1+N13))^4+((1+Q13)/(1+N13))^5)+E13*(1+Q13)^5*(1+R13)/((N13-R13)*(1+N13)^5)),""))</f>
        <v/>
      </c>
      <c r="T13" s="9">
        <f>IF(OR(E13="",N13=""),"",IFERROR((C13*N13-E13)/(C13+E13),""))</f>
        <v/>
      </c>
      <c r="U13" s="9">
        <f>IF(OR(H13="",T13=""),"",IFERROR(MIN(MAX(H13,'Léeme'!$B$17),'Léeme'!$B$18)-T13,""))</f>
        <v/>
      </c>
      <c r="V13" s="16">
        <f>IF(OR(I13="",M13="",L13=""),"",IFERROR((I13/M13-J13-K13)/L13,""))</f>
        <v/>
      </c>
      <c r="W13" s="11">
        <f>IFERROR(P13/C13-1,"")</f>
        <v/>
      </c>
      <c r="X13" s="11">
        <f>IFERROR(S13/C13-1,"")</f>
        <v/>
      </c>
      <c r="Y13" s="11">
        <f>IFERROR(V13/C13-1,"")</f>
        <v/>
      </c>
      <c r="Z13" s="3">
        <f>IF(OR(W13="",ISTEXT(W13)),"sin dato",IF(W13&gt;='Léeme'!$B$19,"barato",IF(W13&lt;=-'Léeme'!$B$19,"caro","medio")))</f>
        <v/>
      </c>
      <c r="AA13" s="3">
        <f>IF(OR(X13="",ISTEXT(X13)),"sin dato",IF(X13&gt;='Léeme'!$B$19,"barato",IF(X13&lt;=-'Léeme'!$B$19,"caro","medio")))</f>
        <v/>
      </c>
      <c r="AB13" s="3">
        <f>IF(OR(U13="",ISTEXT(U13)),"sin dato",IF(U13&gt;='Léeme'!$B$20,"barato",IF(U13&lt;=-'Léeme'!$B$20,"caro","medio")))</f>
        <v/>
      </c>
      <c r="AC13" s="3">
        <f>IF(OR(Y13="",ISTEXT(Y13)),"sin dato",IF(Y13&gt;='Léeme'!$B$19,"barato",IF(Y13&lt;=-'Léeme'!$B$19,"caro","medio")))</f>
        <v/>
      </c>
      <c r="AD13" s="7" t="n"/>
      <c r="AE13" s="7" t="n"/>
      <c r="AF13" s="7" t="n"/>
      <c r="AG13" s="7" t="n"/>
    </row>
    <row r="14">
      <c r="A14" s="3" t="inlineStr">
        <is>
          <t>1997-T4</t>
        </is>
      </c>
      <c r="B14" s="13" t="n">
        <v>35795</v>
      </c>
      <c r="C14" s="14" t="n">
        <v>12.71875</v>
      </c>
      <c r="D14" s="14" t="n">
        <v>0.96</v>
      </c>
      <c r="E14" s="14" t="n">
        <v>1.0385</v>
      </c>
      <c r="F14" s="5" t="n">
        <v>0.0575</v>
      </c>
      <c r="N14" s="9">
        <f>IF(F14="","",F14+'Léeme'!$B$10)</f>
        <v/>
      </c>
      <c r="O14" s="9">
        <f>IF(OR(G14="",N14=""),"",MIN(MAX(G14,'Léeme'!$B$11),'Léeme'!$B$12,N14-'Léeme'!$B$16))</f>
        <v/>
      </c>
      <c r="P14" s="16">
        <f>IF(OR(D14="",O14=""),"",IFERROR(IF(D14&lt;=0,"",D14*(1+O14)/(N14-O14)),""))</f>
        <v/>
      </c>
      <c r="Q14" s="9">
        <f>IF(H14="","",MIN(MAX(H14,'Léeme'!$B$13),'Léeme'!$B$14))</f>
        <v/>
      </c>
      <c r="R14" s="9">
        <f>IF(N14="","",MIN('Léeme'!$B$15,N14-'Léeme'!$B$16))</f>
        <v/>
      </c>
      <c r="S14" s="16">
        <f>IF(OR(E14="",Q14=""),"",IFERROR(IF(E14&lt;=0,"",E14*(((1+Q14)/(1+N14))+((1+Q14)/(1+N14))^2+((1+Q14)/(1+N14))^3+((1+Q14)/(1+N14))^4+((1+Q14)/(1+N14))^5)+E14*(1+Q14)^5*(1+R14)/((N14-R14)*(1+N14)^5)),""))</f>
        <v/>
      </c>
      <c r="T14" s="9">
        <f>IF(OR(E14="",N14=""),"",IFERROR((C14*N14-E14)/(C14+E14),""))</f>
        <v/>
      </c>
      <c r="U14" s="9">
        <f>IF(OR(H14="",T14=""),"",IFERROR(MIN(MAX(H14,'Léeme'!$B$17),'Léeme'!$B$18)-T14,""))</f>
        <v/>
      </c>
      <c r="V14" s="16">
        <f>IF(OR(I14="",M14="",L14=""),"",IFERROR((I14/M14-J14-K14)/L14,""))</f>
        <v/>
      </c>
      <c r="W14" s="11">
        <f>IFERROR(P14/C14-1,"")</f>
        <v/>
      </c>
      <c r="X14" s="11">
        <f>IFERROR(S14/C14-1,"")</f>
        <v/>
      </c>
      <c r="Y14" s="11">
        <f>IFERROR(V14/C14-1,"")</f>
        <v/>
      </c>
      <c r="Z14" s="3">
        <f>IF(OR(W14="",ISTEXT(W14)),"sin dato",IF(W14&gt;='Léeme'!$B$19,"barato",IF(W14&lt;=-'Léeme'!$B$19,"caro","medio")))</f>
        <v/>
      </c>
      <c r="AA14" s="3">
        <f>IF(OR(X14="",ISTEXT(X14)),"sin dato",IF(X14&gt;='Léeme'!$B$19,"barato",IF(X14&lt;=-'Léeme'!$B$19,"caro","medio")))</f>
        <v/>
      </c>
      <c r="AB14" s="3">
        <f>IF(OR(U14="",ISTEXT(U14)),"sin dato",IF(U14&gt;='Léeme'!$B$20,"barato",IF(U14&lt;=-'Léeme'!$B$20,"caro","medio")))</f>
        <v/>
      </c>
      <c r="AC14" s="3">
        <f>IF(OR(Y14="",ISTEXT(Y14)),"sin dato",IF(Y14&gt;='Léeme'!$B$19,"barato",IF(Y14&lt;=-'Léeme'!$B$19,"caro","medio")))</f>
        <v/>
      </c>
      <c r="AD14" s="7" t="n"/>
      <c r="AE14" s="7" t="n"/>
      <c r="AF14" s="7" t="n"/>
      <c r="AG14" s="7" t="n"/>
    </row>
    <row r="15">
      <c r="A15" s="3" t="inlineStr">
        <is>
          <t>1998-T1</t>
        </is>
      </c>
      <c r="B15" s="13" t="n">
        <v>35885</v>
      </c>
      <c r="C15" s="14" t="n">
        <v>13.59375</v>
      </c>
      <c r="D15" s="14" t="n">
        <v>0.972</v>
      </c>
      <c r="E15" s="14" t="n">
        <v>1.11</v>
      </c>
      <c r="F15" s="5" t="n">
        <v>0.0567</v>
      </c>
      <c r="N15" s="9">
        <f>IF(F15="","",F15+'Léeme'!$B$10)</f>
        <v/>
      </c>
      <c r="O15" s="9">
        <f>IF(OR(G15="",N15=""),"",MIN(MAX(G15,'Léeme'!$B$11),'Léeme'!$B$12,N15-'Léeme'!$B$16))</f>
        <v/>
      </c>
      <c r="P15" s="16">
        <f>IF(OR(D15="",O15=""),"",IFERROR(IF(D15&lt;=0,"",D15*(1+O15)/(N15-O15)),""))</f>
        <v/>
      </c>
      <c r="Q15" s="9">
        <f>IF(H15="","",MIN(MAX(H15,'Léeme'!$B$13),'Léeme'!$B$14))</f>
        <v/>
      </c>
      <c r="R15" s="9">
        <f>IF(N15="","",MIN('Léeme'!$B$15,N15-'Léeme'!$B$16))</f>
        <v/>
      </c>
      <c r="S15" s="16">
        <f>IF(OR(E15="",Q15=""),"",IFERROR(IF(E15&lt;=0,"",E15*(((1+Q15)/(1+N15))+((1+Q15)/(1+N15))^2+((1+Q15)/(1+N15))^3+((1+Q15)/(1+N15))^4+((1+Q15)/(1+N15))^5)+E15*(1+Q15)^5*(1+R15)/((N15-R15)*(1+N15)^5)),""))</f>
        <v/>
      </c>
      <c r="T15" s="9">
        <f>IF(OR(E15="",N15=""),"",IFERROR((C15*N15-E15)/(C15+E15),""))</f>
        <v/>
      </c>
      <c r="U15" s="9">
        <f>IF(OR(H15="",T15=""),"",IFERROR(MIN(MAX(H15,'Léeme'!$B$17),'Léeme'!$B$18)-T15,""))</f>
        <v/>
      </c>
      <c r="V15" s="16">
        <f>IF(OR(I15="",M15="",L15=""),"",IFERROR((I15/M15-J15-K15)/L15,""))</f>
        <v/>
      </c>
      <c r="W15" s="11">
        <f>IFERROR(P15/C15-1,"")</f>
        <v/>
      </c>
      <c r="X15" s="11">
        <f>IFERROR(S15/C15-1,"")</f>
        <v/>
      </c>
      <c r="Y15" s="11">
        <f>IFERROR(V15/C15-1,"")</f>
        <v/>
      </c>
      <c r="Z15" s="3">
        <f>IF(OR(W15="",ISTEXT(W15)),"sin dato",IF(W15&gt;='Léeme'!$B$19,"barato",IF(W15&lt;=-'Léeme'!$B$19,"caro","medio")))</f>
        <v/>
      </c>
      <c r="AA15" s="3">
        <f>IF(OR(X15="",ISTEXT(X15)),"sin dato",IF(X15&gt;='Léeme'!$B$19,"barato",IF(X15&lt;=-'Léeme'!$B$19,"caro","medio")))</f>
        <v/>
      </c>
      <c r="AB15" s="3">
        <f>IF(OR(U15="",ISTEXT(U15)),"sin dato",IF(U15&gt;='Léeme'!$B$20,"barato",IF(U15&lt;=-'Léeme'!$B$20,"caro","medio")))</f>
        <v/>
      </c>
      <c r="AC15" s="3">
        <f>IF(OR(Y15="",ISTEXT(Y15)),"sin dato",IF(Y15&gt;='Léeme'!$B$19,"barato",IF(Y15&lt;=-'Léeme'!$B$19,"caro","medio")))</f>
        <v/>
      </c>
      <c r="AD15" s="7" t="n"/>
      <c r="AE15" s="7" t="n"/>
      <c r="AF15" s="7" t="n"/>
      <c r="AG15" s="7" t="n"/>
    </row>
    <row r="16">
      <c r="A16" s="3" t="inlineStr">
        <is>
          <t>1998-T2</t>
        </is>
      </c>
      <c r="B16" s="13" t="n">
        <v>35976</v>
      </c>
      <c r="C16" s="14" t="n">
        <v>13.1875</v>
      </c>
      <c r="D16" s="14" t="n">
        <v>0.99</v>
      </c>
      <c r="E16" s="14" t="n">
        <v>1.11</v>
      </c>
      <c r="F16" s="5" t="n">
        <v>0.0544</v>
      </c>
      <c r="N16" s="9">
        <f>IF(F16="","",F16+'Léeme'!$B$10)</f>
        <v/>
      </c>
      <c r="O16" s="9">
        <f>IF(OR(G16="",N16=""),"",MIN(MAX(G16,'Léeme'!$B$11),'Léeme'!$B$12,N16-'Léeme'!$B$16))</f>
        <v/>
      </c>
      <c r="P16" s="16">
        <f>IF(OR(D16="",O16=""),"",IFERROR(IF(D16&lt;=0,"",D16*(1+O16)/(N16-O16)),""))</f>
        <v/>
      </c>
      <c r="Q16" s="9">
        <f>IF(H16="","",MIN(MAX(H16,'Léeme'!$B$13),'Léeme'!$B$14))</f>
        <v/>
      </c>
      <c r="R16" s="9">
        <f>IF(N16="","",MIN('Léeme'!$B$15,N16-'Léeme'!$B$16))</f>
        <v/>
      </c>
      <c r="S16" s="16">
        <f>IF(OR(E16="",Q16=""),"",IFERROR(IF(E16&lt;=0,"",E16*(((1+Q16)/(1+N16))+((1+Q16)/(1+N16))^2+((1+Q16)/(1+N16))^3+((1+Q16)/(1+N16))^4+((1+Q16)/(1+N16))^5)+E16*(1+Q16)^5*(1+R16)/((N16-R16)*(1+N16)^5)),""))</f>
        <v/>
      </c>
      <c r="T16" s="9">
        <f>IF(OR(E16="",N16=""),"",IFERROR((C16*N16-E16)/(C16+E16),""))</f>
        <v/>
      </c>
      <c r="U16" s="9">
        <f>IF(OR(H16="",T16=""),"",IFERROR(MIN(MAX(H16,'Léeme'!$B$17),'Léeme'!$B$18)-T16,""))</f>
        <v/>
      </c>
      <c r="V16" s="16">
        <f>IF(OR(I16="",M16="",L16=""),"",IFERROR((I16/M16-J16-K16)/L16,""))</f>
        <v/>
      </c>
      <c r="W16" s="11">
        <f>IFERROR(P16/C16-1,"")</f>
        <v/>
      </c>
      <c r="X16" s="11">
        <f>IFERROR(S16/C16-1,"")</f>
        <v/>
      </c>
      <c r="Y16" s="11">
        <f>IFERROR(V16/C16-1,"")</f>
        <v/>
      </c>
      <c r="Z16" s="3">
        <f>IF(OR(W16="",ISTEXT(W16)),"sin dato",IF(W16&gt;='Léeme'!$B$19,"barato",IF(W16&lt;=-'Léeme'!$B$19,"caro","medio")))</f>
        <v/>
      </c>
      <c r="AA16" s="3">
        <f>IF(OR(X16="",ISTEXT(X16)),"sin dato",IF(X16&gt;='Léeme'!$B$19,"barato",IF(X16&lt;=-'Léeme'!$B$19,"caro","medio")))</f>
        <v/>
      </c>
      <c r="AB16" s="3">
        <f>IF(OR(U16="",ISTEXT(U16)),"sin dato",IF(U16&gt;='Léeme'!$B$20,"barato",IF(U16&lt;=-'Léeme'!$B$20,"caro","medio")))</f>
        <v/>
      </c>
      <c r="AC16" s="3">
        <f>IF(OR(Y16="",ISTEXT(Y16)),"sin dato",IF(Y16&gt;='Léeme'!$B$19,"barato",IF(Y16&lt;=-'Léeme'!$B$19,"caro","medio")))</f>
        <v/>
      </c>
      <c r="AD16" s="7" t="n"/>
      <c r="AE16" s="7" t="n"/>
      <c r="AF16" s="7" t="n"/>
      <c r="AG16" s="7" t="n"/>
    </row>
    <row r="17">
      <c r="A17" s="3" t="inlineStr">
        <is>
          <t>1998-T3</t>
        </is>
      </c>
      <c r="B17" s="13" t="n">
        <v>36068</v>
      </c>
      <c r="C17" s="14" t="n">
        <v>12.4375</v>
      </c>
      <c r="D17" s="14" t="n">
        <v>1.008</v>
      </c>
      <c r="E17" s="14" t="n">
        <v>1.11</v>
      </c>
      <c r="F17" s="5" t="n">
        <v>0.0444</v>
      </c>
      <c r="N17" s="9">
        <f>IF(F17="","",F17+'Léeme'!$B$10)</f>
        <v/>
      </c>
      <c r="O17" s="9">
        <f>IF(OR(G17="",N17=""),"",MIN(MAX(G17,'Léeme'!$B$11),'Léeme'!$B$12,N17-'Léeme'!$B$16))</f>
        <v/>
      </c>
      <c r="P17" s="16">
        <f>IF(OR(D17="",O17=""),"",IFERROR(IF(D17&lt;=0,"",D17*(1+O17)/(N17-O17)),""))</f>
        <v/>
      </c>
      <c r="Q17" s="9">
        <f>IF(H17="","",MIN(MAX(H17,'Léeme'!$B$13),'Léeme'!$B$14))</f>
        <v/>
      </c>
      <c r="R17" s="9">
        <f>IF(N17="","",MIN('Léeme'!$B$15,N17-'Léeme'!$B$16))</f>
        <v/>
      </c>
      <c r="S17" s="16">
        <f>IF(OR(E17="",Q17=""),"",IFERROR(IF(E17&lt;=0,"",E17*(((1+Q17)/(1+N17))+((1+Q17)/(1+N17))^2+((1+Q17)/(1+N17))^3+((1+Q17)/(1+N17))^4+((1+Q17)/(1+N17))^5)+E17*(1+Q17)^5*(1+R17)/((N17-R17)*(1+N17)^5)),""))</f>
        <v/>
      </c>
      <c r="T17" s="9">
        <f>IF(OR(E17="",N17=""),"",IFERROR((C17*N17-E17)/(C17+E17),""))</f>
        <v/>
      </c>
      <c r="U17" s="9">
        <f>IF(OR(H17="",T17=""),"",IFERROR(MIN(MAX(H17,'Léeme'!$B$17),'Léeme'!$B$18)-T17,""))</f>
        <v/>
      </c>
      <c r="V17" s="16">
        <f>IF(OR(I17="",M17="",L17=""),"",IFERROR((I17/M17-J17-K17)/L17,""))</f>
        <v/>
      </c>
      <c r="W17" s="11">
        <f>IFERROR(P17/C17-1,"")</f>
        <v/>
      </c>
      <c r="X17" s="11">
        <f>IFERROR(S17/C17-1,"")</f>
        <v/>
      </c>
      <c r="Y17" s="11">
        <f>IFERROR(V17/C17-1,"")</f>
        <v/>
      </c>
      <c r="Z17" s="3">
        <f>IF(OR(W17="",ISTEXT(W17)),"sin dato",IF(W17&gt;='Léeme'!$B$19,"barato",IF(W17&lt;=-'Léeme'!$B$19,"caro","medio")))</f>
        <v/>
      </c>
      <c r="AA17" s="3">
        <f>IF(OR(X17="",ISTEXT(X17)),"sin dato",IF(X17&gt;='Léeme'!$B$19,"barato",IF(X17&lt;=-'Léeme'!$B$19,"caro","medio")))</f>
        <v/>
      </c>
      <c r="AB17" s="3">
        <f>IF(OR(U17="",ISTEXT(U17)),"sin dato",IF(U17&gt;='Léeme'!$B$20,"barato",IF(U17&lt;=-'Léeme'!$B$20,"caro","medio")))</f>
        <v/>
      </c>
      <c r="AC17" s="3">
        <f>IF(OR(Y17="",ISTEXT(Y17)),"sin dato",IF(Y17&gt;='Léeme'!$B$19,"barato",IF(Y17&lt;=-'Léeme'!$B$19,"caro","medio")))</f>
        <v/>
      </c>
      <c r="AD17" s="7" t="n"/>
      <c r="AE17" s="7" t="n"/>
      <c r="AF17" s="7" t="n"/>
      <c r="AG17" s="7" t="n"/>
    </row>
    <row r="18">
      <c r="A18" s="3" t="inlineStr">
        <is>
          <t>1998-T4</t>
        </is>
      </c>
      <c r="B18" s="13" t="n">
        <v>36160</v>
      </c>
      <c r="C18" s="14" t="n">
        <v>12.4375</v>
      </c>
      <c r="D18" s="14" t="n">
        <v>1.02</v>
      </c>
      <c r="E18" s="14" t="n">
        <v>1.11</v>
      </c>
      <c r="F18" s="5" t="n">
        <v>0.04650000000000001</v>
      </c>
      <c r="N18" s="9">
        <f>IF(F18="","",F18+'Léeme'!$B$10)</f>
        <v/>
      </c>
      <c r="O18" s="9">
        <f>IF(OR(G18="",N18=""),"",MIN(MAX(G18,'Léeme'!$B$11),'Léeme'!$B$12,N18-'Léeme'!$B$16))</f>
        <v/>
      </c>
      <c r="P18" s="16">
        <f>IF(OR(D18="",O18=""),"",IFERROR(IF(D18&lt;=0,"",D18*(1+O18)/(N18-O18)),""))</f>
        <v/>
      </c>
      <c r="Q18" s="9">
        <f>IF(H18="","",MIN(MAX(H18,'Léeme'!$B$13),'Léeme'!$B$14))</f>
        <v/>
      </c>
      <c r="R18" s="9">
        <f>IF(N18="","",MIN('Léeme'!$B$15,N18-'Léeme'!$B$16))</f>
        <v/>
      </c>
      <c r="S18" s="16">
        <f>IF(OR(E18="",Q18=""),"",IFERROR(IF(E18&lt;=0,"",E18*(((1+Q18)/(1+N18))+((1+Q18)/(1+N18))^2+((1+Q18)/(1+N18))^3+((1+Q18)/(1+N18))^4+((1+Q18)/(1+N18))^5)+E18*(1+Q18)^5*(1+R18)/((N18-R18)*(1+N18)^5)),""))</f>
        <v/>
      </c>
      <c r="T18" s="9">
        <f>IF(OR(E18="",N18=""),"",IFERROR((C18*N18-E18)/(C18+E18),""))</f>
        <v/>
      </c>
      <c r="U18" s="9">
        <f>IF(OR(H18="",T18=""),"",IFERROR(MIN(MAX(H18,'Léeme'!$B$17),'Léeme'!$B$18)-T18,""))</f>
        <v/>
      </c>
      <c r="V18" s="16">
        <f>IF(OR(I18="",M18="",L18=""),"",IFERROR((I18/M18-J18-K18)/L18,""))</f>
        <v/>
      </c>
      <c r="W18" s="11">
        <f>IFERROR(P18/C18-1,"")</f>
        <v/>
      </c>
      <c r="X18" s="11">
        <f>IFERROR(S18/C18-1,"")</f>
        <v/>
      </c>
      <c r="Y18" s="11">
        <f>IFERROR(V18/C18-1,"")</f>
        <v/>
      </c>
      <c r="Z18" s="3">
        <f>IF(OR(W18="",ISTEXT(W18)),"sin dato",IF(W18&gt;='Léeme'!$B$19,"barato",IF(W18&lt;=-'Léeme'!$B$19,"caro","medio")))</f>
        <v/>
      </c>
      <c r="AA18" s="3">
        <f>IF(OR(X18="",ISTEXT(X18)),"sin dato",IF(X18&gt;='Léeme'!$B$19,"barato",IF(X18&lt;=-'Léeme'!$B$19,"caro","medio")))</f>
        <v/>
      </c>
      <c r="AB18" s="3">
        <f>IF(OR(U18="",ISTEXT(U18)),"sin dato",IF(U18&gt;='Léeme'!$B$20,"barato",IF(U18&lt;=-'Léeme'!$B$20,"caro","medio")))</f>
        <v/>
      </c>
      <c r="AC18" s="3">
        <f>IF(OR(Y18="",ISTEXT(Y18)),"sin dato",IF(Y18&gt;='Léeme'!$B$19,"barato",IF(Y18&lt;=-'Léeme'!$B$19,"caro","medio")))</f>
        <v/>
      </c>
      <c r="AD18" s="7" t="n"/>
      <c r="AE18" s="7" t="n"/>
      <c r="AF18" s="7" t="n"/>
      <c r="AG18" s="7" t="n"/>
    </row>
    <row r="19">
      <c r="A19" s="3" t="inlineStr">
        <is>
          <t>1999-T1</t>
        </is>
      </c>
      <c r="B19" s="13" t="n">
        <v>36250</v>
      </c>
      <c r="C19" s="14" t="n">
        <v>10.500001</v>
      </c>
      <c r="D19" s="14" t="n">
        <v>1.032</v>
      </c>
      <c r="E19" s="14" t="n">
        <v>1.18</v>
      </c>
      <c r="F19" s="5" t="n">
        <v>0.0525</v>
      </c>
      <c r="N19" s="9">
        <f>IF(F19="","",F19+'Léeme'!$B$10)</f>
        <v/>
      </c>
      <c r="O19" s="9">
        <f>IF(OR(G19="",N19=""),"",MIN(MAX(G19,'Léeme'!$B$11),'Léeme'!$B$12,N19-'Léeme'!$B$16))</f>
        <v/>
      </c>
      <c r="P19" s="16">
        <f>IF(OR(D19="",O19=""),"",IFERROR(IF(D19&lt;=0,"",D19*(1+O19)/(N19-O19)),""))</f>
        <v/>
      </c>
      <c r="Q19" s="9">
        <f>IF(H19="","",MIN(MAX(H19,'Léeme'!$B$13),'Léeme'!$B$14))</f>
        <v/>
      </c>
      <c r="R19" s="9">
        <f>IF(N19="","",MIN('Léeme'!$B$15,N19-'Léeme'!$B$16))</f>
        <v/>
      </c>
      <c r="S19" s="16">
        <f>IF(OR(E19="",Q19=""),"",IFERROR(IF(E19&lt;=0,"",E19*(((1+Q19)/(1+N19))+((1+Q19)/(1+N19))^2+((1+Q19)/(1+N19))^3+((1+Q19)/(1+N19))^4+((1+Q19)/(1+N19))^5)+E19*(1+Q19)^5*(1+R19)/((N19-R19)*(1+N19)^5)),""))</f>
        <v/>
      </c>
      <c r="T19" s="9">
        <f>IF(OR(E19="",N19=""),"",IFERROR((C19*N19-E19)/(C19+E19),""))</f>
        <v/>
      </c>
      <c r="U19" s="9">
        <f>IF(OR(H19="",T19=""),"",IFERROR(MIN(MAX(H19,'Léeme'!$B$17),'Léeme'!$B$18)-T19,""))</f>
        <v/>
      </c>
      <c r="V19" s="16">
        <f>IF(OR(I19="",M19="",L19=""),"",IFERROR((I19/M19-J19-K19)/L19,""))</f>
        <v/>
      </c>
      <c r="W19" s="11">
        <f>IFERROR(P19/C19-1,"")</f>
        <v/>
      </c>
      <c r="X19" s="11">
        <f>IFERROR(S19/C19-1,"")</f>
        <v/>
      </c>
      <c r="Y19" s="11">
        <f>IFERROR(V19/C19-1,"")</f>
        <v/>
      </c>
      <c r="Z19" s="3">
        <f>IF(OR(W19="",ISTEXT(W19)),"sin dato",IF(W19&gt;='Léeme'!$B$19,"barato",IF(W19&lt;=-'Léeme'!$B$19,"caro","medio")))</f>
        <v/>
      </c>
      <c r="AA19" s="3">
        <f>IF(OR(X19="",ISTEXT(X19)),"sin dato",IF(X19&gt;='Léeme'!$B$19,"barato",IF(X19&lt;=-'Léeme'!$B$19,"caro","medio")))</f>
        <v/>
      </c>
      <c r="AB19" s="3">
        <f>IF(OR(U19="",ISTEXT(U19)),"sin dato",IF(U19&gt;='Léeme'!$B$20,"barato",IF(U19&lt;=-'Léeme'!$B$20,"caro","medio")))</f>
        <v/>
      </c>
      <c r="AC19" s="3">
        <f>IF(OR(Y19="",ISTEXT(Y19)),"sin dato",IF(Y19&gt;='Léeme'!$B$19,"barato",IF(Y19&lt;=-'Léeme'!$B$19,"caro","medio")))</f>
        <v/>
      </c>
      <c r="AD19" s="7" t="n"/>
      <c r="AE19" s="7" t="n"/>
      <c r="AF19" s="7" t="n"/>
      <c r="AG19" s="7" t="n"/>
    </row>
    <row r="20">
      <c r="A20" s="3" t="inlineStr">
        <is>
          <t>1999-T2</t>
        </is>
      </c>
      <c r="B20" s="13" t="n">
        <v>36341</v>
      </c>
      <c r="C20" s="14" t="n">
        <v>11.875</v>
      </c>
      <c r="D20" s="14" t="n">
        <v>1.05</v>
      </c>
      <c r="E20" s="14" t="n">
        <v>1.18</v>
      </c>
      <c r="F20" s="5" t="n">
        <v>0.0581</v>
      </c>
      <c r="N20" s="9">
        <f>IF(F20="","",F20+'Léeme'!$B$10)</f>
        <v/>
      </c>
      <c r="O20" s="9">
        <f>IF(OR(G20="",N20=""),"",MIN(MAX(G20,'Léeme'!$B$11),'Léeme'!$B$12,N20-'Léeme'!$B$16))</f>
        <v/>
      </c>
      <c r="P20" s="16">
        <f>IF(OR(D20="",O20=""),"",IFERROR(IF(D20&lt;=0,"",D20*(1+O20)/(N20-O20)),""))</f>
        <v/>
      </c>
      <c r="Q20" s="9">
        <f>IF(H20="","",MIN(MAX(H20,'Léeme'!$B$13),'Léeme'!$B$14))</f>
        <v/>
      </c>
      <c r="R20" s="9">
        <f>IF(N20="","",MIN('Léeme'!$B$15,N20-'Léeme'!$B$16))</f>
        <v/>
      </c>
      <c r="S20" s="16">
        <f>IF(OR(E20="",Q20=""),"",IFERROR(IF(E20&lt;=0,"",E20*(((1+Q20)/(1+N20))+((1+Q20)/(1+N20))^2+((1+Q20)/(1+N20))^3+((1+Q20)/(1+N20))^4+((1+Q20)/(1+N20))^5)+E20*(1+Q20)^5*(1+R20)/((N20-R20)*(1+N20)^5)),""))</f>
        <v/>
      </c>
      <c r="T20" s="9">
        <f>IF(OR(E20="",N20=""),"",IFERROR((C20*N20-E20)/(C20+E20),""))</f>
        <v/>
      </c>
      <c r="U20" s="9">
        <f>IF(OR(H20="",T20=""),"",IFERROR(MIN(MAX(H20,'Léeme'!$B$17),'Léeme'!$B$18)-T20,""))</f>
        <v/>
      </c>
      <c r="V20" s="16">
        <f>IF(OR(I20="",M20="",L20=""),"",IFERROR((I20/M20-J20-K20)/L20,""))</f>
        <v/>
      </c>
      <c r="W20" s="11">
        <f>IFERROR(P20/C20-1,"")</f>
        <v/>
      </c>
      <c r="X20" s="11">
        <f>IFERROR(S20/C20-1,"")</f>
        <v/>
      </c>
      <c r="Y20" s="11">
        <f>IFERROR(V20/C20-1,"")</f>
        <v/>
      </c>
      <c r="Z20" s="3">
        <f>IF(OR(W20="",ISTEXT(W20)),"sin dato",IF(W20&gt;='Léeme'!$B$19,"barato",IF(W20&lt;=-'Léeme'!$B$19,"caro","medio")))</f>
        <v/>
      </c>
      <c r="AA20" s="3">
        <f>IF(OR(X20="",ISTEXT(X20)),"sin dato",IF(X20&gt;='Léeme'!$B$19,"barato",IF(X20&lt;=-'Léeme'!$B$19,"caro","medio")))</f>
        <v/>
      </c>
      <c r="AB20" s="3">
        <f>IF(OR(U20="",ISTEXT(U20)),"sin dato",IF(U20&gt;='Léeme'!$B$20,"barato",IF(U20&lt;=-'Léeme'!$B$20,"caro","medio")))</f>
        <v/>
      </c>
      <c r="AC20" s="3">
        <f>IF(OR(Y20="",ISTEXT(Y20)),"sin dato",IF(Y20&gt;='Léeme'!$B$19,"barato",IF(Y20&lt;=-'Léeme'!$B$19,"caro","medio")))</f>
        <v/>
      </c>
      <c r="AD20" s="7" t="n"/>
      <c r="AE20" s="7" t="n"/>
      <c r="AF20" s="7" t="n"/>
      <c r="AG20" s="7" t="n"/>
    </row>
    <row r="21">
      <c r="A21" s="3" t="inlineStr">
        <is>
          <t>1999-T3</t>
        </is>
      </c>
      <c r="B21" s="13" t="n">
        <v>36433</v>
      </c>
      <c r="C21" s="14" t="n">
        <v>11.5625</v>
      </c>
      <c r="D21" s="14" t="n">
        <v>1.068</v>
      </c>
      <c r="E21" s="14" t="n">
        <v>1.18</v>
      </c>
      <c r="F21" s="5" t="n">
        <v>0.059</v>
      </c>
      <c r="N21" s="9">
        <f>IF(F21="","",F21+'Léeme'!$B$10)</f>
        <v/>
      </c>
      <c r="O21" s="9">
        <f>IF(OR(G21="",N21=""),"",MIN(MAX(G21,'Léeme'!$B$11),'Léeme'!$B$12,N21-'Léeme'!$B$16))</f>
        <v/>
      </c>
      <c r="P21" s="16">
        <f>IF(OR(D21="",O21=""),"",IFERROR(IF(D21&lt;=0,"",D21*(1+O21)/(N21-O21)),""))</f>
        <v/>
      </c>
      <c r="Q21" s="9">
        <f>IF(H21="","",MIN(MAX(H21,'Léeme'!$B$13),'Léeme'!$B$14))</f>
        <v/>
      </c>
      <c r="R21" s="9">
        <f>IF(N21="","",MIN('Léeme'!$B$15,N21-'Léeme'!$B$16))</f>
        <v/>
      </c>
      <c r="S21" s="16">
        <f>IF(OR(E21="",Q21=""),"",IFERROR(IF(E21&lt;=0,"",E21*(((1+Q21)/(1+N21))+((1+Q21)/(1+N21))^2+((1+Q21)/(1+N21))^3+((1+Q21)/(1+N21))^4+((1+Q21)/(1+N21))^5)+E21*(1+Q21)^5*(1+R21)/((N21-R21)*(1+N21)^5)),""))</f>
        <v/>
      </c>
      <c r="T21" s="9">
        <f>IF(OR(E21="",N21=""),"",IFERROR((C21*N21-E21)/(C21+E21),""))</f>
        <v/>
      </c>
      <c r="U21" s="9">
        <f>IF(OR(H21="",T21=""),"",IFERROR(MIN(MAX(H21,'Léeme'!$B$17),'Léeme'!$B$18)-T21,""))</f>
        <v/>
      </c>
      <c r="V21" s="16">
        <f>IF(OR(I21="",M21="",L21=""),"",IFERROR((I21/M21-J21-K21)/L21,""))</f>
        <v/>
      </c>
      <c r="W21" s="11">
        <f>IFERROR(P21/C21-1,"")</f>
        <v/>
      </c>
      <c r="X21" s="11">
        <f>IFERROR(S21/C21-1,"")</f>
        <v/>
      </c>
      <c r="Y21" s="11">
        <f>IFERROR(V21/C21-1,"")</f>
        <v/>
      </c>
      <c r="Z21" s="3">
        <f>IF(OR(W21="",ISTEXT(W21)),"sin dato",IF(W21&gt;='Léeme'!$B$19,"barato",IF(W21&lt;=-'Léeme'!$B$19,"caro","medio")))</f>
        <v/>
      </c>
      <c r="AA21" s="3">
        <f>IF(OR(X21="",ISTEXT(X21)),"sin dato",IF(X21&gt;='Léeme'!$B$19,"barato",IF(X21&lt;=-'Léeme'!$B$19,"caro","medio")))</f>
        <v/>
      </c>
      <c r="AB21" s="3">
        <f>IF(OR(U21="",ISTEXT(U21)),"sin dato",IF(U21&gt;='Léeme'!$B$20,"barato",IF(U21&lt;=-'Léeme'!$B$20,"caro","medio")))</f>
        <v/>
      </c>
      <c r="AC21" s="3">
        <f>IF(OR(Y21="",ISTEXT(Y21)),"sin dato",IF(Y21&gt;='Léeme'!$B$19,"barato",IF(Y21&lt;=-'Léeme'!$B$19,"caro","medio")))</f>
        <v/>
      </c>
      <c r="AD21" s="7" t="n"/>
      <c r="AE21" s="7" t="n"/>
      <c r="AF21" s="7" t="n"/>
      <c r="AG21" s="7" t="n"/>
    </row>
    <row r="22">
      <c r="A22" s="3" t="inlineStr">
        <is>
          <t>1999-T4</t>
        </is>
      </c>
      <c r="B22" s="13" t="n">
        <v>36525</v>
      </c>
      <c r="C22" s="14" t="n">
        <v>10.3125</v>
      </c>
      <c r="D22" s="14" t="n">
        <v>1.08</v>
      </c>
      <c r="E22" s="14" t="n">
        <v>1.18</v>
      </c>
      <c r="F22" s="5" t="n">
        <v>0.0645</v>
      </c>
      <c r="G22" s="5" t="n">
        <v>0.03713728933664817</v>
      </c>
      <c r="N22" s="9">
        <f>IF(F22="","",F22+'Léeme'!$B$10)</f>
        <v/>
      </c>
      <c r="O22" s="9">
        <f>IF(OR(G22="",N22=""),"",MIN(MAX(G22,'Léeme'!$B$11),'Léeme'!$B$12,N22-'Léeme'!$B$16))</f>
        <v/>
      </c>
      <c r="P22" s="16">
        <f>IF(OR(D22="",O22=""),"",IFERROR(IF(D22&lt;=0,"",D22*(1+O22)/(N22-O22)),""))</f>
        <v/>
      </c>
      <c r="Q22" s="9">
        <f>IF(H22="","",MIN(MAX(H22,'Léeme'!$B$13),'Léeme'!$B$14))</f>
        <v/>
      </c>
      <c r="R22" s="9">
        <f>IF(N22="","",MIN('Léeme'!$B$15,N22-'Léeme'!$B$16))</f>
        <v/>
      </c>
      <c r="S22" s="16">
        <f>IF(OR(E22="",Q22=""),"",IFERROR(IF(E22&lt;=0,"",E22*(((1+Q22)/(1+N22))+((1+Q22)/(1+N22))^2+((1+Q22)/(1+N22))^3+((1+Q22)/(1+N22))^4+((1+Q22)/(1+N22))^5)+E22*(1+Q22)^5*(1+R22)/((N22-R22)*(1+N22)^5)),""))</f>
        <v/>
      </c>
      <c r="T22" s="9">
        <f>IF(OR(E22="",N22=""),"",IFERROR((C22*N22-E22)/(C22+E22),""))</f>
        <v/>
      </c>
      <c r="U22" s="9">
        <f>IF(OR(H22="",T22=""),"",IFERROR(MIN(MAX(H22,'Léeme'!$B$17),'Léeme'!$B$18)-T22,""))</f>
        <v/>
      </c>
      <c r="V22" s="16">
        <f>IF(OR(I22="",M22="",L22=""),"",IFERROR((I22/M22-J22-K22)/L22,""))</f>
        <v/>
      </c>
      <c r="W22" s="11">
        <f>IFERROR(P22/C22-1,"")</f>
        <v/>
      </c>
      <c r="X22" s="11">
        <f>IFERROR(S22/C22-1,"")</f>
        <v/>
      </c>
      <c r="Y22" s="11">
        <f>IFERROR(V22/C22-1,"")</f>
        <v/>
      </c>
      <c r="Z22" s="3">
        <f>IF(OR(W22="",ISTEXT(W22)),"sin dato",IF(W22&gt;='Léeme'!$B$19,"barato",IF(W22&lt;=-'Léeme'!$B$19,"caro","medio")))</f>
        <v/>
      </c>
      <c r="AA22" s="3">
        <f>IF(OR(X22="",ISTEXT(X22)),"sin dato",IF(X22&gt;='Léeme'!$B$19,"barato",IF(X22&lt;=-'Léeme'!$B$19,"caro","medio")))</f>
        <v/>
      </c>
      <c r="AB22" s="3">
        <f>IF(OR(U22="",ISTEXT(U22)),"sin dato",IF(U22&gt;='Léeme'!$B$20,"barato",IF(U22&lt;=-'Léeme'!$B$20,"caro","medio")))</f>
        <v/>
      </c>
      <c r="AC22" s="3">
        <f>IF(OR(Y22="",ISTEXT(Y22)),"sin dato",IF(Y22&gt;='Léeme'!$B$19,"barato",IF(Y22&lt;=-'Léeme'!$B$19,"caro","medio")))</f>
        <v/>
      </c>
      <c r="AD22" s="7" t="n"/>
      <c r="AE22" s="7" t="n"/>
      <c r="AF22" s="7" t="n"/>
      <c r="AG22" s="7" t="n"/>
    </row>
    <row r="23">
      <c r="A23" s="3" t="inlineStr">
        <is>
          <t>2000-T1</t>
        </is>
      </c>
      <c r="B23" s="13" t="n">
        <v>36616</v>
      </c>
      <c r="C23" s="14" t="n">
        <v>9.624999000000001</v>
      </c>
      <c r="D23" s="14" t="n">
        <v>1.086</v>
      </c>
      <c r="E23" s="14" t="n">
        <v>1.2285</v>
      </c>
      <c r="F23" s="5" t="n">
        <v>0.0603</v>
      </c>
      <c r="G23" s="5" t="n">
        <v>0.03828711177281741</v>
      </c>
      <c r="N23" s="9">
        <f>IF(F23="","",F23+'Léeme'!$B$10)</f>
        <v/>
      </c>
      <c r="O23" s="9">
        <f>IF(OR(G23="",N23=""),"",MIN(MAX(G23,'Léeme'!$B$11),'Léeme'!$B$12,N23-'Léeme'!$B$16))</f>
        <v/>
      </c>
      <c r="P23" s="16">
        <f>IF(OR(D23="",O23=""),"",IFERROR(IF(D23&lt;=0,"",D23*(1+O23)/(N23-O23)),""))</f>
        <v/>
      </c>
      <c r="Q23" s="9">
        <f>IF(H23="","",MIN(MAX(H23,'Léeme'!$B$13),'Léeme'!$B$14))</f>
        <v/>
      </c>
      <c r="R23" s="9">
        <f>IF(N23="","",MIN('Léeme'!$B$15,N23-'Léeme'!$B$16))</f>
        <v/>
      </c>
      <c r="S23" s="16">
        <f>IF(OR(E23="",Q23=""),"",IFERROR(IF(E23&lt;=0,"",E23*(((1+Q23)/(1+N23))+((1+Q23)/(1+N23))^2+((1+Q23)/(1+N23))^3+((1+Q23)/(1+N23))^4+((1+Q23)/(1+N23))^5)+E23*(1+Q23)^5*(1+R23)/((N23-R23)*(1+N23)^5)),""))</f>
        <v/>
      </c>
      <c r="T23" s="9">
        <f>IF(OR(E23="",N23=""),"",IFERROR((C23*N23-E23)/(C23+E23),""))</f>
        <v/>
      </c>
      <c r="U23" s="9">
        <f>IF(OR(H23="",T23=""),"",IFERROR(MIN(MAX(H23,'Léeme'!$B$17),'Léeme'!$B$18)-T23,""))</f>
        <v/>
      </c>
      <c r="V23" s="16">
        <f>IF(OR(I23="",M23="",L23=""),"",IFERROR((I23/M23-J23-K23)/L23,""))</f>
        <v/>
      </c>
      <c r="W23" s="11">
        <f>IFERROR(P23/C23-1,"")</f>
        <v/>
      </c>
      <c r="X23" s="11">
        <f>IFERROR(S23/C23-1,"")</f>
        <v/>
      </c>
      <c r="Y23" s="11">
        <f>IFERROR(V23/C23-1,"")</f>
        <v/>
      </c>
      <c r="Z23" s="3">
        <f>IF(OR(W23="",ISTEXT(W23)),"sin dato",IF(W23&gt;='Léeme'!$B$19,"barato",IF(W23&lt;=-'Léeme'!$B$19,"caro","medio")))</f>
        <v/>
      </c>
      <c r="AA23" s="3">
        <f>IF(OR(X23="",ISTEXT(X23)),"sin dato",IF(X23&gt;='Léeme'!$B$19,"barato",IF(X23&lt;=-'Léeme'!$B$19,"caro","medio")))</f>
        <v/>
      </c>
      <c r="AB23" s="3">
        <f>IF(OR(U23="",ISTEXT(U23)),"sin dato",IF(U23&gt;='Léeme'!$B$20,"barato",IF(U23&lt;=-'Léeme'!$B$20,"caro","medio")))</f>
        <v/>
      </c>
      <c r="AC23" s="3">
        <f>IF(OR(Y23="",ISTEXT(Y23)),"sin dato",IF(Y23&gt;='Léeme'!$B$19,"barato",IF(Y23&lt;=-'Léeme'!$B$19,"caro","medio")))</f>
        <v/>
      </c>
      <c r="AD23" s="7" t="n"/>
      <c r="AE23" s="7" t="n"/>
      <c r="AF23" s="7" t="n"/>
      <c r="AG23" s="7" t="n"/>
    </row>
    <row r="24">
      <c r="A24" s="3" t="inlineStr">
        <is>
          <t>2000-T2</t>
        </is>
      </c>
      <c r="B24" s="13" t="n">
        <v>36707</v>
      </c>
      <c r="C24" s="14" t="n">
        <v>11.789062</v>
      </c>
      <c r="D24" s="14" t="n">
        <v>1.098</v>
      </c>
      <c r="E24" s="14" t="n">
        <v>1.2285</v>
      </c>
      <c r="F24" s="5" t="n">
        <v>0.0603</v>
      </c>
      <c r="G24" s="5" t="n">
        <v>0.04057159395880827</v>
      </c>
      <c r="N24" s="9">
        <f>IF(F24="","",F24+'Léeme'!$B$10)</f>
        <v/>
      </c>
      <c r="O24" s="9">
        <f>IF(OR(G24="",N24=""),"",MIN(MAX(G24,'Léeme'!$B$11),'Léeme'!$B$12,N24-'Léeme'!$B$16))</f>
        <v/>
      </c>
      <c r="P24" s="16">
        <f>IF(OR(D24="",O24=""),"",IFERROR(IF(D24&lt;=0,"",D24*(1+O24)/(N24-O24)),""))</f>
        <v/>
      </c>
      <c r="Q24" s="9">
        <f>IF(H24="","",MIN(MAX(H24,'Léeme'!$B$13),'Léeme'!$B$14))</f>
        <v/>
      </c>
      <c r="R24" s="9">
        <f>IF(N24="","",MIN('Léeme'!$B$15,N24-'Léeme'!$B$16))</f>
        <v/>
      </c>
      <c r="S24" s="16">
        <f>IF(OR(E24="",Q24=""),"",IFERROR(IF(E24&lt;=0,"",E24*(((1+Q24)/(1+N24))+((1+Q24)/(1+N24))^2+((1+Q24)/(1+N24))^3+((1+Q24)/(1+N24))^4+((1+Q24)/(1+N24))^5)+E24*(1+Q24)^5*(1+R24)/((N24-R24)*(1+N24)^5)),""))</f>
        <v/>
      </c>
      <c r="T24" s="9">
        <f>IF(OR(E24="",N24=""),"",IFERROR((C24*N24-E24)/(C24+E24),""))</f>
        <v/>
      </c>
      <c r="U24" s="9">
        <f>IF(OR(H24="",T24=""),"",IFERROR(MIN(MAX(H24,'Léeme'!$B$17),'Léeme'!$B$18)-T24,""))</f>
        <v/>
      </c>
      <c r="V24" s="16">
        <f>IF(OR(I24="",M24="",L24=""),"",IFERROR((I24/M24-J24-K24)/L24,""))</f>
        <v/>
      </c>
      <c r="W24" s="11">
        <f>IFERROR(P24/C24-1,"")</f>
        <v/>
      </c>
      <c r="X24" s="11">
        <f>IFERROR(S24/C24-1,"")</f>
        <v/>
      </c>
      <c r="Y24" s="11">
        <f>IFERROR(V24/C24-1,"")</f>
        <v/>
      </c>
      <c r="Z24" s="3">
        <f>IF(OR(W24="",ISTEXT(W24)),"sin dato",IF(W24&gt;='Léeme'!$B$19,"barato",IF(W24&lt;=-'Léeme'!$B$19,"caro","medio")))</f>
        <v/>
      </c>
      <c r="AA24" s="3">
        <f>IF(OR(X24="",ISTEXT(X24)),"sin dato",IF(X24&gt;='Léeme'!$B$19,"barato",IF(X24&lt;=-'Léeme'!$B$19,"caro","medio")))</f>
        <v/>
      </c>
      <c r="AB24" s="3">
        <f>IF(OR(U24="",ISTEXT(U24)),"sin dato",IF(U24&gt;='Léeme'!$B$20,"barato",IF(U24&lt;=-'Léeme'!$B$20,"caro","medio")))</f>
        <v/>
      </c>
      <c r="AC24" s="3">
        <f>IF(OR(Y24="",ISTEXT(Y24)),"sin dato",IF(Y24&gt;='Léeme'!$B$19,"barato",IF(Y24&lt;=-'Léeme'!$B$19,"caro","medio")))</f>
        <v/>
      </c>
      <c r="AD24" s="7" t="n"/>
      <c r="AE24" s="7" t="n"/>
      <c r="AF24" s="7" t="n"/>
      <c r="AG24" s="7" t="n"/>
    </row>
    <row r="25">
      <c r="A25" s="3" t="inlineStr">
        <is>
          <t>2000-T3</t>
        </is>
      </c>
      <c r="B25" s="13" t="n">
        <v>36798</v>
      </c>
      <c r="C25" s="14" t="n">
        <v>11.65625</v>
      </c>
      <c r="D25" s="14" t="n">
        <v>1.104</v>
      </c>
      <c r="E25" s="14" t="n">
        <v>1.2285</v>
      </c>
      <c r="F25" s="5" t="n">
        <v>0.058</v>
      </c>
      <c r="G25" s="5" t="n">
        <v>0.03489723107282572</v>
      </c>
      <c r="N25" s="9">
        <f>IF(F25="","",F25+'Léeme'!$B$10)</f>
        <v/>
      </c>
      <c r="O25" s="9">
        <f>IF(OR(G25="",N25=""),"",MIN(MAX(G25,'Léeme'!$B$11),'Léeme'!$B$12,N25-'Léeme'!$B$16))</f>
        <v/>
      </c>
      <c r="P25" s="16">
        <f>IF(OR(D25="",O25=""),"",IFERROR(IF(D25&lt;=0,"",D25*(1+O25)/(N25-O25)),""))</f>
        <v/>
      </c>
      <c r="Q25" s="9">
        <f>IF(H25="","",MIN(MAX(H25,'Léeme'!$B$13),'Léeme'!$B$14))</f>
        <v/>
      </c>
      <c r="R25" s="9">
        <f>IF(N25="","",MIN('Léeme'!$B$15,N25-'Léeme'!$B$16))</f>
        <v/>
      </c>
      <c r="S25" s="16">
        <f>IF(OR(E25="",Q25=""),"",IFERROR(IF(E25&lt;=0,"",E25*(((1+Q25)/(1+N25))+((1+Q25)/(1+N25))^2+((1+Q25)/(1+N25))^3+((1+Q25)/(1+N25))^4+((1+Q25)/(1+N25))^5)+E25*(1+Q25)^5*(1+R25)/((N25-R25)*(1+N25)^5)),""))</f>
        <v/>
      </c>
      <c r="T25" s="9">
        <f>IF(OR(E25="",N25=""),"",IFERROR((C25*N25-E25)/(C25+E25),""))</f>
        <v/>
      </c>
      <c r="U25" s="9">
        <f>IF(OR(H25="",T25=""),"",IFERROR(MIN(MAX(H25,'Léeme'!$B$17),'Léeme'!$B$18)-T25,""))</f>
        <v/>
      </c>
      <c r="V25" s="16">
        <f>IF(OR(I25="",M25="",L25=""),"",IFERROR((I25/M25-J25-K25)/L25,""))</f>
        <v/>
      </c>
      <c r="W25" s="11">
        <f>IFERROR(P25/C25-1,"")</f>
        <v/>
      </c>
      <c r="X25" s="11">
        <f>IFERROR(S25/C25-1,"")</f>
        <v/>
      </c>
      <c r="Y25" s="11">
        <f>IFERROR(V25/C25-1,"")</f>
        <v/>
      </c>
      <c r="Z25" s="3">
        <f>IF(OR(W25="",ISTEXT(W25)),"sin dato",IF(W25&gt;='Léeme'!$B$19,"barato",IF(W25&lt;=-'Léeme'!$B$19,"caro","medio")))</f>
        <v/>
      </c>
      <c r="AA25" s="3">
        <f>IF(OR(X25="",ISTEXT(X25)),"sin dato",IF(X25&gt;='Léeme'!$B$19,"barato",IF(X25&lt;=-'Léeme'!$B$19,"caro","medio")))</f>
        <v/>
      </c>
      <c r="AB25" s="3">
        <f>IF(OR(U25="",ISTEXT(U25)),"sin dato",IF(U25&gt;='Léeme'!$B$20,"barato",IF(U25&lt;=-'Léeme'!$B$20,"caro","medio")))</f>
        <v/>
      </c>
      <c r="AC25" s="3">
        <f>IF(OR(Y25="",ISTEXT(Y25)),"sin dato",IF(Y25&gt;='Léeme'!$B$19,"barato",IF(Y25&lt;=-'Léeme'!$B$19,"caro","medio")))</f>
        <v/>
      </c>
      <c r="AD25" s="7" t="n"/>
      <c r="AE25" s="7" t="n"/>
      <c r="AF25" s="7" t="n"/>
      <c r="AG25" s="7" t="n"/>
    </row>
    <row r="26">
      <c r="A26" s="3" t="inlineStr">
        <is>
          <t>2000-T4</t>
        </is>
      </c>
      <c r="B26" s="13" t="n">
        <v>36889</v>
      </c>
      <c r="C26" s="14" t="n">
        <v>12.4375</v>
      </c>
      <c r="D26" s="14" t="n">
        <v>1.11</v>
      </c>
      <c r="E26" s="14" t="n">
        <v>1.2285</v>
      </c>
      <c r="F26" s="5" t="n">
        <v>0.0512</v>
      </c>
      <c r="G26" s="5" t="n">
        <v>0.03601968190208304</v>
      </c>
      <c r="N26" s="9">
        <f>IF(F26="","",F26+'Léeme'!$B$10)</f>
        <v/>
      </c>
      <c r="O26" s="9">
        <f>IF(OR(G26="",N26=""),"",MIN(MAX(G26,'Léeme'!$B$11),'Léeme'!$B$12,N26-'Léeme'!$B$16))</f>
        <v/>
      </c>
      <c r="P26" s="16">
        <f>IF(OR(D26="",O26=""),"",IFERROR(IF(D26&lt;=0,"",D26*(1+O26)/(N26-O26)),""))</f>
        <v/>
      </c>
      <c r="Q26" s="9">
        <f>IF(H26="","",MIN(MAX(H26,'Léeme'!$B$13),'Léeme'!$B$14))</f>
        <v/>
      </c>
      <c r="R26" s="9">
        <f>IF(N26="","",MIN('Léeme'!$B$15,N26-'Léeme'!$B$16))</f>
        <v/>
      </c>
      <c r="S26" s="16">
        <f>IF(OR(E26="",Q26=""),"",IFERROR(IF(E26&lt;=0,"",E26*(((1+Q26)/(1+N26))+((1+Q26)/(1+N26))^2+((1+Q26)/(1+N26))^3+((1+Q26)/(1+N26))^4+((1+Q26)/(1+N26))^5)+E26*(1+Q26)^5*(1+R26)/((N26-R26)*(1+N26)^5)),""))</f>
        <v/>
      </c>
      <c r="T26" s="9">
        <f>IF(OR(E26="",N26=""),"",IFERROR((C26*N26-E26)/(C26+E26),""))</f>
        <v/>
      </c>
      <c r="U26" s="9">
        <f>IF(OR(H26="",T26=""),"",IFERROR(MIN(MAX(H26,'Léeme'!$B$17),'Léeme'!$B$18)-T26,""))</f>
        <v/>
      </c>
      <c r="V26" s="16">
        <f>IF(OR(I26="",M26="",L26=""),"",IFERROR((I26/M26-J26-K26)/L26,""))</f>
        <v/>
      </c>
      <c r="W26" s="11">
        <f>IFERROR(P26/C26-1,"")</f>
        <v/>
      </c>
      <c r="X26" s="11">
        <f>IFERROR(S26/C26-1,"")</f>
        <v/>
      </c>
      <c r="Y26" s="11">
        <f>IFERROR(V26/C26-1,"")</f>
        <v/>
      </c>
      <c r="Z26" s="3">
        <f>IF(OR(W26="",ISTEXT(W26)),"sin dato",IF(W26&gt;='Léeme'!$B$19,"barato",IF(W26&lt;=-'Léeme'!$B$19,"caro","medio")))</f>
        <v/>
      </c>
      <c r="AA26" s="3">
        <f>IF(OR(X26="",ISTEXT(X26)),"sin dato",IF(X26&gt;='Léeme'!$B$19,"barato",IF(X26&lt;=-'Léeme'!$B$19,"caro","medio")))</f>
        <v/>
      </c>
      <c r="AB26" s="3">
        <f>IF(OR(U26="",ISTEXT(U26)),"sin dato",IF(U26&gt;='Léeme'!$B$20,"barato",IF(U26&lt;=-'Léeme'!$B$20,"caro","medio")))</f>
        <v/>
      </c>
      <c r="AC26" s="3">
        <f>IF(OR(Y26="",ISTEXT(Y26)),"sin dato",IF(Y26&gt;='Léeme'!$B$19,"barato",IF(Y26&lt;=-'Léeme'!$B$19,"caro","medio")))</f>
        <v/>
      </c>
      <c r="AD26" s="7" t="n"/>
      <c r="AE26" s="7" t="n"/>
      <c r="AF26" s="7" t="n"/>
      <c r="AG26" s="7" t="n"/>
    </row>
    <row r="27">
      <c r="A27" s="3" t="inlineStr">
        <is>
          <t>2001-T1</t>
        </is>
      </c>
      <c r="B27" s="13" t="n">
        <v>36980</v>
      </c>
      <c r="C27" s="14" t="n">
        <v>13.249999</v>
      </c>
      <c r="D27" s="14" t="n">
        <v>1.116</v>
      </c>
      <c r="E27" s="14" t="n">
        <v>1.2285</v>
      </c>
      <c r="F27" s="5" t="n">
        <v>0.0493</v>
      </c>
      <c r="G27" s="5" t="n">
        <v>0.03713728933664817</v>
      </c>
      <c r="N27" s="9">
        <f>IF(F27="","",F27+'Léeme'!$B$10)</f>
        <v/>
      </c>
      <c r="O27" s="9">
        <f>IF(OR(G27="",N27=""),"",MIN(MAX(G27,'Léeme'!$B$11),'Léeme'!$B$12,N27-'Léeme'!$B$16))</f>
        <v/>
      </c>
      <c r="P27" s="16">
        <f>IF(OR(D27="",O27=""),"",IFERROR(IF(D27&lt;=0,"",D27*(1+O27)/(N27-O27)),""))</f>
        <v/>
      </c>
      <c r="Q27" s="9">
        <f>IF(H27="","",MIN(MAX(H27,'Léeme'!$B$13),'Léeme'!$B$14))</f>
        <v/>
      </c>
      <c r="R27" s="9">
        <f>IF(N27="","",MIN('Léeme'!$B$15,N27-'Léeme'!$B$16))</f>
        <v/>
      </c>
      <c r="S27" s="16">
        <f>IF(OR(E27="",Q27=""),"",IFERROR(IF(E27&lt;=0,"",E27*(((1+Q27)/(1+N27))+((1+Q27)/(1+N27))^2+((1+Q27)/(1+N27))^3+((1+Q27)/(1+N27))^4+((1+Q27)/(1+N27))^5)+E27*(1+Q27)^5*(1+R27)/((N27-R27)*(1+N27)^5)),""))</f>
        <v/>
      </c>
      <c r="T27" s="9">
        <f>IF(OR(E27="",N27=""),"",IFERROR((C27*N27-E27)/(C27+E27),""))</f>
        <v/>
      </c>
      <c r="U27" s="9">
        <f>IF(OR(H27="",T27=""),"",IFERROR(MIN(MAX(H27,'Léeme'!$B$17),'Léeme'!$B$18)-T27,""))</f>
        <v/>
      </c>
      <c r="V27" s="16">
        <f>IF(OR(I27="",M27="",L27=""),"",IFERROR((I27/M27-J27-K27)/L27,""))</f>
        <v/>
      </c>
      <c r="W27" s="11">
        <f>IFERROR(P27/C27-1,"")</f>
        <v/>
      </c>
      <c r="X27" s="11">
        <f>IFERROR(S27/C27-1,"")</f>
        <v/>
      </c>
      <c r="Y27" s="11">
        <f>IFERROR(V27/C27-1,"")</f>
        <v/>
      </c>
      <c r="Z27" s="3">
        <f>IF(OR(W27="",ISTEXT(W27)),"sin dato",IF(W27&gt;='Léeme'!$B$19,"barato",IF(W27&lt;=-'Léeme'!$B$19,"caro","medio")))</f>
        <v/>
      </c>
      <c r="AA27" s="3">
        <f>IF(OR(X27="",ISTEXT(X27)),"sin dato",IF(X27&gt;='Léeme'!$B$19,"barato",IF(X27&lt;=-'Léeme'!$B$19,"caro","medio")))</f>
        <v/>
      </c>
      <c r="AB27" s="3">
        <f>IF(OR(U27="",ISTEXT(U27)),"sin dato",IF(U27&gt;='Léeme'!$B$20,"barato",IF(U27&lt;=-'Léeme'!$B$20,"caro","medio")))</f>
        <v/>
      </c>
      <c r="AC27" s="3">
        <f>IF(OR(Y27="",ISTEXT(Y27)),"sin dato",IF(Y27&gt;='Léeme'!$B$19,"barato",IF(Y27&lt;=-'Léeme'!$B$19,"caro","medio")))</f>
        <v/>
      </c>
      <c r="AD27" s="7" t="n"/>
      <c r="AE27" s="7" t="n"/>
      <c r="AF27" s="7" t="n"/>
      <c r="AG27" s="7" t="n"/>
    </row>
    <row r="28">
      <c r="A28" s="3" t="inlineStr">
        <is>
          <t>2001-T2</t>
        </is>
      </c>
      <c r="B28" s="13" t="n">
        <v>37071</v>
      </c>
      <c r="C28" s="14" t="n">
        <v>14.779999</v>
      </c>
      <c r="D28" s="14" t="n">
        <v>1.128</v>
      </c>
      <c r="E28" s="14" t="n">
        <v>1.2585</v>
      </c>
      <c r="F28" s="5" t="n">
        <v>0.0542</v>
      </c>
      <c r="G28" s="5" t="n">
        <v>0.03935816040829931</v>
      </c>
      <c r="N28" s="9">
        <f>IF(F28="","",F28+'Léeme'!$B$10)</f>
        <v/>
      </c>
      <c r="O28" s="9">
        <f>IF(OR(G28="",N28=""),"",MIN(MAX(G28,'Léeme'!$B$11),'Léeme'!$B$12,N28-'Léeme'!$B$16))</f>
        <v/>
      </c>
      <c r="P28" s="16">
        <f>IF(OR(D28="",O28=""),"",IFERROR(IF(D28&lt;=0,"",D28*(1+O28)/(N28-O28)),""))</f>
        <v/>
      </c>
      <c r="Q28" s="9">
        <f>IF(H28="","",MIN(MAX(H28,'Léeme'!$B$13),'Léeme'!$B$14))</f>
        <v/>
      </c>
      <c r="R28" s="9">
        <f>IF(N28="","",MIN('Léeme'!$B$15,N28-'Léeme'!$B$16))</f>
        <v/>
      </c>
      <c r="S28" s="16">
        <f>IF(OR(E28="",Q28=""),"",IFERROR(IF(E28&lt;=0,"",E28*(((1+Q28)/(1+N28))+((1+Q28)/(1+N28))^2+((1+Q28)/(1+N28))^3+((1+Q28)/(1+N28))^4+((1+Q28)/(1+N28))^5)+E28*(1+Q28)^5*(1+R28)/((N28-R28)*(1+N28)^5)),""))</f>
        <v/>
      </c>
      <c r="T28" s="9">
        <f>IF(OR(E28="",N28=""),"",IFERROR((C28*N28-E28)/(C28+E28),""))</f>
        <v/>
      </c>
      <c r="U28" s="9">
        <f>IF(OR(H28="",T28=""),"",IFERROR(MIN(MAX(H28,'Léeme'!$B$17),'Léeme'!$B$18)-T28,""))</f>
        <v/>
      </c>
      <c r="V28" s="16">
        <f>IF(OR(I28="",M28="",L28=""),"",IFERROR((I28/M28-J28-K28)/L28,""))</f>
        <v/>
      </c>
      <c r="W28" s="11">
        <f>IFERROR(P28/C28-1,"")</f>
        <v/>
      </c>
      <c r="X28" s="11">
        <f>IFERROR(S28/C28-1,"")</f>
        <v/>
      </c>
      <c r="Y28" s="11">
        <f>IFERROR(V28/C28-1,"")</f>
        <v/>
      </c>
      <c r="Z28" s="3">
        <f>IF(OR(W28="",ISTEXT(W28)),"sin dato",IF(W28&gt;='Léeme'!$B$19,"barato",IF(W28&lt;=-'Léeme'!$B$19,"caro","medio")))</f>
        <v/>
      </c>
      <c r="AA28" s="3">
        <f>IF(OR(X28="",ISTEXT(X28)),"sin dato",IF(X28&gt;='Léeme'!$B$19,"barato",IF(X28&lt;=-'Léeme'!$B$19,"caro","medio")))</f>
        <v/>
      </c>
      <c r="AB28" s="3">
        <f>IF(OR(U28="",ISTEXT(U28)),"sin dato",IF(U28&gt;='Léeme'!$B$20,"barato",IF(U28&lt;=-'Léeme'!$B$20,"caro","medio")))</f>
        <v/>
      </c>
      <c r="AC28" s="3">
        <f>IF(OR(Y28="",ISTEXT(Y28)),"sin dato",IF(Y28&gt;='Léeme'!$B$19,"barato",IF(Y28&lt;=-'Léeme'!$B$19,"caro","medio")))</f>
        <v/>
      </c>
      <c r="AD28" s="7" t="n"/>
      <c r="AE28" s="7" t="n"/>
      <c r="AF28" s="7" t="n"/>
      <c r="AG28" s="7" t="n"/>
    </row>
    <row r="29">
      <c r="A29" s="3" t="inlineStr">
        <is>
          <t>2001-T3</t>
        </is>
      </c>
      <c r="B29" s="13" t="n">
        <v>37162</v>
      </c>
      <c r="C29" s="14" t="n">
        <v>14.500001</v>
      </c>
      <c r="D29" s="14" t="n">
        <v>1.134</v>
      </c>
      <c r="E29" s="14" t="n">
        <v>1.2585</v>
      </c>
      <c r="F29" s="5" t="n">
        <v>0.046</v>
      </c>
      <c r="G29" s="5" t="n">
        <v>0.04046151550569821</v>
      </c>
      <c r="N29" s="9">
        <f>IF(F29="","",F29+'Léeme'!$B$10)</f>
        <v/>
      </c>
      <c r="O29" s="9">
        <f>IF(OR(G29="",N29=""),"",MIN(MAX(G29,'Léeme'!$B$11),'Léeme'!$B$12,N29-'Léeme'!$B$16))</f>
        <v/>
      </c>
      <c r="P29" s="16">
        <f>IF(OR(D29="",O29=""),"",IFERROR(IF(D29&lt;=0,"",D29*(1+O29)/(N29-O29)),""))</f>
        <v/>
      </c>
      <c r="Q29" s="9">
        <f>IF(H29="","",MIN(MAX(H29,'Léeme'!$B$13),'Léeme'!$B$14))</f>
        <v/>
      </c>
      <c r="R29" s="9">
        <f>IF(N29="","",MIN('Léeme'!$B$15,N29-'Léeme'!$B$16))</f>
        <v/>
      </c>
      <c r="S29" s="16">
        <f>IF(OR(E29="",Q29=""),"",IFERROR(IF(E29&lt;=0,"",E29*(((1+Q29)/(1+N29))+((1+Q29)/(1+N29))^2+((1+Q29)/(1+N29))^3+((1+Q29)/(1+N29))^4+((1+Q29)/(1+N29))^5)+E29*(1+Q29)^5*(1+R29)/((N29-R29)*(1+N29)^5)),""))</f>
        <v/>
      </c>
      <c r="T29" s="9">
        <f>IF(OR(E29="",N29=""),"",IFERROR((C29*N29-E29)/(C29+E29),""))</f>
        <v/>
      </c>
      <c r="U29" s="9">
        <f>IF(OR(H29="",T29=""),"",IFERROR(MIN(MAX(H29,'Léeme'!$B$17),'Léeme'!$B$18)-T29,""))</f>
        <v/>
      </c>
      <c r="V29" s="16">
        <f>IF(OR(I29="",M29="",L29=""),"",IFERROR((I29/M29-J29-K29)/L29,""))</f>
        <v/>
      </c>
      <c r="W29" s="11">
        <f>IFERROR(P29/C29-1,"")</f>
        <v/>
      </c>
      <c r="X29" s="11">
        <f>IFERROR(S29/C29-1,"")</f>
        <v/>
      </c>
      <c r="Y29" s="11">
        <f>IFERROR(V29/C29-1,"")</f>
        <v/>
      </c>
      <c r="Z29" s="3">
        <f>IF(OR(W29="",ISTEXT(W29)),"sin dato",IF(W29&gt;='Léeme'!$B$19,"barato",IF(W29&lt;=-'Léeme'!$B$19,"caro","medio")))</f>
        <v/>
      </c>
      <c r="AA29" s="3">
        <f>IF(OR(X29="",ISTEXT(X29)),"sin dato",IF(X29&gt;='Léeme'!$B$19,"barato",IF(X29&lt;=-'Léeme'!$B$19,"caro","medio")))</f>
        <v/>
      </c>
      <c r="AB29" s="3">
        <f>IF(OR(U29="",ISTEXT(U29)),"sin dato",IF(U29&gt;='Léeme'!$B$20,"barato",IF(U29&lt;=-'Léeme'!$B$20,"caro","medio")))</f>
        <v/>
      </c>
      <c r="AC29" s="3">
        <f>IF(OR(Y29="",ISTEXT(Y29)),"sin dato",IF(Y29&gt;='Léeme'!$B$19,"barato",IF(Y29&lt;=-'Léeme'!$B$19,"caro","medio")))</f>
        <v/>
      </c>
      <c r="AD29" s="7" t="n"/>
      <c r="AE29" s="7" t="n"/>
      <c r="AF29" s="7" t="n"/>
      <c r="AG29" s="7" t="n"/>
    </row>
    <row r="30">
      <c r="A30" s="3" t="inlineStr">
        <is>
          <t>2001-T4</t>
        </is>
      </c>
      <c r="B30" s="13" t="n">
        <v>37256</v>
      </c>
      <c r="C30" s="14" t="n">
        <v>14.7</v>
      </c>
      <c r="D30" s="14" t="n">
        <v>1.14</v>
      </c>
      <c r="E30" s="14" t="n">
        <v>1.2585</v>
      </c>
      <c r="F30" s="5" t="n">
        <v>0.0507</v>
      </c>
      <c r="G30" s="5" t="n">
        <v>0.03823247370948413</v>
      </c>
      <c r="N30" s="9">
        <f>IF(F30="","",F30+'Léeme'!$B$10)</f>
        <v/>
      </c>
      <c r="O30" s="9">
        <f>IF(OR(G30="",N30=""),"",MIN(MAX(G30,'Léeme'!$B$11),'Léeme'!$B$12,N30-'Léeme'!$B$16))</f>
        <v/>
      </c>
      <c r="P30" s="16">
        <f>IF(OR(D30="",O30=""),"",IFERROR(IF(D30&lt;=0,"",D30*(1+O30)/(N30-O30)),""))</f>
        <v/>
      </c>
      <c r="Q30" s="9">
        <f>IF(H30="","",MIN(MAX(H30,'Léeme'!$B$13),'Léeme'!$B$14))</f>
        <v/>
      </c>
      <c r="R30" s="9">
        <f>IF(N30="","",MIN('Léeme'!$B$15,N30-'Léeme'!$B$16))</f>
        <v/>
      </c>
      <c r="S30" s="16">
        <f>IF(OR(E30="",Q30=""),"",IFERROR(IF(E30&lt;=0,"",E30*(((1+Q30)/(1+N30))+((1+Q30)/(1+N30))^2+((1+Q30)/(1+N30))^3+((1+Q30)/(1+N30))^4+((1+Q30)/(1+N30))^5)+E30*(1+Q30)^5*(1+R30)/((N30-R30)*(1+N30)^5)),""))</f>
        <v/>
      </c>
      <c r="T30" s="9">
        <f>IF(OR(E30="",N30=""),"",IFERROR((C30*N30-E30)/(C30+E30),""))</f>
        <v/>
      </c>
      <c r="U30" s="9">
        <f>IF(OR(H30="",T30=""),"",IFERROR(MIN(MAX(H30,'Léeme'!$B$17),'Léeme'!$B$18)-T30,""))</f>
        <v/>
      </c>
      <c r="V30" s="16">
        <f>IF(OR(I30="",M30="",L30=""),"",IFERROR((I30/M30-J30-K30)/L30,""))</f>
        <v/>
      </c>
      <c r="W30" s="11">
        <f>IFERROR(P30/C30-1,"")</f>
        <v/>
      </c>
      <c r="X30" s="11">
        <f>IFERROR(S30/C30-1,"")</f>
        <v/>
      </c>
      <c r="Y30" s="11">
        <f>IFERROR(V30/C30-1,"")</f>
        <v/>
      </c>
      <c r="Z30" s="3">
        <f>IF(OR(W30="",ISTEXT(W30)),"sin dato",IF(W30&gt;='Léeme'!$B$19,"barato",IF(W30&lt;=-'Léeme'!$B$19,"caro","medio")))</f>
        <v/>
      </c>
      <c r="AA30" s="3">
        <f>IF(OR(X30="",ISTEXT(X30)),"sin dato",IF(X30&gt;='Léeme'!$B$19,"barato",IF(X30&lt;=-'Léeme'!$B$19,"caro","medio")))</f>
        <v/>
      </c>
      <c r="AB30" s="3">
        <f>IF(OR(U30="",ISTEXT(U30)),"sin dato",IF(U30&gt;='Léeme'!$B$20,"barato",IF(U30&lt;=-'Léeme'!$B$20,"caro","medio")))</f>
        <v/>
      </c>
      <c r="AC30" s="3">
        <f>IF(OR(Y30="",ISTEXT(Y30)),"sin dato",IF(Y30&gt;='Léeme'!$B$19,"barato",IF(Y30&lt;=-'Léeme'!$B$19,"caro","medio")))</f>
        <v/>
      </c>
      <c r="AD30" s="7" t="n"/>
      <c r="AE30" s="7" t="n"/>
      <c r="AF30" s="7" t="n"/>
      <c r="AG30" s="7" t="n"/>
    </row>
    <row r="31">
      <c r="A31" s="3" t="inlineStr">
        <is>
          <t>2002-T1</t>
        </is>
      </c>
      <c r="B31" s="13" t="n">
        <v>37343</v>
      </c>
      <c r="C31" s="14" t="n">
        <v>16.600001</v>
      </c>
      <c r="D31" s="14" t="n">
        <v>1.146</v>
      </c>
      <c r="E31" s="14" t="n">
        <v>1.2585</v>
      </c>
      <c r="F31" s="5" t="n">
        <v>0.0542</v>
      </c>
      <c r="G31" s="5" t="n">
        <v>0.03866442279962112</v>
      </c>
      <c r="N31" s="9">
        <f>IF(F31="","",F31+'Léeme'!$B$10)</f>
        <v/>
      </c>
      <c r="O31" s="9">
        <f>IF(OR(G31="",N31=""),"",MIN(MAX(G31,'Léeme'!$B$11),'Léeme'!$B$12,N31-'Léeme'!$B$16))</f>
        <v/>
      </c>
      <c r="P31" s="16">
        <f>IF(OR(D31="",O31=""),"",IFERROR(IF(D31&lt;=0,"",D31*(1+O31)/(N31-O31)),""))</f>
        <v/>
      </c>
      <c r="Q31" s="9">
        <f>IF(H31="","",MIN(MAX(H31,'Léeme'!$B$13),'Léeme'!$B$14))</f>
        <v/>
      </c>
      <c r="R31" s="9">
        <f>IF(N31="","",MIN('Léeme'!$B$15,N31-'Léeme'!$B$16))</f>
        <v/>
      </c>
      <c r="S31" s="16">
        <f>IF(OR(E31="",Q31=""),"",IFERROR(IF(E31&lt;=0,"",E31*(((1+Q31)/(1+N31))+((1+Q31)/(1+N31))^2+((1+Q31)/(1+N31))^3+((1+Q31)/(1+N31))^4+((1+Q31)/(1+N31))^5)+E31*(1+Q31)^5*(1+R31)/((N31-R31)*(1+N31)^5)),""))</f>
        <v/>
      </c>
      <c r="T31" s="9">
        <f>IF(OR(E31="",N31=""),"",IFERROR((C31*N31-E31)/(C31+E31),""))</f>
        <v/>
      </c>
      <c r="U31" s="9">
        <f>IF(OR(H31="",T31=""),"",IFERROR(MIN(MAX(H31,'Léeme'!$B$17),'Léeme'!$B$18)-T31,""))</f>
        <v/>
      </c>
      <c r="V31" s="16">
        <f>IF(OR(I31="",M31="",L31=""),"",IFERROR((I31/M31-J31-K31)/L31,""))</f>
        <v/>
      </c>
      <c r="W31" s="11">
        <f>IFERROR(P31/C31-1,"")</f>
        <v/>
      </c>
      <c r="X31" s="11">
        <f>IFERROR(S31/C31-1,"")</f>
        <v/>
      </c>
      <c r="Y31" s="11">
        <f>IFERROR(V31/C31-1,"")</f>
        <v/>
      </c>
      <c r="Z31" s="3">
        <f>IF(OR(W31="",ISTEXT(W31)),"sin dato",IF(W31&gt;='Léeme'!$B$19,"barato",IF(W31&lt;=-'Léeme'!$B$19,"caro","medio")))</f>
        <v/>
      </c>
      <c r="AA31" s="3">
        <f>IF(OR(X31="",ISTEXT(X31)),"sin dato",IF(X31&gt;='Léeme'!$B$19,"barato",IF(X31&lt;=-'Léeme'!$B$19,"caro","medio")))</f>
        <v/>
      </c>
      <c r="AB31" s="3">
        <f>IF(OR(U31="",ISTEXT(U31)),"sin dato",IF(U31&gt;='Léeme'!$B$20,"barato",IF(U31&lt;=-'Léeme'!$B$20,"caro","medio")))</f>
        <v/>
      </c>
      <c r="AC31" s="3">
        <f>IF(OR(Y31="",ISTEXT(Y31)),"sin dato",IF(Y31&gt;='Léeme'!$B$19,"barato",IF(Y31&lt;=-'Léeme'!$B$19,"caro","medio")))</f>
        <v/>
      </c>
      <c r="AD31" s="7" t="n"/>
      <c r="AE31" s="7" t="n"/>
      <c r="AF31" s="7" t="n"/>
      <c r="AG31" s="7" t="n"/>
    </row>
    <row r="32">
      <c r="A32" s="3" t="inlineStr">
        <is>
          <t>2002-T2</t>
        </is>
      </c>
      <c r="B32" s="13" t="n">
        <v>37435</v>
      </c>
      <c r="C32" s="14" t="n">
        <v>18.459999</v>
      </c>
      <c r="D32" s="14" t="n">
        <v>1.158</v>
      </c>
      <c r="E32" s="14" t="n">
        <v>1.3285</v>
      </c>
      <c r="F32" s="5" t="n">
        <v>0.0486</v>
      </c>
      <c r="G32" s="5" t="n">
        <v>0.04083058223346581</v>
      </c>
      <c r="H32" s="5" t="n">
        <v>0.05048779648993396</v>
      </c>
      <c r="N32" s="9">
        <f>IF(F32="","",F32+'Léeme'!$B$10)</f>
        <v/>
      </c>
      <c r="O32" s="9">
        <f>IF(OR(G32="",N32=""),"",MIN(MAX(G32,'Léeme'!$B$11),'Léeme'!$B$12,N32-'Léeme'!$B$16))</f>
        <v/>
      </c>
      <c r="P32" s="16">
        <f>IF(OR(D32="",O32=""),"",IFERROR(IF(D32&lt;=0,"",D32*(1+O32)/(N32-O32)),""))</f>
        <v/>
      </c>
      <c r="Q32" s="9">
        <f>IF(H32="","",MIN(MAX(H32,'Léeme'!$B$13),'Léeme'!$B$14))</f>
        <v/>
      </c>
      <c r="R32" s="9">
        <f>IF(N32="","",MIN('Léeme'!$B$15,N32-'Léeme'!$B$16))</f>
        <v/>
      </c>
      <c r="S32" s="16">
        <f>IF(OR(E32="",Q32=""),"",IFERROR(IF(E32&lt;=0,"",E32*(((1+Q32)/(1+N32))+((1+Q32)/(1+N32))^2+((1+Q32)/(1+N32))^3+((1+Q32)/(1+N32))^4+((1+Q32)/(1+N32))^5)+E32*(1+Q32)^5*(1+R32)/((N32-R32)*(1+N32)^5)),""))</f>
        <v/>
      </c>
      <c r="T32" s="9">
        <f>IF(OR(E32="",N32=""),"",IFERROR((C32*N32-E32)/(C32+E32),""))</f>
        <v/>
      </c>
      <c r="U32" s="9">
        <f>IF(OR(H32="",T32=""),"",IFERROR(MIN(MAX(H32,'Léeme'!$B$17),'Léeme'!$B$18)-T32,""))</f>
        <v/>
      </c>
      <c r="V32" s="16">
        <f>IF(OR(I32="",M32="",L32=""),"",IFERROR((I32/M32-J32-K32)/L32,""))</f>
        <v/>
      </c>
      <c r="W32" s="11">
        <f>IFERROR(P32/C32-1,"")</f>
        <v/>
      </c>
      <c r="X32" s="11">
        <f>IFERROR(S32/C32-1,"")</f>
        <v/>
      </c>
      <c r="Y32" s="11">
        <f>IFERROR(V32/C32-1,"")</f>
        <v/>
      </c>
      <c r="Z32" s="3">
        <f>IF(OR(W32="",ISTEXT(W32)),"sin dato",IF(W32&gt;='Léeme'!$B$19,"barato",IF(W32&lt;=-'Léeme'!$B$19,"caro","medio")))</f>
        <v/>
      </c>
      <c r="AA32" s="3">
        <f>IF(OR(X32="",ISTEXT(X32)),"sin dato",IF(X32&gt;='Léeme'!$B$19,"barato",IF(X32&lt;=-'Léeme'!$B$19,"caro","medio")))</f>
        <v/>
      </c>
      <c r="AB32" s="3">
        <f>IF(OR(U32="",ISTEXT(U32)),"sin dato",IF(U32&gt;='Léeme'!$B$20,"barato",IF(U32&lt;=-'Léeme'!$B$20,"caro","medio")))</f>
        <v/>
      </c>
      <c r="AC32" s="3">
        <f>IF(OR(Y32="",ISTEXT(Y32)),"sin dato",IF(Y32&gt;='Léeme'!$B$19,"barato",IF(Y32&lt;=-'Léeme'!$B$19,"caro","medio")))</f>
        <v/>
      </c>
      <c r="AD32" s="7" t="n"/>
      <c r="AE32" s="7" t="n"/>
      <c r="AF32" s="7" t="n"/>
      <c r="AG32" s="7" t="n"/>
    </row>
    <row r="33">
      <c r="A33" s="3" t="inlineStr">
        <is>
          <t>2002-T3</t>
        </is>
      </c>
      <c r="B33" s="13" t="n">
        <v>37529</v>
      </c>
      <c r="C33" s="14" t="n">
        <v>17.075001</v>
      </c>
      <c r="D33" s="14" t="n">
        <v>1.158</v>
      </c>
      <c r="E33" s="14" t="n">
        <v>1.3285</v>
      </c>
      <c r="F33" s="5" t="n">
        <v>0.0363</v>
      </c>
      <c r="G33" s="5" t="n">
        <v>0.04083058223346581</v>
      </c>
      <c r="H33" s="5" t="n">
        <v>0.05048779648993396</v>
      </c>
      <c r="N33" s="9">
        <f>IF(F33="","",F33+'Léeme'!$B$10)</f>
        <v/>
      </c>
      <c r="O33" s="9">
        <f>IF(OR(G33="",N33=""),"",MIN(MAX(G33,'Léeme'!$B$11),'Léeme'!$B$12,N33-'Léeme'!$B$16))</f>
        <v/>
      </c>
      <c r="P33" s="16">
        <f>IF(OR(D33="",O33=""),"",IFERROR(IF(D33&lt;=0,"",D33*(1+O33)/(N33-O33)),""))</f>
        <v/>
      </c>
      <c r="Q33" s="9">
        <f>IF(H33="","",MIN(MAX(H33,'Léeme'!$B$13),'Léeme'!$B$14))</f>
        <v/>
      </c>
      <c r="R33" s="9">
        <f>IF(N33="","",MIN('Léeme'!$B$15,N33-'Léeme'!$B$16))</f>
        <v/>
      </c>
      <c r="S33" s="16">
        <f>IF(OR(E33="",Q33=""),"",IFERROR(IF(E33&lt;=0,"",E33*(((1+Q33)/(1+N33))+((1+Q33)/(1+N33))^2+((1+Q33)/(1+N33))^3+((1+Q33)/(1+N33))^4+((1+Q33)/(1+N33))^5)+E33*(1+Q33)^5*(1+R33)/((N33-R33)*(1+N33)^5)),""))</f>
        <v/>
      </c>
      <c r="T33" s="9">
        <f>IF(OR(E33="",N33=""),"",IFERROR((C33*N33-E33)/(C33+E33),""))</f>
        <v/>
      </c>
      <c r="U33" s="9">
        <f>IF(OR(H33="",T33=""),"",IFERROR(MIN(MAX(H33,'Léeme'!$B$17),'Léeme'!$B$18)-T33,""))</f>
        <v/>
      </c>
      <c r="V33" s="16">
        <f>IF(OR(I33="",M33="",L33=""),"",IFERROR((I33/M33-J33-K33)/L33,""))</f>
        <v/>
      </c>
      <c r="W33" s="11">
        <f>IFERROR(P33/C33-1,"")</f>
        <v/>
      </c>
      <c r="X33" s="11">
        <f>IFERROR(S33/C33-1,"")</f>
        <v/>
      </c>
      <c r="Y33" s="11">
        <f>IFERROR(V33/C33-1,"")</f>
        <v/>
      </c>
      <c r="Z33" s="3">
        <f>IF(OR(W33="",ISTEXT(W33)),"sin dato",IF(W33&gt;='Léeme'!$B$19,"barato",IF(W33&lt;=-'Léeme'!$B$19,"caro","medio")))</f>
        <v/>
      </c>
      <c r="AA33" s="3">
        <f>IF(OR(X33="",ISTEXT(X33)),"sin dato",IF(X33&gt;='Léeme'!$B$19,"barato",IF(X33&lt;=-'Léeme'!$B$19,"caro","medio")))</f>
        <v/>
      </c>
      <c r="AB33" s="3">
        <f>IF(OR(U33="",ISTEXT(U33)),"sin dato",IF(U33&gt;='Léeme'!$B$20,"barato",IF(U33&lt;=-'Léeme'!$B$20,"caro","medio")))</f>
        <v/>
      </c>
      <c r="AC33" s="3">
        <f>IF(OR(Y33="",ISTEXT(Y33)),"sin dato",IF(Y33&gt;='Léeme'!$B$19,"barato",IF(Y33&lt;=-'Léeme'!$B$19,"caro","medio")))</f>
        <v/>
      </c>
      <c r="AD33" s="7" t="n">
        <v>0.9861111111111112</v>
      </c>
      <c r="AE33" s="7" t="n"/>
      <c r="AF33" s="7" t="n"/>
      <c r="AG33" s="7" t="n"/>
    </row>
    <row r="34">
      <c r="A34" s="3" t="inlineStr">
        <is>
          <t>2002-T4</t>
        </is>
      </c>
      <c r="B34" s="13" t="n">
        <v>37621</v>
      </c>
      <c r="C34" s="14" t="n">
        <v>17.499999</v>
      </c>
      <c r="D34" s="14" t="n">
        <v>1.17</v>
      </c>
      <c r="E34" s="14" t="n">
        <v>1.3285</v>
      </c>
      <c r="F34" s="5" t="n">
        <v>0.0383</v>
      </c>
      <c r="G34" s="5" t="n">
        <v>0.0403582746309219</v>
      </c>
      <c r="H34" s="5" t="n">
        <v>0.05048779648993396</v>
      </c>
      <c r="N34" s="9">
        <f>IF(F34="","",F34+'Léeme'!$B$10)</f>
        <v/>
      </c>
      <c r="O34" s="9">
        <f>IF(OR(G34="",N34=""),"",MIN(MAX(G34,'Léeme'!$B$11),'Léeme'!$B$12,N34-'Léeme'!$B$16))</f>
        <v/>
      </c>
      <c r="P34" s="16">
        <f>IF(OR(D34="",O34=""),"",IFERROR(IF(D34&lt;=0,"",D34*(1+O34)/(N34-O34)),""))</f>
        <v/>
      </c>
      <c r="Q34" s="9">
        <f>IF(H34="","",MIN(MAX(H34,'Léeme'!$B$13),'Léeme'!$B$14))</f>
        <v/>
      </c>
      <c r="R34" s="9">
        <f>IF(N34="","",MIN('Léeme'!$B$15,N34-'Léeme'!$B$16))</f>
        <v/>
      </c>
      <c r="S34" s="16">
        <f>IF(OR(E34="",Q34=""),"",IFERROR(IF(E34&lt;=0,"",E34*(((1+Q34)/(1+N34))+((1+Q34)/(1+N34))^2+((1+Q34)/(1+N34))^3+((1+Q34)/(1+N34))^4+((1+Q34)/(1+N34))^5)+E34*(1+Q34)^5*(1+R34)/((N34-R34)*(1+N34)^5)),""))</f>
        <v/>
      </c>
      <c r="T34" s="9">
        <f>IF(OR(E34="",N34=""),"",IFERROR((C34*N34-E34)/(C34+E34),""))</f>
        <v/>
      </c>
      <c r="U34" s="9">
        <f>IF(OR(H34="",T34=""),"",IFERROR(MIN(MAX(H34,'Léeme'!$B$17),'Léeme'!$B$18)-T34,""))</f>
        <v/>
      </c>
      <c r="V34" s="16">
        <f>IF(OR(I34="",M34="",L34=""),"",IFERROR((I34/M34-J34-K34)/L34,""))</f>
        <v/>
      </c>
      <c r="W34" s="11">
        <f>IFERROR(P34/C34-1,"")</f>
        <v/>
      </c>
      <c r="X34" s="11">
        <f>IFERROR(S34/C34-1,"")</f>
        <v/>
      </c>
      <c r="Y34" s="11">
        <f>IFERROR(V34/C34-1,"")</f>
        <v/>
      </c>
      <c r="Z34" s="3">
        <f>IF(OR(W34="",ISTEXT(W34)),"sin dato",IF(W34&gt;='Léeme'!$B$19,"barato",IF(W34&lt;=-'Léeme'!$B$19,"caro","medio")))</f>
        <v/>
      </c>
      <c r="AA34" s="3">
        <f>IF(OR(X34="",ISTEXT(X34)),"sin dato",IF(X34&gt;='Léeme'!$B$19,"barato",IF(X34&lt;=-'Léeme'!$B$19,"caro","medio")))</f>
        <v/>
      </c>
      <c r="AB34" s="3">
        <f>IF(OR(U34="",ISTEXT(U34)),"sin dato",IF(U34&gt;='Léeme'!$B$20,"barato",IF(U34&lt;=-'Léeme'!$B$20,"caro","medio")))</f>
        <v/>
      </c>
      <c r="AC34" s="3">
        <f>IF(OR(Y34="",ISTEXT(Y34)),"sin dato",IF(Y34&gt;='Léeme'!$B$19,"barato",IF(Y34&lt;=-'Léeme'!$B$19,"caro","medio")))</f>
        <v/>
      </c>
      <c r="AD34" s="7" t="n">
        <v>0.9102564102564102</v>
      </c>
      <c r="AE34" s="7" t="n"/>
      <c r="AF34" s="7" t="n"/>
      <c r="AG34" s="7" t="n"/>
    </row>
    <row r="35">
      <c r="A35" s="3" t="inlineStr">
        <is>
          <t>2003-T1</t>
        </is>
      </c>
      <c r="B35" s="13" t="n">
        <v>37711</v>
      </c>
      <c r="C35" s="14" t="n">
        <v>17.874999</v>
      </c>
      <c r="D35" s="14" t="n">
        <v>1.176</v>
      </c>
      <c r="E35" s="14" t="n">
        <v>1.38</v>
      </c>
      <c r="F35" s="5" t="n">
        <v>0.0383</v>
      </c>
      <c r="G35" s="5" t="n">
        <v>0.03883891832511877</v>
      </c>
      <c r="H35" s="5" t="n">
        <v>0.04450667934242181</v>
      </c>
      <c r="N35" s="9">
        <f>IF(F35="","",F35+'Léeme'!$B$10)</f>
        <v/>
      </c>
      <c r="O35" s="9">
        <f>IF(OR(G35="",N35=""),"",MIN(MAX(G35,'Léeme'!$B$11),'Léeme'!$B$12,N35-'Léeme'!$B$16))</f>
        <v/>
      </c>
      <c r="P35" s="16">
        <f>IF(OR(D35="",O35=""),"",IFERROR(IF(D35&lt;=0,"",D35*(1+O35)/(N35-O35)),""))</f>
        <v/>
      </c>
      <c r="Q35" s="9">
        <f>IF(H35="","",MIN(MAX(H35,'Léeme'!$B$13),'Léeme'!$B$14))</f>
        <v/>
      </c>
      <c r="R35" s="9">
        <f>IF(N35="","",MIN('Léeme'!$B$15,N35-'Léeme'!$B$16))</f>
        <v/>
      </c>
      <c r="S35" s="16">
        <f>IF(OR(E35="",Q35=""),"",IFERROR(IF(E35&lt;=0,"",E35*(((1+Q35)/(1+N35))+((1+Q35)/(1+N35))^2+((1+Q35)/(1+N35))^3+((1+Q35)/(1+N35))^4+((1+Q35)/(1+N35))^5)+E35*(1+Q35)^5*(1+R35)/((N35-R35)*(1+N35)^5)),""))</f>
        <v/>
      </c>
      <c r="T35" s="9">
        <f>IF(OR(E35="",N35=""),"",IFERROR((C35*N35-E35)/(C35+E35),""))</f>
        <v/>
      </c>
      <c r="U35" s="9">
        <f>IF(OR(H35="",T35=""),"",IFERROR(MIN(MAX(H35,'Léeme'!$B$17),'Léeme'!$B$18)-T35,""))</f>
        <v/>
      </c>
      <c r="V35" s="16">
        <f>IF(OR(I35="",M35="",L35=""),"",IFERROR((I35/M35-J35-K35)/L35,""))</f>
        <v/>
      </c>
      <c r="W35" s="11">
        <f>IFERROR(P35/C35-1,"")</f>
        <v/>
      </c>
      <c r="X35" s="11">
        <f>IFERROR(S35/C35-1,"")</f>
        <v/>
      </c>
      <c r="Y35" s="11">
        <f>IFERROR(V35/C35-1,"")</f>
        <v/>
      </c>
      <c r="Z35" s="3">
        <f>IF(OR(W35="",ISTEXT(W35)),"sin dato",IF(W35&gt;='Léeme'!$B$19,"barato",IF(W35&lt;=-'Léeme'!$B$19,"caro","medio")))</f>
        <v/>
      </c>
      <c r="AA35" s="3">
        <f>IF(OR(X35="",ISTEXT(X35)),"sin dato",IF(X35&gt;='Léeme'!$B$19,"barato",IF(X35&lt;=-'Léeme'!$B$19,"caro","medio")))</f>
        <v/>
      </c>
      <c r="AB35" s="3">
        <f>IF(OR(U35="",ISTEXT(U35)),"sin dato",IF(U35&gt;='Léeme'!$B$20,"barato",IF(U35&lt;=-'Léeme'!$B$20,"caro","medio")))</f>
        <v/>
      </c>
      <c r="AC35" s="3">
        <f>IF(OR(Y35="",ISTEXT(Y35)),"sin dato",IF(Y35&gt;='Léeme'!$B$19,"barato",IF(Y35&lt;=-'Léeme'!$B$19,"caro","medio")))</f>
        <v/>
      </c>
      <c r="AD35" s="7" t="n">
        <v>0.8452380952380952</v>
      </c>
      <c r="AE35" s="7" t="n"/>
      <c r="AF35" s="7" t="n"/>
      <c r="AG35" s="7" t="n"/>
    </row>
    <row r="36">
      <c r="A36" s="3" t="inlineStr">
        <is>
          <t>2003-T2</t>
        </is>
      </c>
      <c r="B36" s="13" t="n">
        <v>37802</v>
      </c>
      <c r="C36" s="14" t="n">
        <v>19.039999</v>
      </c>
      <c r="D36" s="14" t="n">
        <v>1.182</v>
      </c>
      <c r="E36" s="14" t="n">
        <v>1.38</v>
      </c>
      <c r="F36" s="5" t="n">
        <v>0.0354</v>
      </c>
      <c r="G36" s="5" t="n">
        <v>0.036087553086255</v>
      </c>
      <c r="H36" s="5" t="n">
        <v>0.04450667934242181</v>
      </c>
      <c r="N36" s="9">
        <f>IF(F36="","",F36+'Léeme'!$B$10)</f>
        <v/>
      </c>
      <c r="O36" s="9">
        <f>IF(OR(G36="",N36=""),"",MIN(MAX(G36,'Léeme'!$B$11),'Léeme'!$B$12,N36-'Léeme'!$B$16))</f>
        <v/>
      </c>
      <c r="P36" s="16">
        <f>IF(OR(D36="",O36=""),"",IFERROR(IF(D36&lt;=0,"",D36*(1+O36)/(N36-O36)),""))</f>
        <v/>
      </c>
      <c r="Q36" s="9">
        <f>IF(H36="","",MIN(MAX(H36,'Léeme'!$B$13),'Léeme'!$B$14))</f>
        <v/>
      </c>
      <c r="R36" s="9">
        <f>IF(N36="","",MIN('Léeme'!$B$15,N36-'Léeme'!$B$16))</f>
        <v/>
      </c>
      <c r="S36" s="16">
        <f>IF(OR(E36="",Q36=""),"",IFERROR(IF(E36&lt;=0,"",E36*(((1+Q36)/(1+N36))+((1+Q36)/(1+N36))^2+((1+Q36)/(1+N36))^3+((1+Q36)/(1+N36))^4+((1+Q36)/(1+N36))^5)+E36*(1+Q36)^5*(1+R36)/((N36-R36)*(1+N36)^5)),""))</f>
        <v/>
      </c>
      <c r="T36" s="9">
        <f>IF(OR(E36="",N36=""),"",IFERROR((C36*N36-E36)/(C36+E36),""))</f>
        <v/>
      </c>
      <c r="U36" s="9">
        <f>IF(OR(H36="",T36=""),"",IFERROR(MIN(MAX(H36,'Léeme'!$B$17),'Léeme'!$B$18)-T36,""))</f>
        <v/>
      </c>
      <c r="V36" s="16">
        <f>IF(OR(I36="",M36="",L36=""),"",IFERROR((I36/M36-J36-K36)/L36,""))</f>
        <v/>
      </c>
      <c r="W36" s="11">
        <f>IFERROR(P36/C36-1,"")</f>
        <v/>
      </c>
      <c r="X36" s="11">
        <f>IFERROR(S36/C36-1,"")</f>
        <v/>
      </c>
      <c r="Y36" s="11">
        <f>IFERROR(V36/C36-1,"")</f>
        <v/>
      </c>
      <c r="Z36" s="3">
        <f>IF(OR(W36="",ISTEXT(W36)),"sin dato",IF(W36&gt;='Léeme'!$B$19,"barato",IF(W36&lt;=-'Léeme'!$B$19,"caro","medio")))</f>
        <v/>
      </c>
      <c r="AA36" s="3">
        <f>IF(OR(X36="",ISTEXT(X36)),"sin dato",IF(X36&gt;='Léeme'!$B$19,"barato",IF(X36&lt;=-'Léeme'!$B$19,"caro","medio")))</f>
        <v/>
      </c>
      <c r="AB36" s="3">
        <f>IF(OR(U36="",ISTEXT(U36)),"sin dato",IF(U36&gt;='Léeme'!$B$20,"barato",IF(U36&lt;=-'Léeme'!$B$20,"caro","medio")))</f>
        <v/>
      </c>
      <c r="AC36" s="3">
        <f>IF(OR(Y36="",ISTEXT(Y36)),"sin dato",IF(Y36&gt;='Léeme'!$B$19,"barato",IF(Y36&lt;=-'Léeme'!$B$19,"caro","medio")))</f>
        <v/>
      </c>
      <c r="AD36" s="7" t="n">
        <v>0.7444444444444445</v>
      </c>
      <c r="AE36" s="7" t="n"/>
      <c r="AF36" s="7" t="n"/>
      <c r="AG36" s="7" t="n"/>
    </row>
    <row r="37">
      <c r="A37" s="3" t="inlineStr">
        <is>
          <t>2003-T3</t>
        </is>
      </c>
      <c r="B37" s="13" t="n">
        <v>37894</v>
      </c>
      <c r="C37" s="14" t="n">
        <v>19.825001</v>
      </c>
      <c r="D37" s="14" t="n">
        <v>1.188</v>
      </c>
      <c r="E37" s="14" t="n">
        <v>1.38</v>
      </c>
      <c r="F37" s="5" t="n">
        <v>0.0396</v>
      </c>
      <c r="G37" s="5" t="n">
        <v>0.03340648293877924</v>
      </c>
      <c r="H37" s="5" t="n">
        <v>0.04450667934242181</v>
      </c>
      <c r="N37" s="9">
        <f>IF(F37="","",F37+'Léeme'!$B$10)</f>
        <v/>
      </c>
      <c r="O37" s="9">
        <f>IF(OR(G37="",N37=""),"",MIN(MAX(G37,'Léeme'!$B$11),'Léeme'!$B$12,N37-'Léeme'!$B$16))</f>
        <v/>
      </c>
      <c r="P37" s="16">
        <f>IF(OR(D37="",O37=""),"",IFERROR(IF(D37&lt;=0,"",D37*(1+O37)/(N37-O37)),""))</f>
        <v/>
      </c>
      <c r="Q37" s="9">
        <f>IF(H37="","",MIN(MAX(H37,'Léeme'!$B$13),'Léeme'!$B$14))</f>
        <v/>
      </c>
      <c r="R37" s="9">
        <f>IF(N37="","",MIN('Léeme'!$B$15,N37-'Léeme'!$B$16))</f>
        <v/>
      </c>
      <c r="S37" s="16">
        <f>IF(OR(E37="",Q37=""),"",IFERROR(IF(E37&lt;=0,"",E37*(((1+Q37)/(1+N37))+((1+Q37)/(1+N37))^2+((1+Q37)/(1+N37))^3+((1+Q37)/(1+N37))^4+((1+Q37)/(1+N37))^5)+E37*(1+Q37)^5*(1+R37)/((N37-R37)*(1+N37)^5)),""))</f>
        <v/>
      </c>
      <c r="T37" s="9">
        <f>IF(OR(E37="",N37=""),"",IFERROR((C37*N37-E37)/(C37+E37),""))</f>
        <v/>
      </c>
      <c r="U37" s="9">
        <f>IF(OR(H37="",T37=""),"",IFERROR(MIN(MAX(H37,'Léeme'!$B$17),'Léeme'!$B$18)-T37,""))</f>
        <v/>
      </c>
      <c r="V37" s="16">
        <f>IF(OR(I37="",M37="",L37=""),"",IFERROR((I37/M37-J37-K37)/L37,""))</f>
        <v/>
      </c>
      <c r="W37" s="11">
        <f>IFERROR(P37/C37-1,"")</f>
        <v/>
      </c>
      <c r="X37" s="11">
        <f>IFERROR(S37/C37-1,"")</f>
        <v/>
      </c>
      <c r="Y37" s="11">
        <f>IFERROR(V37/C37-1,"")</f>
        <v/>
      </c>
      <c r="Z37" s="3">
        <f>IF(OR(W37="",ISTEXT(W37)),"sin dato",IF(W37&gt;='Léeme'!$B$19,"barato",IF(W37&lt;=-'Léeme'!$B$19,"caro","medio")))</f>
        <v/>
      </c>
      <c r="AA37" s="3">
        <f>IF(OR(X37="",ISTEXT(X37)),"sin dato",IF(X37&gt;='Léeme'!$B$19,"barato",IF(X37&lt;=-'Léeme'!$B$19,"caro","medio")))</f>
        <v/>
      </c>
      <c r="AB37" s="3">
        <f>IF(OR(U37="",ISTEXT(U37)),"sin dato",IF(U37&gt;='Léeme'!$B$20,"barato",IF(U37&lt;=-'Léeme'!$B$20,"caro","medio")))</f>
        <v/>
      </c>
      <c r="AC37" s="3">
        <f>IF(OR(Y37="",ISTEXT(Y37)),"sin dato",IF(Y37&gt;='Léeme'!$B$19,"barato",IF(Y37&lt;=-'Léeme'!$B$19,"caro","medio")))</f>
        <v/>
      </c>
      <c r="AD37" s="7" t="n">
        <v>0.1354166666666667</v>
      </c>
      <c r="AE37" s="7" t="n"/>
      <c r="AF37" s="7" t="n"/>
      <c r="AG37" s="7" t="n"/>
    </row>
    <row r="38">
      <c r="A38" s="3" t="inlineStr">
        <is>
          <t>2003-T4</t>
        </is>
      </c>
      <c r="B38" s="13" t="n">
        <v>37986</v>
      </c>
      <c r="C38" s="14" t="n">
        <v>20</v>
      </c>
      <c r="D38" s="14" t="n">
        <v>1.2</v>
      </c>
      <c r="E38" s="14" t="n">
        <v>1.38</v>
      </c>
      <c r="F38" s="5" t="n">
        <v>0.04269999999999999</v>
      </c>
      <c r="G38" s="5" t="n">
        <v>0.03303780411393231</v>
      </c>
      <c r="H38" s="5" t="n">
        <v>0.04450667934242181</v>
      </c>
      <c r="N38" s="9">
        <f>IF(F38="","",F38+'Léeme'!$B$10)</f>
        <v/>
      </c>
      <c r="O38" s="9">
        <f>IF(OR(G38="",N38=""),"",MIN(MAX(G38,'Léeme'!$B$11),'Léeme'!$B$12,N38-'Léeme'!$B$16))</f>
        <v/>
      </c>
      <c r="P38" s="16">
        <f>IF(OR(D38="",O38=""),"",IFERROR(IF(D38&lt;=0,"",D38*(1+O38)/(N38-O38)),""))</f>
        <v/>
      </c>
      <c r="Q38" s="9">
        <f>IF(H38="","",MIN(MAX(H38,'Léeme'!$B$13),'Léeme'!$B$14))</f>
        <v/>
      </c>
      <c r="R38" s="9">
        <f>IF(N38="","",MIN('Léeme'!$B$15,N38-'Léeme'!$B$16))</f>
        <v/>
      </c>
      <c r="S38" s="16">
        <f>IF(OR(E38="",Q38=""),"",IFERROR(IF(E38&lt;=0,"",E38*(((1+Q38)/(1+N38))+((1+Q38)/(1+N38))^2+((1+Q38)/(1+N38))^3+((1+Q38)/(1+N38))^4+((1+Q38)/(1+N38))^5)+E38*(1+Q38)^5*(1+R38)/((N38-R38)*(1+N38)^5)),""))</f>
        <v/>
      </c>
      <c r="T38" s="9">
        <f>IF(OR(E38="",N38=""),"",IFERROR((C38*N38-E38)/(C38+E38),""))</f>
        <v/>
      </c>
      <c r="U38" s="9">
        <f>IF(OR(H38="",T38=""),"",IFERROR(MIN(MAX(H38,'Léeme'!$B$17),'Léeme'!$B$18)-T38,""))</f>
        <v/>
      </c>
      <c r="V38" s="16">
        <f>IF(OR(I38="",M38="",L38=""),"",IFERROR((I38/M38-J38-K38)/L38,""))</f>
        <v/>
      </c>
      <c r="W38" s="11">
        <f>IFERROR(P38/C38-1,"")</f>
        <v/>
      </c>
      <c r="X38" s="11">
        <f>IFERROR(S38/C38-1,"")</f>
        <v/>
      </c>
      <c r="Y38" s="11">
        <f>IFERROR(V38/C38-1,"")</f>
        <v/>
      </c>
      <c r="Z38" s="3">
        <f>IF(OR(W38="",ISTEXT(W38)),"sin dato",IF(W38&gt;='Léeme'!$B$19,"barato",IF(W38&lt;=-'Léeme'!$B$19,"caro","medio")))</f>
        <v/>
      </c>
      <c r="AA38" s="3">
        <f>IF(OR(X38="",ISTEXT(X38)),"sin dato",IF(X38&gt;='Léeme'!$B$19,"barato",IF(X38&lt;=-'Léeme'!$B$19,"caro","medio")))</f>
        <v/>
      </c>
      <c r="AB38" s="3">
        <f>IF(OR(U38="",ISTEXT(U38)),"sin dato",IF(U38&gt;='Léeme'!$B$20,"barato",IF(U38&lt;=-'Léeme'!$B$20,"caro","medio")))</f>
        <v/>
      </c>
      <c r="AC38" s="3">
        <f>IF(OR(Y38="",ISTEXT(Y38)),"sin dato",IF(Y38&gt;='Léeme'!$B$19,"barato",IF(Y38&lt;=-'Léeme'!$B$19,"caro","medio")))</f>
        <v/>
      </c>
      <c r="AD38" s="7" t="n">
        <v>0.04901960784313725</v>
      </c>
      <c r="AE38" s="7" t="n"/>
      <c r="AF38" s="7" t="n"/>
      <c r="AG38" s="7" t="n"/>
    </row>
    <row r="39">
      <c r="A39" s="3" t="inlineStr">
        <is>
          <t>2004-T1</t>
        </is>
      </c>
      <c r="B39" s="13" t="n">
        <v>38077</v>
      </c>
      <c r="C39" s="14" t="n">
        <v>22.325</v>
      </c>
      <c r="D39" s="14" t="n">
        <v>1.2</v>
      </c>
      <c r="E39" s="14" t="n">
        <v>1.46</v>
      </c>
      <c r="F39" s="5" t="n">
        <v>0.0386</v>
      </c>
      <c r="G39" s="5" t="n">
        <v>0.03062413800126618</v>
      </c>
      <c r="H39" s="5" t="n">
        <v>0.04350412382979796</v>
      </c>
      <c r="N39" s="9">
        <f>IF(F39="","",F39+'Léeme'!$B$10)</f>
        <v/>
      </c>
      <c r="O39" s="9">
        <f>IF(OR(G39="",N39=""),"",MIN(MAX(G39,'Léeme'!$B$11),'Léeme'!$B$12,N39-'Léeme'!$B$16))</f>
        <v/>
      </c>
      <c r="P39" s="16">
        <f>IF(OR(D39="",O39=""),"",IFERROR(IF(D39&lt;=0,"",D39*(1+O39)/(N39-O39)),""))</f>
        <v/>
      </c>
      <c r="Q39" s="9">
        <f>IF(H39="","",MIN(MAX(H39,'Léeme'!$B$13),'Léeme'!$B$14))</f>
        <v/>
      </c>
      <c r="R39" s="9">
        <f>IF(N39="","",MIN('Léeme'!$B$15,N39-'Léeme'!$B$16))</f>
        <v/>
      </c>
      <c r="S39" s="16">
        <f>IF(OR(E39="",Q39=""),"",IFERROR(IF(E39&lt;=0,"",E39*(((1+Q39)/(1+N39))+((1+Q39)/(1+N39))^2+((1+Q39)/(1+N39))^3+((1+Q39)/(1+N39))^4+((1+Q39)/(1+N39))^5)+E39*(1+Q39)^5*(1+R39)/((N39-R39)*(1+N39)^5)),""))</f>
        <v/>
      </c>
      <c r="T39" s="9">
        <f>IF(OR(E39="",N39=""),"",IFERROR((C39*N39-E39)/(C39+E39),""))</f>
        <v/>
      </c>
      <c r="U39" s="9">
        <f>IF(OR(H39="",T39=""),"",IFERROR(MIN(MAX(H39,'Léeme'!$B$17),'Léeme'!$B$18)-T39,""))</f>
        <v/>
      </c>
      <c r="V39" s="16">
        <f>IF(OR(I39="",M39="",L39=""),"",IFERROR((I39/M39-J39-K39)/L39,""))</f>
        <v/>
      </c>
      <c r="W39" s="11">
        <f>IFERROR(P39/C39-1,"")</f>
        <v/>
      </c>
      <c r="X39" s="11">
        <f>IFERROR(S39/C39-1,"")</f>
        <v/>
      </c>
      <c r="Y39" s="11">
        <f>IFERROR(V39/C39-1,"")</f>
        <v/>
      </c>
      <c r="Z39" s="3">
        <f>IF(OR(W39="",ISTEXT(W39)),"sin dato",IF(W39&gt;='Léeme'!$B$19,"barato",IF(W39&lt;=-'Léeme'!$B$19,"caro","medio")))</f>
        <v/>
      </c>
      <c r="AA39" s="3">
        <f>IF(OR(X39="",ISTEXT(X39)),"sin dato",IF(X39&gt;='Léeme'!$B$19,"barato",IF(X39&lt;=-'Léeme'!$B$19,"caro","medio")))</f>
        <v/>
      </c>
      <c r="AB39" s="3">
        <f>IF(OR(U39="",ISTEXT(U39)),"sin dato",IF(U39&gt;='Léeme'!$B$20,"barato",IF(U39&lt;=-'Léeme'!$B$20,"caro","medio")))</f>
        <v/>
      </c>
      <c r="AC39" s="3">
        <f>IF(OR(Y39="",ISTEXT(Y39)),"sin dato",IF(Y39&gt;='Léeme'!$B$19,"barato",IF(Y39&lt;=-'Léeme'!$B$19,"caro","medio")))</f>
        <v/>
      </c>
      <c r="AD39" s="7" t="n">
        <v>0.009259259259259259</v>
      </c>
      <c r="AE39" s="7" t="n"/>
      <c r="AF39" s="7" t="n"/>
      <c r="AG39" s="7" t="n"/>
    </row>
    <row r="40">
      <c r="A40" s="3" t="inlineStr">
        <is>
          <t>2004-T2</t>
        </is>
      </c>
      <c r="B40" s="13" t="n">
        <v>38168</v>
      </c>
      <c r="C40" s="14" t="n">
        <v>20.865</v>
      </c>
      <c r="D40" s="14" t="n">
        <v>1.218</v>
      </c>
      <c r="E40" s="14" t="n">
        <v>1.46</v>
      </c>
      <c r="F40" s="5" t="n">
        <v>0.0462</v>
      </c>
      <c r="G40" s="5" t="n">
        <v>0.03012896281839894</v>
      </c>
      <c r="H40" s="5" t="n">
        <v>0.04350412382979796</v>
      </c>
      <c r="N40" s="9">
        <f>IF(F40="","",F40+'Léeme'!$B$10)</f>
        <v/>
      </c>
      <c r="O40" s="9">
        <f>IF(OR(G40="",N40=""),"",MIN(MAX(G40,'Léeme'!$B$11),'Léeme'!$B$12,N40-'Léeme'!$B$16))</f>
        <v/>
      </c>
      <c r="P40" s="16">
        <f>IF(OR(D40="",O40=""),"",IFERROR(IF(D40&lt;=0,"",D40*(1+O40)/(N40-O40)),""))</f>
        <v/>
      </c>
      <c r="Q40" s="9">
        <f>IF(H40="","",MIN(MAX(H40,'Léeme'!$B$13),'Léeme'!$B$14))</f>
        <v/>
      </c>
      <c r="R40" s="9">
        <f>IF(N40="","",MIN('Léeme'!$B$15,N40-'Léeme'!$B$16))</f>
        <v/>
      </c>
      <c r="S40" s="16">
        <f>IF(OR(E40="",Q40=""),"",IFERROR(IF(E40&lt;=0,"",E40*(((1+Q40)/(1+N40))+((1+Q40)/(1+N40))^2+((1+Q40)/(1+N40))^3+((1+Q40)/(1+N40))^4+((1+Q40)/(1+N40))^5)+E40*(1+Q40)^5*(1+R40)/((N40-R40)*(1+N40)^5)),""))</f>
        <v/>
      </c>
      <c r="T40" s="9">
        <f>IF(OR(E40="",N40=""),"",IFERROR((C40*N40-E40)/(C40+E40),""))</f>
        <v/>
      </c>
      <c r="U40" s="9">
        <f>IF(OR(H40="",T40=""),"",IFERROR(MIN(MAX(H40,'Léeme'!$B$17),'Léeme'!$B$18)-T40,""))</f>
        <v/>
      </c>
      <c r="V40" s="16">
        <f>IF(OR(I40="",M40="",L40=""),"",IFERROR((I40/M40-J40-K40)/L40,""))</f>
        <v/>
      </c>
      <c r="W40" s="11">
        <f>IFERROR(P40/C40-1,"")</f>
        <v/>
      </c>
      <c r="X40" s="11">
        <f>IFERROR(S40/C40-1,"")</f>
        <v/>
      </c>
      <c r="Y40" s="11">
        <f>IFERROR(V40/C40-1,"")</f>
        <v/>
      </c>
      <c r="Z40" s="3">
        <f>IF(OR(W40="",ISTEXT(W40)),"sin dato",IF(W40&gt;='Léeme'!$B$19,"barato",IF(W40&lt;=-'Léeme'!$B$19,"caro","medio")))</f>
        <v/>
      </c>
      <c r="AA40" s="3">
        <f>IF(OR(X40="",ISTEXT(X40)),"sin dato",IF(X40&gt;='Léeme'!$B$19,"barato",IF(X40&lt;=-'Léeme'!$B$19,"caro","medio")))</f>
        <v/>
      </c>
      <c r="AB40" s="3">
        <f>IF(OR(U40="",ISTEXT(U40)),"sin dato",IF(U40&gt;='Léeme'!$B$20,"barato",IF(U40&lt;=-'Léeme'!$B$20,"caro","medio")))</f>
        <v/>
      </c>
      <c r="AC40" s="3">
        <f>IF(OR(Y40="",ISTEXT(Y40)),"sin dato",IF(Y40&gt;='Léeme'!$B$19,"barato",IF(Y40&lt;=-'Léeme'!$B$19,"caro","medio")))</f>
        <v/>
      </c>
      <c r="AD40" s="7" t="n">
        <v>0.008771929824561403</v>
      </c>
      <c r="AE40" s="7" t="n"/>
      <c r="AF40" s="7" t="n"/>
      <c r="AG40" s="7" t="n"/>
    </row>
    <row r="41">
      <c r="A41" s="3" t="inlineStr">
        <is>
          <t>2004-T3</t>
        </is>
      </c>
      <c r="B41" s="13" t="n">
        <v>38260</v>
      </c>
      <c r="C41" s="14" t="n">
        <v>22.515</v>
      </c>
      <c r="D41" s="14" t="n">
        <v>1.308</v>
      </c>
      <c r="E41" s="14" t="n">
        <v>1.46</v>
      </c>
      <c r="F41" s="5" t="n">
        <v>0.0414</v>
      </c>
      <c r="G41" s="5" t="n">
        <v>0.04137536155136723</v>
      </c>
      <c r="H41" s="5" t="n">
        <v>0.04350412382979796</v>
      </c>
      <c r="N41" s="9">
        <f>IF(F41="","",F41+'Léeme'!$B$10)</f>
        <v/>
      </c>
      <c r="O41" s="9">
        <f>IF(OR(G41="",N41=""),"",MIN(MAX(G41,'Léeme'!$B$11),'Léeme'!$B$12,N41-'Léeme'!$B$16))</f>
        <v/>
      </c>
      <c r="P41" s="16">
        <f>IF(OR(D41="",O41=""),"",IFERROR(IF(D41&lt;=0,"",D41*(1+O41)/(N41-O41)),""))</f>
        <v/>
      </c>
      <c r="Q41" s="9">
        <f>IF(H41="","",MIN(MAX(H41,'Léeme'!$B$13),'Léeme'!$B$14))</f>
        <v/>
      </c>
      <c r="R41" s="9">
        <f>IF(N41="","",MIN('Léeme'!$B$15,N41-'Léeme'!$B$16))</f>
        <v/>
      </c>
      <c r="S41" s="16">
        <f>IF(OR(E41="",Q41=""),"",IFERROR(IF(E41&lt;=0,"",E41*(((1+Q41)/(1+N41))+((1+Q41)/(1+N41))^2+((1+Q41)/(1+N41))^3+((1+Q41)/(1+N41))^4+((1+Q41)/(1+N41))^5)+E41*(1+Q41)^5*(1+R41)/((N41-R41)*(1+N41)^5)),""))</f>
        <v/>
      </c>
      <c r="T41" s="9">
        <f>IF(OR(E41="",N41=""),"",IFERROR((C41*N41-E41)/(C41+E41),""))</f>
        <v/>
      </c>
      <c r="U41" s="9">
        <f>IF(OR(H41="",T41=""),"",IFERROR(MIN(MAX(H41,'Léeme'!$B$17),'Léeme'!$B$18)-T41,""))</f>
        <v/>
      </c>
      <c r="V41" s="16">
        <f>IF(OR(I41="",M41="",L41=""),"",IFERROR((I41/M41-J41-K41)/L41,""))</f>
        <v/>
      </c>
      <c r="W41" s="11">
        <f>IFERROR(P41/C41-1,"")</f>
        <v/>
      </c>
      <c r="X41" s="11">
        <f>IFERROR(S41/C41-1,"")</f>
        <v/>
      </c>
      <c r="Y41" s="11">
        <f>IFERROR(V41/C41-1,"")</f>
        <v/>
      </c>
      <c r="Z41" s="3">
        <f>IF(OR(W41="",ISTEXT(W41)),"sin dato",IF(W41&gt;='Léeme'!$B$19,"barato",IF(W41&lt;=-'Léeme'!$B$19,"caro","medio")))</f>
        <v/>
      </c>
      <c r="AA41" s="3">
        <f>IF(OR(X41="",ISTEXT(X41)),"sin dato",IF(X41&gt;='Léeme'!$B$19,"barato",IF(X41&lt;=-'Léeme'!$B$19,"caro","medio")))</f>
        <v/>
      </c>
      <c r="AB41" s="3">
        <f>IF(OR(U41="",ISTEXT(U41)),"sin dato",IF(U41&gt;='Léeme'!$B$20,"barato",IF(U41&lt;=-'Léeme'!$B$20,"caro","medio")))</f>
        <v/>
      </c>
      <c r="AC41" s="3">
        <f>IF(OR(Y41="",ISTEXT(Y41)),"sin dato",IF(Y41&gt;='Léeme'!$B$19,"barato",IF(Y41&lt;=-'Léeme'!$B$19,"caro","medio")))</f>
        <v/>
      </c>
      <c r="AD41" s="7" t="n">
        <v>0.5916666666666667</v>
      </c>
      <c r="AE41" s="7" t="n"/>
      <c r="AF41" s="7" t="n"/>
      <c r="AG41" s="7" t="n"/>
    </row>
    <row r="42">
      <c r="A42" s="3" t="inlineStr">
        <is>
          <t>2004-T4</t>
        </is>
      </c>
      <c r="B42" s="13" t="n">
        <v>38352</v>
      </c>
      <c r="C42" s="14" t="n">
        <v>25.29</v>
      </c>
      <c r="D42" s="14" t="n">
        <v>1.32</v>
      </c>
      <c r="E42" s="14" t="n">
        <v>1.46</v>
      </c>
      <c r="F42" s="5" t="n">
        <v>0.0424</v>
      </c>
      <c r="G42" s="5" t="n">
        <v>0.04095039696925684</v>
      </c>
      <c r="H42" s="5" t="n">
        <v>0.04350412382979796</v>
      </c>
      <c r="N42" s="9">
        <f>IF(F42="","",F42+'Léeme'!$B$10)</f>
        <v/>
      </c>
      <c r="O42" s="9">
        <f>IF(OR(G42="",N42=""),"",MIN(MAX(G42,'Léeme'!$B$11),'Léeme'!$B$12,N42-'Léeme'!$B$16))</f>
        <v/>
      </c>
      <c r="P42" s="16">
        <f>IF(OR(D42="",O42=""),"",IFERROR(IF(D42&lt;=0,"",D42*(1+O42)/(N42-O42)),""))</f>
        <v/>
      </c>
      <c r="Q42" s="9">
        <f>IF(H42="","",MIN(MAX(H42,'Léeme'!$B$13),'Léeme'!$B$14))</f>
        <v/>
      </c>
      <c r="R42" s="9">
        <f>IF(N42="","",MIN('Léeme'!$B$15,N42-'Léeme'!$B$16))</f>
        <v/>
      </c>
      <c r="S42" s="16">
        <f>IF(OR(E42="",Q42=""),"",IFERROR(IF(E42&lt;=0,"",E42*(((1+Q42)/(1+N42))+((1+Q42)/(1+N42))^2+((1+Q42)/(1+N42))^3+((1+Q42)/(1+N42))^4+((1+Q42)/(1+N42))^5)+E42*(1+Q42)^5*(1+R42)/((N42-R42)*(1+N42)^5)),""))</f>
        <v/>
      </c>
      <c r="T42" s="9">
        <f>IF(OR(E42="",N42=""),"",IFERROR((C42*N42-E42)/(C42+E42),""))</f>
        <v/>
      </c>
      <c r="U42" s="9">
        <f>IF(OR(H42="",T42=""),"",IFERROR(MIN(MAX(H42,'Léeme'!$B$17),'Léeme'!$B$18)-T42,""))</f>
        <v/>
      </c>
      <c r="V42" s="16">
        <f>IF(OR(I42="",M42="",L42=""),"",IFERROR((I42/M42-J42-K42)/L42,""))</f>
        <v/>
      </c>
      <c r="W42" s="11">
        <f>IFERROR(P42/C42-1,"")</f>
        <v/>
      </c>
      <c r="X42" s="11">
        <f>IFERROR(S42/C42-1,"")</f>
        <v/>
      </c>
      <c r="Y42" s="11">
        <f>IFERROR(V42/C42-1,"")</f>
        <v/>
      </c>
      <c r="Z42" s="3">
        <f>IF(OR(W42="",ISTEXT(W42)),"sin dato",IF(W42&gt;='Léeme'!$B$19,"barato",IF(W42&lt;=-'Léeme'!$B$19,"caro","medio")))</f>
        <v/>
      </c>
      <c r="AA42" s="3">
        <f>IF(OR(X42="",ISTEXT(X42)),"sin dato",IF(X42&gt;='Léeme'!$B$19,"barato",IF(X42&lt;=-'Léeme'!$B$19,"caro","medio")))</f>
        <v/>
      </c>
      <c r="AB42" s="3">
        <f>IF(OR(U42="",ISTEXT(U42)),"sin dato",IF(U42&gt;='Léeme'!$B$20,"barato",IF(U42&lt;=-'Léeme'!$B$20,"caro","medio")))</f>
        <v/>
      </c>
      <c r="AC42" s="3">
        <f>IF(OR(Y42="",ISTEXT(Y42)),"sin dato",IF(Y42&gt;='Léeme'!$B$19,"barato",IF(Y42&lt;=-'Léeme'!$B$19,"caro","medio")))</f>
        <v/>
      </c>
      <c r="AD42" s="7" t="n">
        <v>0.2619047619047619</v>
      </c>
      <c r="AE42" s="7" t="n"/>
      <c r="AF42" s="7" t="n"/>
      <c r="AG42" s="7" t="n"/>
    </row>
    <row r="43">
      <c r="A43" s="3" t="inlineStr">
        <is>
          <t>2005-T1</t>
        </is>
      </c>
      <c r="B43" s="13" t="n">
        <v>38442</v>
      </c>
      <c r="C43" s="14" t="n">
        <v>22.880001</v>
      </c>
      <c r="D43" s="14" t="n">
        <v>1.332</v>
      </c>
      <c r="E43" s="14" t="n">
        <v>1.5</v>
      </c>
      <c r="F43" s="5" t="n">
        <v>0.045</v>
      </c>
      <c r="G43" s="5" t="n">
        <v>0.04168132885426812</v>
      </c>
      <c r="H43" s="5" t="n">
        <v>0.04074233171238029</v>
      </c>
      <c r="N43" s="9">
        <f>IF(F43="","",F43+'Léeme'!$B$10)</f>
        <v/>
      </c>
      <c r="O43" s="9">
        <f>IF(OR(G43="",N43=""),"",MIN(MAX(G43,'Léeme'!$B$11),'Léeme'!$B$12,N43-'Léeme'!$B$16))</f>
        <v/>
      </c>
      <c r="P43" s="16">
        <f>IF(OR(D43="",O43=""),"",IFERROR(IF(D43&lt;=0,"",D43*(1+O43)/(N43-O43)),""))</f>
        <v/>
      </c>
      <c r="Q43" s="9">
        <f>IF(H43="","",MIN(MAX(H43,'Léeme'!$B$13),'Léeme'!$B$14))</f>
        <v/>
      </c>
      <c r="R43" s="9">
        <f>IF(N43="","",MIN('Léeme'!$B$15,N43-'Léeme'!$B$16))</f>
        <v/>
      </c>
      <c r="S43" s="16">
        <f>IF(OR(E43="",Q43=""),"",IFERROR(IF(E43&lt;=0,"",E43*(((1+Q43)/(1+N43))+((1+Q43)/(1+N43))^2+((1+Q43)/(1+N43))^3+((1+Q43)/(1+N43))^4+((1+Q43)/(1+N43))^5)+E43*(1+Q43)^5*(1+R43)/((N43-R43)*(1+N43)^5)),""))</f>
        <v/>
      </c>
      <c r="T43" s="9">
        <f>IF(OR(E43="",N43=""),"",IFERROR((C43*N43-E43)/(C43+E43),""))</f>
        <v/>
      </c>
      <c r="U43" s="9">
        <f>IF(OR(H43="",T43=""),"",IFERROR(MIN(MAX(H43,'Léeme'!$B$17),'Léeme'!$B$18)-T43,""))</f>
        <v/>
      </c>
      <c r="V43" s="16">
        <f>IF(OR(I43="",M43="",L43=""),"",IFERROR((I43/M43-J43-K43)/L43,""))</f>
        <v/>
      </c>
      <c r="W43" s="11">
        <f>IFERROR(P43/C43-1,"")</f>
        <v/>
      </c>
      <c r="X43" s="11">
        <f>IFERROR(S43/C43-1,"")</f>
        <v/>
      </c>
      <c r="Y43" s="11">
        <f>IFERROR(V43/C43-1,"")</f>
        <v/>
      </c>
      <c r="Z43" s="3">
        <f>IF(OR(W43="",ISTEXT(W43)),"sin dato",IF(W43&gt;='Léeme'!$B$19,"barato",IF(W43&lt;=-'Léeme'!$B$19,"caro","medio")))</f>
        <v/>
      </c>
      <c r="AA43" s="3">
        <f>IF(OR(X43="",ISTEXT(X43)),"sin dato",IF(X43&gt;='Léeme'!$B$19,"barato",IF(X43&lt;=-'Léeme'!$B$19,"caro","medio")))</f>
        <v/>
      </c>
      <c r="AB43" s="3">
        <f>IF(OR(U43="",ISTEXT(U43)),"sin dato",IF(U43&gt;='Léeme'!$B$20,"barato",IF(U43&lt;=-'Léeme'!$B$20,"caro","medio")))</f>
        <v/>
      </c>
      <c r="AC43" s="3">
        <f>IF(OR(Y43="",ISTEXT(Y43)),"sin dato",IF(Y43&gt;='Léeme'!$B$19,"barato",IF(Y43&lt;=-'Léeme'!$B$19,"caro","medio")))</f>
        <v/>
      </c>
      <c r="AD43" s="7" t="n">
        <v>0.2954545454545455</v>
      </c>
      <c r="AE43" s="7" t="n">
        <v>0.06944444444444445</v>
      </c>
      <c r="AF43" s="7" t="n">
        <v>0.06944444444444445</v>
      </c>
      <c r="AG43" s="7" t="n"/>
    </row>
    <row r="44">
      <c r="A44" s="3" t="inlineStr">
        <is>
          <t>2005-T2</t>
        </is>
      </c>
      <c r="B44" s="13" t="n">
        <v>38533</v>
      </c>
      <c r="C44" s="14" t="n">
        <v>25.039999</v>
      </c>
      <c r="D44" s="14" t="n">
        <v>1.332</v>
      </c>
      <c r="E44" s="14" t="n">
        <v>1.5</v>
      </c>
      <c r="F44" s="5" t="n">
        <v>0.0394</v>
      </c>
      <c r="G44" s="5" t="n">
        <v>0.03939441034422764</v>
      </c>
      <c r="H44" s="5" t="n">
        <v>0.04074233171238029</v>
      </c>
      <c r="N44" s="9">
        <f>IF(F44="","",F44+'Léeme'!$B$10)</f>
        <v/>
      </c>
      <c r="O44" s="9">
        <f>IF(OR(G44="",N44=""),"",MIN(MAX(G44,'Léeme'!$B$11),'Léeme'!$B$12,N44-'Léeme'!$B$16))</f>
        <v/>
      </c>
      <c r="P44" s="16">
        <f>IF(OR(D44="",O44=""),"",IFERROR(IF(D44&lt;=0,"",D44*(1+O44)/(N44-O44)),""))</f>
        <v/>
      </c>
      <c r="Q44" s="9">
        <f>IF(H44="","",MIN(MAX(H44,'Léeme'!$B$13),'Léeme'!$B$14))</f>
        <v/>
      </c>
      <c r="R44" s="9">
        <f>IF(N44="","",MIN('Léeme'!$B$15,N44-'Léeme'!$B$16))</f>
        <v/>
      </c>
      <c r="S44" s="16">
        <f>IF(OR(E44="",Q44=""),"",IFERROR(IF(E44&lt;=0,"",E44*(((1+Q44)/(1+N44))+((1+Q44)/(1+N44))^2+((1+Q44)/(1+N44))^3+((1+Q44)/(1+N44))^4+((1+Q44)/(1+N44))^5)+E44*(1+Q44)^5*(1+R44)/((N44-R44)*(1+N44)^5)),""))</f>
        <v/>
      </c>
      <c r="T44" s="9">
        <f>IF(OR(E44="",N44=""),"",IFERROR((C44*N44-E44)/(C44+E44),""))</f>
        <v/>
      </c>
      <c r="U44" s="9">
        <f>IF(OR(H44="",T44=""),"",IFERROR(MIN(MAX(H44,'Léeme'!$B$17),'Léeme'!$B$18)-T44,""))</f>
        <v/>
      </c>
      <c r="V44" s="16">
        <f>IF(OR(I44="",M44="",L44=""),"",IFERROR((I44/M44-J44-K44)/L44,""))</f>
        <v/>
      </c>
      <c r="W44" s="11">
        <f>IFERROR(P44/C44-1,"")</f>
        <v/>
      </c>
      <c r="X44" s="11">
        <f>IFERROR(S44/C44-1,"")</f>
        <v/>
      </c>
      <c r="Y44" s="11">
        <f>IFERROR(V44/C44-1,"")</f>
        <v/>
      </c>
      <c r="Z44" s="3">
        <f>IF(OR(W44="",ISTEXT(W44)),"sin dato",IF(W44&gt;='Léeme'!$B$19,"barato",IF(W44&lt;=-'Léeme'!$B$19,"caro","medio")))</f>
        <v/>
      </c>
      <c r="AA44" s="3">
        <f>IF(OR(X44="",ISTEXT(X44)),"sin dato",IF(X44&gt;='Léeme'!$B$19,"barato",IF(X44&lt;=-'Léeme'!$B$19,"caro","medio")))</f>
        <v/>
      </c>
      <c r="AB44" s="3">
        <f>IF(OR(U44="",ISTEXT(U44)),"sin dato",IF(U44&gt;='Léeme'!$B$20,"barato",IF(U44&lt;=-'Léeme'!$B$20,"caro","medio")))</f>
        <v/>
      </c>
      <c r="AC44" s="3">
        <f>IF(OR(Y44="",ISTEXT(Y44)),"sin dato",IF(Y44&gt;='Léeme'!$B$19,"barato",IF(Y44&lt;=-'Léeme'!$B$19,"caro","medio")))</f>
        <v/>
      </c>
      <c r="AD44" s="7" t="n">
        <v>0.4420289855072464</v>
      </c>
      <c r="AE44" s="7" t="n">
        <v>0.1153846153846154</v>
      </c>
      <c r="AF44" s="7" t="n">
        <v>0.08974358974358974</v>
      </c>
      <c r="AG44" s="7" t="n"/>
    </row>
    <row r="45">
      <c r="A45" s="3" t="inlineStr">
        <is>
          <t>2005-T3</t>
        </is>
      </c>
      <c r="B45" s="13" t="n">
        <v>38625</v>
      </c>
      <c r="C45" s="14" t="n">
        <v>23.910001</v>
      </c>
      <c r="D45" s="14" t="n">
        <v>1.392</v>
      </c>
      <c r="E45" s="14" t="n">
        <v>1.5</v>
      </c>
      <c r="F45" s="5" t="n">
        <v>0.0434</v>
      </c>
      <c r="G45" s="5" t="n">
        <v>0.04745176373283</v>
      </c>
      <c r="H45" s="5" t="n">
        <v>0.04074233171238029</v>
      </c>
      <c r="N45" s="9">
        <f>IF(F45="","",F45+'Léeme'!$B$10)</f>
        <v/>
      </c>
      <c r="O45" s="9">
        <f>IF(OR(G45="",N45=""),"",MIN(MAX(G45,'Léeme'!$B$11),'Léeme'!$B$12,N45-'Léeme'!$B$16))</f>
        <v/>
      </c>
      <c r="P45" s="16">
        <f>IF(OR(D45="",O45=""),"",IFERROR(IF(D45&lt;=0,"",D45*(1+O45)/(N45-O45)),""))</f>
        <v/>
      </c>
      <c r="Q45" s="9">
        <f>IF(H45="","",MIN(MAX(H45,'Léeme'!$B$13),'Léeme'!$B$14))</f>
        <v/>
      </c>
      <c r="R45" s="9">
        <f>IF(N45="","",MIN('Léeme'!$B$15,N45-'Léeme'!$B$16))</f>
        <v/>
      </c>
      <c r="S45" s="16">
        <f>IF(OR(E45="",Q45=""),"",IFERROR(IF(E45&lt;=0,"",E45*(((1+Q45)/(1+N45))+((1+Q45)/(1+N45))^2+((1+Q45)/(1+N45))^3+((1+Q45)/(1+N45))^4+((1+Q45)/(1+N45))^5)+E45*(1+Q45)^5*(1+R45)/((N45-R45)*(1+N45)^5)),""))</f>
        <v/>
      </c>
      <c r="T45" s="9">
        <f>IF(OR(E45="",N45=""),"",IFERROR((C45*N45-E45)/(C45+E45),""))</f>
        <v/>
      </c>
      <c r="U45" s="9">
        <f>IF(OR(H45="",T45=""),"",IFERROR(MIN(MAX(H45,'Léeme'!$B$17),'Léeme'!$B$18)-T45,""))</f>
        <v/>
      </c>
      <c r="V45" s="16">
        <f>IF(OR(I45="",M45="",L45=""),"",IFERROR((I45/M45-J45-K45)/L45,""))</f>
        <v/>
      </c>
      <c r="W45" s="11">
        <f>IFERROR(P45/C45-1,"")</f>
        <v/>
      </c>
      <c r="X45" s="11">
        <f>IFERROR(S45/C45-1,"")</f>
        <v/>
      </c>
      <c r="Y45" s="11">
        <f>IFERROR(V45/C45-1,"")</f>
        <v/>
      </c>
      <c r="Z45" s="3">
        <f>IF(OR(W45="",ISTEXT(W45)),"sin dato",IF(W45&gt;='Léeme'!$B$19,"barato",IF(W45&lt;=-'Léeme'!$B$19,"caro","medio")))</f>
        <v/>
      </c>
      <c r="AA45" s="3">
        <f>IF(OR(X45="",ISTEXT(X45)),"sin dato",IF(X45&gt;='Léeme'!$B$19,"barato",IF(X45&lt;=-'Léeme'!$B$19,"caro","medio")))</f>
        <v/>
      </c>
      <c r="AB45" s="3">
        <f>IF(OR(U45="",ISTEXT(U45)),"sin dato",IF(U45&gt;='Léeme'!$B$20,"barato",IF(U45&lt;=-'Léeme'!$B$20,"caro","medio")))</f>
        <v/>
      </c>
      <c r="AC45" s="3">
        <f>IF(OR(Y45="",ISTEXT(Y45)),"sin dato",IF(Y45&gt;='Léeme'!$B$19,"barato",IF(Y45&lt;=-'Léeme'!$B$19,"caro","medio")))</f>
        <v/>
      </c>
      <c r="AD45" s="7" t="n">
        <v>0.4236111111111111</v>
      </c>
      <c r="AE45" s="7" t="n">
        <v>0.08333333333333333</v>
      </c>
      <c r="AF45" s="7" t="n">
        <v>0.08333333333333333</v>
      </c>
      <c r="AG45" s="7" t="n"/>
    </row>
    <row r="46">
      <c r="A46" s="3" t="inlineStr">
        <is>
          <t>2005-T4</t>
        </is>
      </c>
      <c r="B46" s="13" t="n">
        <v>38716</v>
      </c>
      <c r="C46" s="14" t="n">
        <v>21.619999</v>
      </c>
      <c r="D46" s="14" t="n">
        <v>1.392</v>
      </c>
      <c r="E46" s="14" t="n">
        <v>1.5</v>
      </c>
      <c r="F46" s="5" t="n">
        <v>0.04389999999999999</v>
      </c>
      <c r="G46" s="5" t="n">
        <v>0.04631692708701407</v>
      </c>
      <c r="H46" s="5" t="n">
        <v>0.04074233171238029</v>
      </c>
      <c r="N46" s="9">
        <f>IF(F46="","",F46+'Léeme'!$B$10)</f>
        <v/>
      </c>
      <c r="O46" s="9">
        <f>IF(OR(G46="",N46=""),"",MIN(MAX(G46,'Léeme'!$B$11),'Léeme'!$B$12,N46-'Léeme'!$B$16))</f>
        <v/>
      </c>
      <c r="P46" s="16">
        <f>IF(OR(D46="",O46=""),"",IFERROR(IF(D46&lt;=0,"",D46*(1+O46)/(N46-O46)),""))</f>
        <v/>
      </c>
      <c r="Q46" s="9">
        <f>IF(H46="","",MIN(MAX(H46,'Léeme'!$B$13),'Léeme'!$B$14))</f>
        <v/>
      </c>
      <c r="R46" s="9">
        <f>IF(N46="","",MIN('Léeme'!$B$15,N46-'Léeme'!$B$16))</f>
        <v/>
      </c>
      <c r="S46" s="16">
        <f>IF(OR(E46="",Q46=""),"",IFERROR(IF(E46&lt;=0,"",E46*(((1+Q46)/(1+N46))+((1+Q46)/(1+N46))^2+((1+Q46)/(1+N46))^3+((1+Q46)/(1+N46))^4+((1+Q46)/(1+N46))^5)+E46*(1+Q46)^5*(1+R46)/((N46-R46)*(1+N46)^5)),""))</f>
        <v/>
      </c>
      <c r="T46" s="9">
        <f>IF(OR(E46="",N46=""),"",IFERROR((C46*N46-E46)/(C46+E46),""))</f>
        <v/>
      </c>
      <c r="U46" s="9">
        <f>IF(OR(H46="",T46=""),"",IFERROR(MIN(MAX(H46,'Léeme'!$B$17),'Léeme'!$B$18)-T46,""))</f>
        <v/>
      </c>
      <c r="V46" s="16">
        <f>IF(OR(I46="",M46="",L46=""),"",IFERROR((I46/M46-J46-K46)/L46,""))</f>
        <v/>
      </c>
      <c r="W46" s="11">
        <f>IFERROR(P46/C46-1,"")</f>
        <v/>
      </c>
      <c r="X46" s="11">
        <f>IFERROR(S46/C46-1,"")</f>
        <v/>
      </c>
      <c r="Y46" s="11">
        <f>IFERROR(V46/C46-1,"")</f>
        <v/>
      </c>
      <c r="Z46" s="3">
        <f>IF(OR(W46="",ISTEXT(W46)),"sin dato",IF(W46&gt;='Léeme'!$B$19,"barato",IF(W46&lt;=-'Léeme'!$B$19,"caro","medio")))</f>
        <v/>
      </c>
      <c r="AA46" s="3">
        <f>IF(OR(X46="",ISTEXT(X46)),"sin dato",IF(X46&gt;='Léeme'!$B$19,"barato",IF(X46&lt;=-'Léeme'!$B$19,"caro","medio")))</f>
        <v/>
      </c>
      <c r="AB46" s="3">
        <f>IF(OR(U46="",ISTEXT(U46)),"sin dato",IF(U46&gt;='Léeme'!$B$20,"barato",IF(U46&lt;=-'Léeme'!$B$20,"caro","medio")))</f>
        <v/>
      </c>
      <c r="AC46" s="3">
        <f>IF(OR(Y46="",ISTEXT(Y46)),"sin dato",IF(Y46&gt;='Léeme'!$B$19,"barato",IF(Y46&lt;=-'Léeme'!$B$19,"caro","medio")))</f>
        <v/>
      </c>
      <c r="AD46" s="7" t="n">
        <v>0.7</v>
      </c>
      <c r="AE46" s="7" t="n">
        <v>0.3888888888888889</v>
      </c>
      <c r="AF46" s="7" t="n">
        <v>0.3</v>
      </c>
      <c r="AG46" s="7" t="n"/>
    </row>
    <row r="47">
      <c r="A47" s="3" t="inlineStr">
        <is>
          <t>2006-T1</t>
        </is>
      </c>
      <c r="B47" s="13" t="n">
        <v>38807</v>
      </c>
      <c r="C47" s="14" t="n">
        <v>24.210001</v>
      </c>
      <c r="D47" s="14" t="n">
        <v>1.404</v>
      </c>
      <c r="E47" s="14" t="n">
        <v>1.62</v>
      </c>
      <c r="F47" s="5" t="n">
        <v>0.0486</v>
      </c>
      <c r="G47" s="5" t="n">
        <v>0.04698529649644878</v>
      </c>
      <c r="H47" s="5" t="n">
        <v>0.05688557575961517</v>
      </c>
      <c r="N47" s="9">
        <f>IF(F47="","",F47+'Léeme'!$B$10)</f>
        <v/>
      </c>
      <c r="O47" s="9">
        <f>IF(OR(G47="",N47=""),"",MIN(MAX(G47,'Léeme'!$B$11),'Léeme'!$B$12,N47-'Léeme'!$B$16))</f>
        <v/>
      </c>
      <c r="P47" s="16">
        <f>IF(OR(D47="",O47=""),"",IFERROR(IF(D47&lt;=0,"",D47*(1+O47)/(N47-O47)),""))</f>
        <v/>
      </c>
      <c r="Q47" s="9">
        <f>IF(H47="","",MIN(MAX(H47,'Léeme'!$B$13),'Léeme'!$B$14))</f>
        <v/>
      </c>
      <c r="R47" s="9">
        <f>IF(N47="","",MIN('Léeme'!$B$15,N47-'Léeme'!$B$16))</f>
        <v/>
      </c>
      <c r="S47" s="16">
        <f>IF(OR(E47="",Q47=""),"",IFERROR(IF(E47&lt;=0,"",E47*(((1+Q47)/(1+N47))+((1+Q47)/(1+N47))^2+((1+Q47)/(1+N47))^3+((1+Q47)/(1+N47))^4+((1+Q47)/(1+N47))^5)+E47*(1+Q47)^5*(1+R47)/((N47-R47)*(1+N47)^5)),""))</f>
        <v/>
      </c>
      <c r="T47" s="9">
        <f>IF(OR(E47="",N47=""),"",IFERROR((C47*N47-E47)/(C47+E47),""))</f>
        <v/>
      </c>
      <c r="U47" s="9">
        <f>IF(OR(H47="",T47=""),"",IFERROR(MIN(MAX(H47,'Léeme'!$B$17),'Léeme'!$B$18)-T47,""))</f>
        <v/>
      </c>
      <c r="V47" s="16">
        <f>IF(OR(I47="",M47="",L47=""),"",IFERROR((I47/M47-J47-K47)/L47,""))</f>
        <v/>
      </c>
      <c r="W47" s="11">
        <f>IFERROR(P47/C47-1,"")</f>
        <v/>
      </c>
      <c r="X47" s="11">
        <f>IFERROR(S47/C47-1,"")</f>
        <v/>
      </c>
      <c r="Y47" s="11">
        <f>IFERROR(V47/C47-1,"")</f>
        <v/>
      </c>
      <c r="Z47" s="3">
        <f>IF(OR(W47="",ISTEXT(W47)),"sin dato",IF(W47&gt;='Léeme'!$B$19,"barato",IF(W47&lt;=-'Léeme'!$B$19,"caro","medio")))</f>
        <v/>
      </c>
      <c r="AA47" s="3">
        <f>IF(OR(X47="",ISTEXT(X47)),"sin dato",IF(X47&gt;='Léeme'!$B$19,"barato",IF(X47&lt;=-'Léeme'!$B$19,"caro","medio")))</f>
        <v/>
      </c>
      <c r="AB47" s="3">
        <f>IF(OR(U47="",ISTEXT(U47)),"sin dato",IF(U47&gt;='Léeme'!$B$20,"barato",IF(U47&lt;=-'Léeme'!$B$20,"caro","medio")))</f>
        <v/>
      </c>
      <c r="AC47" s="3">
        <f>IF(OR(Y47="",ISTEXT(Y47)),"sin dato",IF(Y47&gt;='Léeme'!$B$19,"barato",IF(Y47&lt;=-'Léeme'!$B$19,"caro","medio")))</f>
        <v/>
      </c>
      <c r="AD47" s="7" t="n">
        <v>0.1217948717948718</v>
      </c>
      <c r="AE47" s="7" t="n">
        <v>0.2604166666666667</v>
      </c>
      <c r="AF47" s="7" t="n">
        <v>0.65625</v>
      </c>
      <c r="AG47" s="7" t="n"/>
    </row>
    <row r="48">
      <c r="A48" s="3" t="inlineStr">
        <is>
          <t>2006-T2</t>
        </is>
      </c>
      <c r="B48" s="13" t="n">
        <v>38898</v>
      </c>
      <c r="C48" s="14" t="n">
        <v>21.9</v>
      </c>
      <c r="D48" s="14" t="n">
        <v>1.416</v>
      </c>
      <c r="E48" s="14" t="n">
        <v>1.62</v>
      </c>
      <c r="F48" s="5" t="n">
        <v>0.0515</v>
      </c>
      <c r="G48" s="5" t="n">
        <v>0.04652794771577984</v>
      </c>
      <c r="H48" s="5" t="n">
        <v>0.0517980442397814</v>
      </c>
      <c r="N48" s="9">
        <f>IF(F48="","",F48+'Léeme'!$B$10)</f>
        <v/>
      </c>
      <c r="O48" s="9">
        <f>IF(OR(G48="",N48=""),"",MIN(MAX(G48,'Léeme'!$B$11),'Léeme'!$B$12,N48-'Léeme'!$B$16))</f>
        <v/>
      </c>
      <c r="P48" s="16">
        <f>IF(OR(D48="",O48=""),"",IFERROR(IF(D48&lt;=0,"",D48*(1+O48)/(N48-O48)),""))</f>
        <v/>
      </c>
      <c r="Q48" s="9">
        <f>IF(H48="","",MIN(MAX(H48,'Léeme'!$B$13),'Léeme'!$B$14))</f>
        <v/>
      </c>
      <c r="R48" s="9">
        <f>IF(N48="","",MIN('Léeme'!$B$15,N48-'Léeme'!$B$16))</f>
        <v/>
      </c>
      <c r="S48" s="16">
        <f>IF(OR(E48="",Q48=""),"",IFERROR(IF(E48&lt;=0,"",E48*(((1+Q48)/(1+N48))+((1+Q48)/(1+N48))^2+((1+Q48)/(1+N48))^3+((1+Q48)/(1+N48))^4+((1+Q48)/(1+N48))^5)+E48*(1+Q48)^5*(1+R48)/((N48-R48)*(1+N48)^5)),""))</f>
        <v/>
      </c>
      <c r="T48" s="9">
        <f>IF(OR(E48="",N48=""),"",IFERROR((C48*N48-E48)/(C48+E48),""))</f>
        <v/>
      </c>
      <c r="U48" s="9">
        <f>IF(OR(H48="",T48=""),"",IFERROR(MIN(MAX(H48,'Léeme'!$B$17),'Léeme'!$B$18)-T48,""))</f>
        <v/>
      </c>
      <c r="V48" s="16">
        <f>IF(OR(I48="",M48="",L48=""),"",IFERROR((I48/M48-J48-K48)/L48,""))</f>
        <v/>
      </c>
      <c r="W48" s="11">
        <f>IFERROR(P48/C48-1,"")</f>
        <v/>
      </c>
      <c r="X48" s="11">
        <f>IFERROR(S48/C48-1,"")</f>
        <v/>
      </c>
      <c r="Y48" s="11">
        <f>IFERROR(V48/C48-1,"")</f>
        <v/>
      </c>
      <c r="Z48" s="3">
        <f>IF(OR(W48="",ISTEXT(W48)),"sin dato",IF(W48&gt;='Léeme'!$B$19,"barato",IF(W48&lt;=-'Léeme'!$B$19,"caro","medio")))</f>
        <v/>
      </c>
      <c r="AA48" s="3">
        <f>IF(OR(X48="",ISTEXT(X48)),"sin dato",IF(X48&gt;='Léeme'!$B$19,"barato",IF(X48&lt;=-'Léeme'!$B$19,"caro","medio")))</f>
        <v/>
      </c>
      <c r="AB48" s="3">
        <f>IF(OR(U48="",ISTEXT(U48)),"sin dato",IF(U48&gt;='Léeme'!$B$20,"barato",IF(U48&lt;=-'Léeme'!$B$20,"caro","medio")))</f>
        <v/>
      </c>
      <c r="AC48" s="3">
        <f>IF(OR(Y48="",ISTEXT(Y48)),"sin dato",IF(Y48&gt;='Léeme'!$B$19,"barato",IF(Y48&lt;=-'Léeme'!$B$19,"caro","medio")))</f>
        <v/>
      </c>
      <c r="AD48" s="7" t="n">
        <v>0.191358024691358</v>
      </c>
      <c r="AE48" s="7" t="n">
        <v>0.3627450980392157</v>
      </c>
      <c r="AF48" s="7" t="n">
        <v>0.6372549019607843</v>
      </c>
      <c r="AG48" s="7" t="n"/>
    </row>
    <row r="49">
      <c r="A49" s="3" t="inlineStr">
        <is>
          <t>2006-T3</t>
        </is>
      </c>
      <c r="B49" s="13" t="n">
        <v>38989</v>
      </c>
      <c r="C49" s="14" t="n">
        <v>24.71</v>
      </c>
      <c r="D49" s="14" t="n">
        <v>1.512</v>
      </c>
      <c r="E49" s="14" t="n">
        <v>1.62</v>
      </c>
      <c r="F49" s="5" t="n">
        <v>0.0464</v>
      </c>
      <c r="G49" s="5" t="n">
        <v>0.05922384104881218</v>
      </c>
      <c r="H49" s="5" t="n">
        <v>0.0517980442397814</v>
      </c>
      <c r="N49" s="9">
        <f>IF(F49="","",F49+'Léeme'!$B$10)</f>
        <v/>
      </c>
      <c r="O49" s="9">
        <f>IF(OR(G49="",N49=""),"",MIN(MAX(G49,'Léeme'!$B$11),'Léeme'!$B$12,N49-'Léeme'!$B$16))</f>
        <v/>
      </c>
      <c r="P49" s="16">
        <f>IF(OR(D49="",O49=""),"",IFERROR(IF(D49&lt;=0,"",D49*(1+O49)/(N49-O49)),""))</f>
        <v/>
      </c>
      <c r="Q49" s="9">
        <f>IF(H49="","",MIN(MAX(H49,'Léeme'!$B$13),'Léeme'!$B$14))</f>
        <v/>
      </c>
      <c r="R49" s="9">
        <f>IF(N49="","",MIN('Léeme'!$B$15,N49-'Léeme'!$B$16))</f>
        <v/>
      </c>
      <c r="S49" s="16">
        <f>IF(OR(E49="",Q49=""),"",IFERROR(IF(E49&lt;=0,"",E49*(((1+Q49)/(1+N49))+((1+Q49)/(1+N49))^2+((1+Q49)/(1+N49))^3+((1+Q49)/(1+N49))^4+((1+Q49)/(1+N49))^5)+E49*(1+Q49)^5*(1+R49)/((N49-R49)*(1+N49)^5)),""))</f>
        <v/>
      </c>
      <c r="T49" s="9">
        <f>IF(OR(E49="",N49=""),"",IFERROR((C49*N49-E49)/(C49+E49),""))</f>
        <v/>
      </c>
      <c r="U49" s="9">
        <f>IF(OR(H49="",T49=""),"",IFERROR(MIN(MAX(H49,'Léeme'!$B$17),'Léeme'!$B$18)-T49,""))</f>
        <v/>
      </c>
      <c r="V49" s="16">
        <f>IF(OR(I49="",M49="",L49=""),"",IFERROR((I49/M49-J49-K49)/L49,""))</f>
        <v/>
      </c>
      <c r="W49" s="11">
        <f>IFERROR(P49/C49-1,"")</f>
        <v/>
      </c>
      <c r="X49" s="11">
        <f>IFERROR(S49/C49-1,"")</f>
        <v/>
      </c>
      <c r="Y49" s="11">
        <f>IFERROR(V49/C49-1,"")</f>
        <v/>
      </c>
      <c r="Z49" s="3">
        <f>IF(OR(W49="",ISTEXT(W49)),"sin dato",IF(W49&gt;='Léeme'!$B$19,"barato",IF(W49&lt;=-'Léeme'!$B$19,"caro","medio")))</f>
        <v/>
      </c>
      <c r="AA49" s="3">
        <f>IF(OR(X49="",ISTEXT(X49)),"sin dato",IF(X49&gt;='Léeme'!$B$19,"barato",IF(X49&lt;=-'Léeme'!$B$19,"caro","medio")))</f>
        <v/>
      </c>
      <c r="AB49" s="3">
        <f>IF(OR(U49="",ISTEXT(U49)),"sin dato",IF(U49&gt;='Léeme'!$B$20,"barato",IF(U49&lt;=-'Léeme'!$B$20,"caro","medio")))</f>
        <v/>
      </c>
      <c r="AC49" s="3">
        <f>IF(OR(Y49="",ISTEXT(Y49)),"sin dato",IF(Y49&gt;='Léeme'!$B$19,"barato",IF(Y49&lt;=-'Léeme'!$B$19,"caro","medio")))</f>
        <v/>
      </c>
      <c r="AD49" s="7" t="n">
        <v>0.3630952380952381</v>
      </c>
      <c r="AE49" s="7" t="n">
        <v>0.212962962962963</v>
      </c>
      <c r="AF49" s="7" t="n">
        <v>0.5462962962962963</v>
      </c>
      <c r="AG49" s="7" t="n"/>
    </row>
    <row r="50">
      <c r="A50" s="3" t="inlineStr">
        <is>
          <t>2006-T4</t>
        </is>
      </c>
      <c r="B50" s="13" t="n">
        <v>39080</v>
      </c>
      <c r="C50" s="14" t="n">
        <v>27.7</v>
      </c>
      <c r="D50" s="14" t="n">
        <v>1.512</v>
      </c>
      <c r="E50" s="14" t="n">
        <v>1.62</v>
      </c>
      <c r="F50" s="5" t="n">
        <v>0.0471</v>
      </c>
      <c r="G50" s="5" t="n">
        <v>0.0581065138341208</v>
      </c>
      <c r="H50" s="5" t="n">
        <v>0.0517980442397814</v>
      </c>
      <c r="N50" s="9">
        <f>IF(F50="","",F50+'Léeme'!$B$10)</f>
        <v/>
      </c>
      <c r="O50" s="9">
        <f>IF(OR(G50="",N50=""),"",MIN(MAX(G50,'Léeme'!$B$11),'Léeme'!$B$12,N50-'Léeme'!$B$16))</f>
        <v/>
      </c>
      <c r="P50" s="16">
        <f>IF(OR(D50="",O50=""),"",IFERROR(IF(D50&lt;=0,"",D50*(1+O50)/(N50-O50)),""))</f>
        <v/>
      </c>
      <c r="Q50" s="9">
        <f>IF(H50="","",MIN(MAX(H50,'Léeme'!$B$13),'Léeme'!$B$14))</f>
        <v/>
      </c>
      <c r="R50" s="9">
        <f>IF(N50="","",MIN('Léeme'!$B$15,N50-'Léeme'!$B$16))</f>
        <v/>
      </c>
      <c r="S50" s="16">
        <f>IF(OR(E50="",Q50=""),"",IFERROR(IF(E50&lt;=0,"",E50*(((1+Q50)/(1+N50))+((1+Q50)/(1+N50))^2+((1+Q50)/(1+N50))^3+((1+Q50)/(1+N50))^4+((1+Q50)/(1+N50))^5)+E50*(1+Q50)^5*(1+R50)/((N50-R50)*(1+N50)^5)),""))</f>
        <v/>
      </c>
      <c r="T50" s="9">
        <f>IF(OR(E50="",N50=""),"",IFERROR((C50*N50-E50)/(C50+E50),""))</f>
        <v/>
      </c>
      <c r="U50" s="9">
        <f>IF(OR(H50="",T50=""),"",IFERROR(MIN(MAX(H50,'Léeme'!$B$17),'Léeme'!$B$18)-T50,""))</f>
        <v/>
      </c>
      <c r="V50" s="16">
        <f>IF(OR(I50="",M50="",L50=""),"",IFERROR((I50/M50-J50-K50)/L50,""))</f>
        <v/>
      </c>
      <c r="W50" s="11">
        <f>IFERROR(P50/C50-1,"")</f>
        <v/>
      </c>
      <c r="X50" s="11">
        <f>IFERROR(S50/C50-1,"")</f>
        <v/>
      </c>
      <c r="Y50" s="11">
        <f>IFERROR(V50/C50-1,"")</f>
        <v/>
      </c>
      <c r="Z50" s="3">
        <f>IF(OR(W50="",ISTEXT(W50)),"sin dato",IF(W50&gt;='Léeme'!$B$19,"barato",IF(W50&lt;=-'Léeme'!$B$19,"caro","medio")))</f>
        <v/>
      </c>
      <c r="AA50" s="3">
        <f>IF(OR(X50="",ISTEXT(X50)),"sin dato",IF(X50&gt;='Léeme'!$B$19,"barato",IF(X50&lt;=-'Léeme'!$B$19,"caro","medio")))</f>
        <v/>
      </c>
      <c r="AB50" s="3">
        <f>IF(OR(U50="",ISTEXT(U50)),"sin dato",IF(U50&gt;='Léeme'!$B$20,"barato",IF(U50&lt;=-'Léeme'!$B$20,"caro","medio")))</f>
        <v/>
      </c>
      <c r="AC50" s="3">
        <f>IF(OR(Y50="",ISTEXT(Y50)),"sin dato",IF(Y50&gt;='Léeme'!$B$19,"barato",IF(Y50&lt;=-'Léeme'!$B$19,"caro","medio")))</f>
        <v/>
      </c>
      <c r="AD50" s="7" t="n">
        <v>0.07471264367816093</v>
      </c>
      <c r="AE50" s="7" t="n">
        <v>0.008771929824561403</v>
      </c>
      <c r="AF50" s="7" t="n">
        <v>0.2192982456140351</v>
      </c>
      <c r="AG50" s="7" t="n"/>
    </row>
    <row r="51">
      <c r="A51" s="3" t="inlineStr">
        <is>
          <t>2007-T1</t>
        </is>
      </c>
      <c r="B51" s="13" t="n">
        <v>39171</v>
      </c>
      <c r="C51" s="14" t="n">
        <v>28.199999</v>
      </c>
      <c r="D51" s="14" t="n">
        <v>1.524</v>
      </c>
      <c r="E51" s="14" t="n">
        <v>1.73</v>
      </c>
      <c r="F51" s="5" t="n">
        <v>0.04650000000000001</v>
      </c>
      <c r="G51" s="5" t="n">
        <v>0.05866869198009161</v>
      </c>
      <c r="H51" s="5" t="n">
        <v>0.06570886062739301</v>
      </c>
      <c r="N51" s="9">
        <f>IF(F51="","",F51+'Léeme'!$B$10)</f>
        <v/>
      </c>
      <c r="O51" s="9">
        <f>IF(OR(G51="",N51=""),"",MIN(MAX(G51,'Léeme'!$B$11),'Léeme'!$B$12,N51-'Léeme'!$B$16))</f>
        <v/>
      </c>
      <c r="P51" s="16">
        <f>IF(OR(D51="",O51=""),"",IFERROR(IF(D51&lt;=0,"",D51*(1+O51)/(N51-O51)),""))</f>
        <v/>
      </c>
      <c r="Q51" s="9">
        <f>IF(H51="","",MIN(MAX(H51,'Léeme'!$B$13),'Léeme'!$B$14))</f>
        <v/>
      </c>
      <c r="R51" s="9">
        <f>IF(N51="","",MIN('Léeme'!$B$15,N51-'Léeme'!$B$16))</f>
        <v/>
      </c>
      <c r="S51" s="16">
        <f>IF(OR(E51="",Q51=""),"",IFERROR(IF(E51&lt;=0,"",E51*(((1+Q51)/(1+N51))+((1+Q51)/(1+N51))^2+((1+Q51)/(1+N51))^3+((1+Q51)/(1+N51))^4+((1+Q51)/(1+N51))^5)+E51*(1+Q51)^5*(1+R51)/((N51-R51)*(1+N51)^5)),""))</f>
        <v/>
      </c>
      <c r="T51" s="9">
        <f>IF(OR(E51="",N51=""),"",IFERROR((C51*N51-E51)/(C51+E51),""))</f>
        <v/>
      </c>
      <c r="U51" s="9">
        <f>IF(OR(H51="",T51=""),"",IFERROR(MIN(MAX(H51,'Léeme'!$B$17),'Léeme'!$B$18)-T51,""))</f>
        <v/>
      </c>
      <c r="V51" s="16">
        <f>IF(OR(I51="",M51="",L51=""),"",IFERROR((I51/M51-J51-K51)/L51,""))</f>
        <v/>
      </c>
      <c r="W51" s="11">
        <f>IFERROR(P51/C51-1,"")</f>
        <v/>
      </c>
      <c r="X51" s="11">
        <f>IFERROR(S51/C51-1,"")</f>
        <v/>
      </c>
      <c r="Y51" s="11">
        <f>IFERROR(V51/C51-1,"")</f>
        <v/>
      </c>
      <c r="Z51" s="3">
        <f>IF(OR(W51="",ISTEXT(W51)),"sin dato",IF(W51&gt;='Léeme'!$B$19,"barato",IF(W51&lt;=-'Léeme'!$B$19,"caro","medio")))</f>
        <v/>
      </c>
      <c r="AA51" s="3">
        <f>IF(OR(X51="",ISTEXT(X51)),"sin dato",IF(X51&gt;='Léeme'!$B$19,"barato",IF(X51&lt;=-'Léeme'!$B$19,"caro","medio")))</f>
        <v/>
      </c>
      <c r="AB51" s="3">
        <f>IF(OR(U51="",ISTEXT(U51)),"sin dato",IF(U51&gt;='Léeme'!$B$20,"barato",IF(U51&lt;=-'Léeme'!$B$20,"caro","medio")))</f>
        <v/>
      </c>
      <c r="AC51" s="3">
        <f>IF(OR(Y51="",ISTEXT(Y51)),"sin dato",IF(Y51&gt;='Léeme'!$B$19,"barato",IF(Y51&lt;=-'Léeme'!$B$19,"caro","medio")))</f>
        <v/>
      </c>
      <c r="AD51" s="7" t="n">
        <v>0.09444444444444444</v>
      </c>
      <c r="AE51" s="7" t="n">
        <v>0.225</v>
      </c>
      <c r="AF51" s="7" t="n">
        <v>0.775</v>
      </c>
      <c r="AG51" s="7" t="n"/>
    </row>
    <row r="52">
      <c r="A52" s="3" t="inlineStr">
        <is>
          <t>2007-T2</t>
        </is>
      </c>
      <c r="B52" s="13" t="n">
        <v>39262</v>
      </c>
      <c r="C52" s="14" t="n">
        <v>25.19</v>
      </c>
      <c r="D52" s="14" t="n">
        <v>1.536</v>
      </c>
      <c r="E52" s="14" t="n">
        <v>1.73</v>
      </c>
      <c r="F52" s="5" t="n">
        <v>0.0503</v>
      </c>
      <c r="G52" s="5" t="n">
        <v>0.05812391776053838</v>
      </c>
      <c r="H52" s="5" t="n">
        <v>0.05423373390599751</v>
      </c>
      <c r="N52" s="9">
        <f>IF(F52="","",F52+'Léeme'!$B$10)</f>
        <v/>
      </c>
      <c r="O52" s="9">
        <f>IF(OR(G52="",N52=""),"",MIN(MAX(G52,'Léeme'!$B$11),'Léeme'!$B$12,N52-'Léeme'!$B$16))</f>
        <v/>
      </c>
      <c r="P52" s="16">
        <f>IF(OR(D52="",O52=""),"",IFERROR(IF(D52&lt;=0,"",D52*(1+O52)/(N52-O52)),""))</f>
        <v/>
      </c>
      <c r="Q52" s="9">
        <f>IF(H52="","",MIN(MAX(H52,'Léeme'!$B$13),'Léeme'!$B$14))</f>
        <v/>
      </c>
      <c r="R52" s="9">
        <f>IF(N52="","",MIN('Léeme'!$B$15,N52-'Léeme'!$B$16))</f>
        <v/>
      </c>
      <c r="S52" s="16">
        <f>IF(OR(E52="",Q52=""),"",IFERROR(IF(E52&lt;=0,"",E52*(((1+Q52)/(1+N52))+((1+Q52)/(1+N52))^2+((1+Q52)/(1+N52))^3+((1+Q52)/(1+N52))^4+((1+Q52)/(1+N52))^5)+E52*(1+Q52)^5*(1+R52)/((N52-R52)*(1+N52)^5)),""))</f>
        <v/>
      </c>
      <c r="T52" s="9">
        <f>IF(OR(E52="",N52=""),"",IFERROR((C52*N52-E52)/(C52+E52),""))</f>
        <v/>
      </c>
      <c r="U52" s="9">
        <f>IF(OR(H52="",T52=""),"",IFERROR(MIN(MAX(H52,'Léeme'!$B$17),'Léeme'!$B$18)-T52,""))</f>
        <v/>
      </c>
      <c r="V52" s="16">
        <f>IF(OR(I52="",M52="",L52=""),"",IFERROR((I52/M52-J52-K52)/L52,""))</f>
        <v/>
      </c>
      <c r="W52" s="11">
        <f>IFERROR(P52/C52-1,"")</f>
        <v/>
      </c>
      <c r="X52" s="11">
        <f>IFERROR(S52/C52-1,"")</f>
        <v/>
      </c>
      <c r="Y52" s="11">
        <f>IFERROR(V52/C52-1,"")</f>
        <v/>
      </c>
      <c r="Z52" s="3">
        <f>IF(OR(W52="",ISTEXT(W52)),"sin dato",IF(W52&gt;='Léeme'!$B$19,"barato",IF(W52&lt;=-'Léeme'!$B$19,"caro","medio")))</f>
        <v/>
      </c>
      <c r="AA52" s="3">
        <f>IF(OR(X52="",ISTEXT(X52)),"sin dato",IF(X52&gt;='Léeme'!$B$19,"barato",IF(X52&lt;=-'Léeme'!$B$19,"caro","medio")))</f>
        <v/>
      </c>
      <c r="AB52" s="3">
        <f>IF(OR(U52="",ISTEXT(U52)),"sin dato",IF(U52&gt;='Léeme'!$B$20,"barato",IF(U52&lt;=-'Léeme'!$B$20,"caro","medio")))</f>
        <v/>
      </c>
      <c r="AC52" s="3">
        <f>IF(OR(Y52="",ISTEXT(Y52)),"sin dato",IF(Y52&gt;='Léeme'!$B$19,"barato",IF(Y52&lt;=-'Léeme'!$B$19,"caro","medio")))</f>
        <v/>
      </c>
      <c r="AD52" s="7" t="n">
        <v>0.1774193548387097</v>
      </c>
      <c r="AE52" s="7" t="n">
        <v>0.2301587301587301</v>
      </c>
      <c r="AF52" s="7" t="n">
        <v>0.6111111111111112</v>
      </c>
      <c r="AG52" s="7" t="n"/>
    </row>
    <row r="53">
      <c r="A53" s="3" t="inlineStr">
        <is>
          <t>2007-T3</t>
        </is>
      </c>
      <c r="B53" s="13" t="n">
        <v>39353</v>
      </c>
      <c r="C53" s="14" t="n">
        <v>27.949999</v>
      </c>
      <c r="D53" s="14" t="n">
        <v>1.632</v>
      </c>
      <c r="E53" s="14" t="n">
        <v>1.73</v>
      </c>
      <c r="F53" s="5" t="n">
        <v>0.0459</v>
      </c>
      <c r="G53" s="5" t="n">
        <v>0.07103168494618761</v>
      </c>
      <c r="H53" s="5" t="n">
        <v>0.05423373390599751</v>
      </c>
      <c r="N53" s="9">
        <f>IF(F53="","",F53+'Léeme'!$B$10)</f>
        <v/>
      </c>
      <c r="O53" s="9">
        <f>IF(OR(G53="",N53=""),"",MIN(MAX(G53,'Léeme'!$B$11),'Léeme'!$B$12,N53-'Léeme'!$B$16))</f>
        <v/>
      </c>
      <c r="P53" s="16">
        <f>IF(OR(D53="",O53=""),"",IFERROR(IF(D53&lt;=0,"",D53*(1+O53)/(N53-O53)),""))</f>
        <v/>
      </c>
      <c r="Q53" s="9">
        <f>IF(H53="","",MIN(MAX(H53,'Léeme'!$B$13),'Léeme'!$B$14))</f>
        <v/>
      </c>
      <c r="R53" s="9">
        <f>IF(N53="","",MIN('Léeme'!$B$15,N53-'Léeme'!$B$16))</f>
        <v/>
      </c>
      <c r="S53" s="16">
        <f>IF(OR(E53="",Q53=""),"",IFERROR(IF(E53&lt;=0,"",E53*(((1+Q53)/(1+N53))+((1+Q53)/(1+N53))^2+((1+Q53)/(1+N53))^3+((1+Q53)/(1+N53))^4+((1+Q53)/(1+N53))^5)+E53*(1+Q53)^5*(1+R53)/((N53-R53)*(1+N53)^5)),""))</f>
        <v/>
      </c>
      <c r="T53" s="9">
        <f>IF(OR(E53="",N53=""),"",IFERROR((C53*N53-E53)/(C53+E53),""))</f>
        <v/>
      </c>
      <c r="U53" s="9">
        <f>IF(OR(H53="",T53=""),"",IFERROR(MIN(MAX(H53,'Léeme'!$B$17),'Léeme'!$B$18)-T53,""))</f>
        <v/>
      </c>
      <c r="V53" s="16">
        <f>IF(OR(I53="",M53="",L53=""),"",IFERROR((I53/M53-J53-K53)/L53,""))</f>
        <v/>
      </c>
      <c r="W53" s="11">
        <f>IFERROR(P53/C53-1,"")</f>
        <v/>
      </c>
      <c r="X53" s="11">
        <f>IFERROR(S53/C53-1,"")</f>
        <v/>
      </c>
      <c r="Y53" s="11">
        <f>IFERROR(V53/C53-1,"")</f>
        <v/>
      </c>
      <c r="Z53" s="3">
        <f>IF(OR(W53="",ISTEXT(W53)),"sin dato",IF(W53&gt;='Léeme'!$B$19,"barato",IF(W53&lt;=-'Léeme'!$B$19,"caro","medio")))</f>
        <v/>
      </c>
      <c r="AA53" s="3">
        <f>IF(OR(X53="",ISTEXT(X53)),"sin dato",IF(X53&gt;='Léeme'!$B$19,"barato",IF(X53&lt;=-'Léeme'!$B$19,"caro","medio")))</f>
        <v/>
      </c>
      <c r="AB53" s="3">
        <f>IF(OR(U53="",ISTEXT(U53)),"sin dato",IF(U53&gt;='Léeme'!$B$20,"barato",IF(U53&lt;=-'Léeme'!$B$20,"caro","medio")))</f>
        <v/>
      </c>
      <c r="AC53" s="3">
        <f>IF(OR(Y53="",ISTEXT(Y53)),"sin dato",IF(Y53&gt;='Léeme'!$B$19,"barato",IF(Y53&lt;=-'Léeme'!$B$19,"caro","medio")))</f>
        <v/>
      </c>
      <c r="AD53" s="7" t="n">
        <v>0.3489583333333333</v>
      </c>
      <c r="AE53" s="7" t="n">
        <v>0.1590909090909091</v>
      </c>
      <c r="AF53" s="7" t="n">
        <v>0.5227272727272727</v>
      </c>
      <c r="AG53" s="7" t="n"/>
    </row>
    <row r="54">
      <c r="A54" s="3" t="inlineStr">
        <is>
          <t>2007-T4</t>
        </is>
      </c>
      <c r="B54" s="13" t="n">
        <v>39447</v>
      </c>
      <c r="C54" s="14" t="n">
        <v>27.02</v>
      </c>
      <c r="D54" s="14" t="n">
        <v>1.644</v>
      </c>
      <c r="E54" s="14" t="n">
        <v>1.73</v>
      </c>
      <c r="F54" s="5" t="n">
        <v>0.0404</v>
      </c>
      <c r="G54" s="5" t="n">
        <v>0.07039282745885056</v>
      </c>
      <c r="H54" s="5" t="n">
        <v>0.05423373390599751</v>
      </c>
      <c r="N54" s="9">
        <f>IF(F54="","",F54+'Léeme'!$B$10)</f>
        <v/>
      </c>
      <c r="O54" s="9">
        <f>IF(OR(G54="",N54=""),"",MIN(MAX(G54,'Léeme'!$B$11),'Léeme'!$B$12,N54-'Léeme'!$B$16))</f>
        <v/>
      </c>
      <c r="P54" s="16">
        <f>IF(OR(D54="",O54=""),"",IFERROR(IF(D54&lt;=0,"",D54*(1+O54)/(N54-O54)),""))</f>
        <v/>
      </c>
      <c r="Q54" s="9">
        <f>IF(H54="","",MIN(MAX(H54,'Léeme'!$B$13),'Léeme'!$B$14))</f>
        <v/>
      </c>
      <c r="R54" s="9">
        <f>IF(N54="","",MIN('Léeme'!$B$15,N54-'Léeme'!$B$16))</f>
        <v/>
      </c>
      <c r="S54" s="16">
        <f>IF(OR(E54="",Q54=""),"",IFERROR(IF(E54&lt;=0,"",E54*(((1+Q54)/(1+N54))+((1+Q54)/(1+N54))^2+((1+Q54)/(1+N54))^3+((1+Q54)/(1+N54))^4+((1+Q54)/(1+N54))^5)+E54*(1+Q54)^5*(1+R54)/((N54-R54)*(1+N54)^5)),""))</f>
        <v/>
      </c>
      <c r="T54" s="9">
        <f>IF(OR(E54="",N54=""),"",IFERROR((C54*N54-E54)/(C54+E54),""))</f>
        <v/>
      </c>
      <c r="U54" s="9">
        <f>IF(OR(H54="",T54=""),"",IFERROR(MIN(MAX(H54,'Léeme'!$B$17),'Léeme'!$B$18)-T54,""))</f>
        <v/>
      </c>
      <c r="V54" s="16">
        <f>IF(OR(I54="",M54="",L54=""),"",IFERROR((I54/M54-J54-K54)/L54,""))</f>
        <v/>
      </c>
      <c r="W54" s="11">
        <f>IFERROR(P54/C54-1,"")</f>
        <v/>
      </c>
      <c r="X54" s="11">
        <f>IFERROR(S54/C54-1,"")</f>
        <v/>
      </c>
      <c r="Y54" s="11">
        <f>IFERROR(V54/C54-1,"")</f>
        <v/>
      </c>
      <c r="Z54" s="3">
        <f>IF(OR(W54="",ISTEXT(W54)),"sin dato",IF(W54&gt;='Léeme'!$B$19,"barato",IF(W54&lt;=-'Léeme'!$B$19,"caro","medio")))</f>
        <v/>
      </c>
      <c r="AA54" s="3">
        <f>IF(OR(X54="",ISTEXT(X54)),"sin dato",IF(X54&gt;='Léeme'!$B$19,"barato",IF(X54&lt;=-'Léeme'!$B$19,"caro","medio")))</f>
        <v/>
      </c>
      <c r="AB54" s="3">
        <f>IF(OR(U54="",ISTEXT(U54)),"sin dato",IF(U54&gt;='Léeme'!$B$20,"barato",IF(U54&lt;=-'Léeme'!$B$20,"caro","medio")))</f>
        <v/>
      </c>
      <c r="AC54" s="3">
        <f>IF(OR(Y54="",ISTEXT(Y54)),"sin dato",IF(Y54&gt;='Léeme'!$B$19,"barato",IF(Y54&lt;=-'Léeme'!$B$19,"caro","medio")))</f>
        <v/>
      </c>
      <c r="AD54" s="7" t="n">
        <v>0.8434343434343434</v>
      </c>
      <c r="AE54" s="7" t="n">
        <v>0.7318840579710145</v>
      </c>
      <c r="AF54" s="7" t="n">
        <v>0.7318840579710145</v>
      </c>
      <c r="AG54" s="7" t="n"/>
    </row>
    <row r="55">
      <c r="A55" s="3" t="inlineStr">
        <is>
          <t>2008-T1</t>
        </is>
      </c>
      <c r="B55" s="13" t="n">
        <v>39538</v>
      </c>
      <c r="C55" s="14" t="n">
        <v>25.619999</v>
      </c>
      <c r="D55" s="14" t="n">
        <v>1.644</v>
      </c>
      <c r="E55" s="14" t="n">
        <v>1.89</v>
      </c>
      <c r="F55" s="5" t="n">
        <v>0.0345</v>
      </c>
      <c r="G55" s="5" t="n">
        <v>0.06929835397542039</v>
      </c>
      <c r="H55" s="5" t="n">
        <v>0.0649189212487713</v>
      </c>
      <c r="N55" s="9">
        <f>IF(F55="","",F55+'Léeme'!$B$10)</f>
        <v/>
      </c>
      <c r="O55" s="9">
        <f>IF(OR(G55="",N55=""),"",MIN(MAX(G55,'Léeme'!$B$11),'Léeme'!$B$12,N55-'Léeme'!$B$16))</f>
        <v/>
      </c>
      <c r="P55" s="16">
        <f>IF(OR(D55="",O55=""),"",IFERROR(IF(D55&lt;=0,"",D55*(1+O55)/(N55-O55)),""))</f>
        <v/>
      </c>
      <c r="Q55" s="9">
        <f>IF(H55="","",MIN(MAX(H55,'Léeme'!$B$13),'Léeme'!$B$14))</f>
        <v/>
      </c>
      <c r="R55" s="9">
        <f>IF(N55="","",MIN('Léeme'!$B$15,N55-'Léeme'!$B$16))</f>
        <v/>
      </c>
      <c r="S55" s="16">
        <f>IF(OR(E55="",Q55=""),"",IFERROR(IF(E55&lt;=0,"",E55*(((1+Q55)/(1+N55))+((1+Q55)/(1+N55))^2+((1+Q55)/(1+N55))^3+((1+Q55)/(1+N55))^4+((1+Q55)/(1+N55))^5)+E55*(1+Q55)^5*(1+R55)/((N55-R55)*(1+N55)^5)),""))</f>
        <v/>
      </c>
      <c r="T55" s="9">
        <f>IF(OR(E55="",N55=""),"",IFERROR((C55*N55-E55)/(C55+E55),""))</f>
        <v/>
      </c>
      <c r="U55" s="9">
        <f>IF(OR(H55="",T55=""),"",IFERROR(MIN(MAX(H55,'Léeme'!$B$17),'Léeme'!$B$18)-T55,""))</f>
        <v/>
      </c>
      <c r="V55" s="16">
        <f>IF(OR(I55="",M55="",L55=""),"",IFERROR((I55/M55-J55-K55)/L55,""))</f>
        <v/>
      </c>
      <c r="W55" s="11">
        <f>IFERROR(P55/C55-1,"")</f>
        <v/>
      </c>
      <c r="X55" s="11">
        <f>IFERROR(S55/C55-1,"")</f>
        <v/>
      </c>
      <c r="Y55" s="11">
        <f>IFERROR(V55/C55-1,"")</f>
        <v/>
      </c>
      <c r="Z55" s="3">
        <f>IF(OR(W55="",ISTEXT(W55)),"sin dato",IF(W55&gt;='Léeme'!$B$19,"barato",IF(W55&lt;=-'Léeme'!$B$19,"caro","medio")))</f>
        <v/>
      </c>
      <c r="AA55" s="3">
        <f>IF(OR(X55="",ISTEXT(X55)),"sin dato",IF(X55&gt;='Léeme'!$B$19,"barato",IF(X55&lt;=-'Léeme'!$B$19,"caro","medio")))</f>
        <v/>
      </c>
      <c r="AB55" s="3">
        <f>IF(OR(U55="",ISTEXT(U55)),"sin dato",IF(U55&gt;='Léeme'!$B$20,"barato",IF(U55&lt;=-'Léeme'!$B$20,"caro","medio")))</f>
        <v/>
      </c>
      <c r="AC55" s="3">
        <f>IF(OR(Y55="",ISTEXT(Y55)),"sin dato",IF(Y55&gt;='Léeme'!$B$19,"barato",IF(Y55&lt;=-'Léeme'!$B$19,"caro","medio")))</f>
        <v/>
      </c>
      <c r="AD55" s="7" t="n">
        <v>0.9852941176470589</v>
      </c>
      <c r="AE55" s="7" t="n">
        <v>0.9791666666666666</v>
      </c>
      <c r="AF55" s="7" t="n">
        <v>0.9791666666666666</v>
      </c>
      <c r="AG55" s="7" t="n"/>
    </row>
    <row r="56">
      <c r="A56" s="3" t="inlineStr">
        <is>
          <t>2008-T2</t>
        </is>
      </c>
      <c r="B56" s="13" t="n">
        <v>39629</v>
      </c>
      <c r="C56" s="14" t="n">
        <v>22.760001</v>
      </c>
      <c r="D56" s="14" t="n">
        <v>1.656</v>
      </c>
      <c r="E56" s="14" t="n">
        <v>1.89</v>
      </c>
      <c r="F56" s="5" t="n">
        <v>0.0399</v>
      </c>
      <c r="G56" s="5" t="n">
        <v>0.06976545915564647</v>
      </c>
      <c r="H56" s="5" t="n">
        <v>0.0649189212487713</v>
      </c>
      <c r="N56" s="9">
        <f>IF(F56="","",F56+'Léeme'!$B$10)</f>
        <v/>
      </c>
      <c r="O56" s="9">
        <f>IF(OR(G56="",N56=""),"",MIN(MAX(G56,'Léeme'!$B$11),'Léeme'!$B$12,N56-'Léeme'!$B$16))</f>
        <v/>
      </c>
      <c r="P56" s="16">
        <f>IF(OR(D56="",O56=""),"",IFERROR(IF(D56&lt;=0,"",D56*(1+O56)/(N56-O56)),""))</f>
        <v/>
      </c>
      <c r="Q56" s="9">
        <f>IF(H56="","",MIN(MAX(H56,'Léeme'!$B$13),'Léeme'!$B$14))</f>
        <v/>
      </c>
      <c r="R56" s="9">
        <f>IF(N56="","",MIN('Léeme'!$B$15,N56-'Léeme'!$B$16))</f>
        <v/>
      </c>
      <c r="S56" s="16">
        <f>IF(OR(E56="",Q56=""),"",IFERROR(IF(E56&lt;=0,"",E56*(((1+Q56)/(1+N56))+((1+Q56)/(1+N56))^2+((1+Q56)/(1+N56))^3+((1+Q56)/(1+N56))^4+((1+Q56)/(1+N56))^5)+E56*(1+Q56)^5*(1+R56)/((N56-R56)*(1+N56)^5)),""))</f>
        <v/>
      </c>
      <c r="T56" s="9">
        <f>IF(OR(E56="",N56=""),"",IFERROR((C56*N56-E56)/(C56+E56),""))</f>
        <v/>
      </c>
      <c r="U56" s="9">
        <f>IF(OR(H56="",T56=""),"",IFERROR(MIN(MAX(H56,'Léeme'!$B$17),'Léeme'!$B$18)-T56,""))</f>
        <v/>
      </c>
      <c r="V56" s="16">
        <f>IF(OR(I56="",M56="",L56=""),"",IFERROR((I56/M56-J56-K56)/L56,""))</f>
        <v/>
      </c>
      <c r="W56" s="11">
        <f>IFERROR(P56/C56-1,"")</f>
        <v/>
      </c>
      <c r="X56" s="11">
        <f>IFERROR(S56/C56-1,"")</f>
        <v/>
      </c>
      <c r="Y56" s="11">
        <f>IFERROR(V56/C56-1,"")</f>
        <v/>
      </c>
      <c r="Z56" s="3">
        <f>IF(OR(W56="",ISTEXT(W56)),"sin dato",IF(W56&gt;='Léeme'!$B$19,"barato",IF(W56&lt;=-'Léeme'!$B$19,"caro","medio")))</f>
        <v/>
      </c>
      <c r="AA56" s="3">
        <f>IF(OR(X56="",ISTEXT(X56)),"sin dato",IF(X56&gt;='Léeme'!$B$19,"barato",IF(X56&lt;=-'Léeme'!$B$19,"caro","medio")))</f>
        <v/>
      </c>
      <c r="AB56" s="3">
        <f>IF(OR(U56="",ISTEXT(U56)),"sin dato",IF(U56&gt;='Léeme'!$B$20,"barato",IF(U56&lt;=-'Léeme'!$B$20,"caro","medio")))</f>
        <v/>
      </c>
      <c r="AC56" s="3">
        <f>IF(OR(Y56="",ISTEXT(Y56)),"sin dato",IF(Y56&gt;='Léeme'!$B$19,"barato",IF(Y56&lt;=-'Léeme'!$B$19,"caro","medio")))</f>
        <v/>
      </c>
      <c r="AD56" s="7" t="n">
        <v>0.9380952380952381</v>
      </c>
      <c r="AE56" s="7" t="n">
        <v>0.98</v>
      </c>
      <c r="AF56" s="7" t="n">
        <v>0.98</v>
      </c>
      <c r="AG56" s="7" t="n"/>
    </row>
    <row r="57">
      <c r="A57" s="3" t="inlineStr">
        <is>
          <t>2008-T3</t>
        </is>
      </c>
      <c r="B57" s="13" t="n">
        <v>39721</v>
      </c>
      <c r="C57" s="14" t="n">
        <v>25.6</v>
      </c>
      <c r="D57" s="14" t="n">
        <v>1.692</v>
      </c>
      <c r="E57" s="14" t="n">
        <v>1.89</v>
      </c>
      <c r="F57" s="5" t="n">
        <v>0.0385</v>
      </c>
      <c r="G57" s="5" t="n">
        <v>0.07328926012383752</v>
      </c>
      <c r="H57" s="5" t="n">
        <v>0.0649189212487713</v>
      </c>
      <c r="N57" s="9">
        <f>IF(F57="","",F57+'Léeme'!$B$10)</f>
        <v/>
      </c>
      <c r="O57" s="9">
        <f>IF(OR(G57="",N57=""),"",MIN(MAX(G57,'Léeme'!$B$11),'Léeme'!$B$12,N57-'Léeme'!$B$16))</f>
        <v/>
      </c>
      <c r="P57" s="16">
        <f>IF(OR(D57="",O57=""),"",IFERROR(IF(D57&lt;=0,"",D57*(1+O57)/(N57-O57)),""))</f>
        <v/>
      </c>
      <c r="Q57" s="9">
        <f>IF(H57="","",MIN(MAX(H57,'Léeme'!$B$13),'Léeme'!$B$14))</f>
        <v/>
      </c>
      <c r="R57" s="9">
        <f>IF(N57="","",MIN('Léeme'!$B$15,N57-'Léeme'!$B$16))</f>
        <v/>
      </c>
      <c r="S57" s="16">
        <f>IF(OR(E57="",Q57=""),"",IFERROR(IF(E57&lt;=0,"",E57*(((1+Q57)/(1+N57))+((1+Q57)/(1+N57))^2+((1+Q57)/(1+N57))^3+((1+Q57)/(1+N57))^4+((1+Q57)/(1+N57))^5)+E57*(1+Q57)^5*(1+R57)/((N57-R57)*(1+N57)^5)),""))</f>
        <v/>
      </c>
      <c r="T57" s="9">
        <f>IF(OR(E57="",N57=""),"",IFERROR((C57*N57-E57)/(C57+E57),""))</f>
        <v/>
      </c>
      <c r="U57" s="9">
        <f>IF(OR(H57="",T57=""),"",IFERROR(MIN(MAX(H57,'Léeme'!$B$17),'Léeme'!$B$18)-T57,""))</f>
        <v/>
      </c>
      <c r="V57" s="16">
        <f>IF(OR(I57="",M57="",L57=""),"",IFERROR((I57/M57-J57-K57)/L57,""))</f>
        <v/>
      </c>
      <c r="W57" s="11">
        <f>IFERROR(P57/C57-1,"")</f>
        <v/>
      </c>
      <c r="X57" s="11">
        <f>IFERROR(S57/C57-1,"")</f>
        <v/>
      </c>
      <c r="Y57" s="11">
        <f>IFERROR(V57/C57-1,"")</f>
        <v/>
      </c>
      <c r="Z57" s="3">
        <f>IF(OR(W57="",ISTEXT(W57)),"sin dato",IF(W57&gt;='Léeme'!$B$19,"barato",IF(W57&lt;=-'Léeme'!$B$19,"caro","medio")))</f>
        <v/>
      </c>
      <c r="AA57" s="3">
        <f>IF(OR(X57="",ISTEXT(X57)),"sin dato",IF(X57&gt;='Léeme'!$B$19,"barato",IF(X57&lt;=-'Léeme'!$B$19,"caro","medio")))</f>
        <v/>
      </c>
      <c r="AB57" s="3">
        <f>IF(OR(U57="",ISTEXT(U57)),"sin dato",IF(U57&gt;='Léeme'!$B$20,"barato",IF(U57&lt;=-'Léeme'!$B$20,"caro","medio")))</f>
        <v/>
      </c>
      <c r="AC57" s="3">
        <f>IF(OR(Y57="",ISTEXT(Y57)),"sin dato",IF(Y57&gt;='Léeme'!$B$19,"barato",IF(Y57&lt;=-'Léeme'!$B$19,"caro","medio")))</f>
        <v/>
      </c>
      <c r="AD57" s="7" t="n">
        <v>0.8935185185185185</v>
      </c>
      <c r="AE57" s="7" t="n">
        <v>0.8910256410256411</v>
      </c>
      <c r="AF57" s="7" t="n">
        <v>0.9294871794871795</v>
      </c>
      <c r="AG57" s="7" t="n"/>
    </row>
    <row r="58">
      <c r="A58" s="3" t="inlineStr">
        <is>
          <t>2008-T4</t>
        </is>
      </c>
      <c r="B58" s="13" t="n">
        <v>39813</v>
      </c>
      <c r="C58" s="14" t="n">
        <v>23.15</v>
      </c>
      <c r="D58" s="14" t="n">
        <v>1.704</v>
      </c>
      <c r="E58" s="14" t="n">
        <v>1.89</v>
      </c>
      <c r="F58" s="5" t="n">
        <v>0.0225</v>
      </c>
      <c r="G58" s="5" t="n">
        <v>0.07264909054577662</v>
      </c>
      <c r="H58" s="5" t="n">
        <v>0.0649189212487713</v>
      </c>
      <c r="N58" s="9">
        <f>IF(F58="","",F58+'Léeme'!$B$10)</f>
        <v/>
      </c>
      <c r="O58" s="9">
        <f>IF(OR(G58="",N58=""),"",MIN(MAX(G58,'Léeme'!$B$11),'Léeme'!$B$12,N58-'Léeme'!$B$16))</f>
        <v/>
      </c>
      <c r="P58" s="16">
        <f>IF(OR(D58="",O58=""),"",IFERROR(IF(D58&lt;=0,"",D58*(1+O58)/(N58-O58)),""))</f>
        <v/>
      </c>
      <c r="Q58" s="9">
        <f>IF(H58="","",MIN(MAX(H58,'Léeme'!$B$13),'Léeme'!$B$14))</f>
        <v/>
      </c>
      <c r="R58" s="9">
        <f>IF(N58="","",MIN('Léeme'!$B$15,N58-'Léeme'!$B$16))</f>
        <v/>
      </c>
      <c r="S58" s="16">
        <f>IF(OR(E58="",Q58=""),"",IFERROR(IF(E58&lt;=0,"",E58*(((1+Q58)/(1+N58))+((1+Q58)/(1+N58))^2+((1+Q58)/(1+N58))^3+((1+Q58)/(1+N58))^4+((1+Q58)/(1+N58))^5)+E58*(1+Q58)^5*(1+R58)/((N58-R58)*(1+N58)^5)),""))</f>
        <v/>
      </c>
      <c r="T58" s="9">
        <f>IF(OR(E58="",N58=""),"",IFERROR((C58*N58-E58)/(C58+E58),""))</f>
        <v/>
      </c>
      <c r="U58" s="9">
        <f>IF(OR(H58="",T58=""),"",IFERROR(MIN(MAX(H58,'Léeme'!$B$17),'Léeme'!$B$18)-T58,""))</f>
        <v/>
      </c>
      <c r="V58" s="16">
        <f>IF(OR(I58="",M58="",L58=""),"",IFERROR((I58/M58-J58-K58)/L58,""))</f>
        <v/>
      </c>
      <c r="W58" s="11">
        <f>IFERROR(P58/C58-1,"")</f>
        <v/>
      </c>
      <c r="X58" s="11">
        <f>IFERROR(S58/C58-1,"")</f>
        <v/>
      </c>
      <c r="Y58" s="11">
        <f>IFERROR(V58/C58-1,"")</f>
        <v/>
      </c>
      <c r="Z58" s="3">
        <f>IF(OR(W58="",ISTEXT(W58)),"sin dato",IF(W58&gt;='Léeme'!$B$19,"barato",IF(W58&lt;=-'Léeme'!$B$19,"caro","medio")))</f>
        <v/>
      </c>
      <c r="AA58" s="3">
        <f>IF(OR(X58="",ISTEXT(X58)),"sin dato",IF(X58&gt;='Léeme'!$B$19,"barato",IF(X58&lt;=-'Léeme'!$B$19,"caro","medio")))</f>
        <v/>
      </c>
      <c r="AB58" s="3">
        <f>IF(OR(U58="",ISTEXT(U58)),"sin dato",IF(U58&gt;='Léeme'!$B$20,"barato",IF(U58&lt;=-'Léeme'!$B$20,"caro","medio")))</f>
        <v/>
      </c>
      <c r="AC58" s="3">
        <f>IF(OR(Y58="",ISTEXT(Y58)),"sin dato",IF(Y58&gt;='Léeme'!$B$19,"barato",IF(Y58&lt;=-'Léeme'!$B$19,"caro","medio")))</f>
        <v/>
      </c>
      <c r="AD58" s="7" t="n">
        <v>0.9864864864864865</v>
      </c>
      <c r="AE58" s="7" t="n">
        <v>0.9938271604938271</v>
      </c>
      <c r="AF58" s="7" t="n">
        <v>0.9814814814814815</v>
      </c>
      <c r="AG58" s="7" t="n"/>
    </row>
    <row r="59">
      <c r="A59" s="3" t="inlineStr">
        <is>
          <t>2009-T1</t>
        </is>
      </c>
      <c r="B59" s="13" t="n">
        <v>39903</v>
      </c>
      <c r="C59" s="14" t="n">
        <v>18.820001</v>
      </c>
      <c r="D59" s="14" t="n">
        <v>1.704</v>
      </c>
      <c r="E59" s="14" t="n">
        <v>1.83</v>
      </c>
      <c r="F59" s="5" t="n">
        <v>0.0271</v>
      </c>
      <c r="G59" s="5" t="n">
        <v>0.07264909054577662</v>
      </c>
      <c r="H59" s="5" t="n">
        <v>0.04621187890705891</v>
      </c>
      <c r="N59" s="9">
        <f>IF(F59="","",F59+'Léeme'!$B$10)</f>
        <v/>
      </c>
      <c r="O59" s="9">
        <f>IF(OR(G59="",N59=""),"",MIN(MAX(G59,'Léeme'!$B$11),'Léeme'!$B$12,N59-'Léeme'!$B$16))</f>
        <v/>
      </c>
      <c r="P59" s="16">
        <f>IF(OR(D59="",O59=""),"",IFERROR(IF(D59&lt;=0,"",D59*(1+O59)/(N59-O59)),""))</f>
        <v/>
      </c>
      <c r="Q59" s="9">
        <f>IF(H59="","",MIN(MAX(H59,'Léeme'!$B$13),'Léeme'!$B$14))</f>
        <v/>
      </c>
      <c r="R59" s="9">
        <f>IF(N59="","",MIN('Léeme'!$B$15,N59-'Léeme'!$B$16))</f>
        <v/>
      </c>
      <c r="S59" s="16">
        <f>IF(OR(E59="",Q59=""),"",IFERROR(IF(E59&lt;=0,"",E59*(((1+Q59)/(1+N59))+((1+Q59)/(1+N59))^2+((1+Q59)/(1+N59))^3+((1+Q59)/(1+N59))^4+((1+Q59)/(1+N59))^5)+E59*(1+Q59)^5*(1+R59)/((N59-R59)*(1+N59)^5)),""))</f>
        <v/>
      </c>
      <c r="T59" s="9">
        <f>IF(OR(E59="",N59=""),"",IFERROR((C59*N59-E59)/(C59+E59),""))</f>
        <v/>
      </c>
      <c r="U59" s="9">
        <f>IF(OR(H59="",T59=""),"",IFERROR(MIN(MAX(H59,'Léeme'!$B$17),'Léeme'!$B$18)-T59,""))</f>
        <v/>
      </c>
      <c r="V59" s="16">
        <f>IF(OR(I59="",M59="",L59=""),"",IFERROR((I59/M59-J59-K59)/L59,""))</f>
        <v/>
      </c>
      <c r="W59" s="11">
        <f>IFERROR(P59/C59-1,"")</f>
        <v/>
      </c>
      <c r="X59" s="11">
        <f>IFERROR(S59/C59-1,"")</f>
        <v/>
      </c>
      <c r="Y59" s="11">
        <f>IFERROR(V59/C59-1,"")</f>
        <v/>
      </c>
      <c r="Z59" s="3">
        <f>IF(OR(W59="",ISTEXT(W59)),"sin dato",IF(W59&gt;='Léeme'!$B$19,"barato",IF(W59&lt;=-'Léeme'!$B$19,"caro","medio")))</f>
        <v/>
      </c>
      <c r="AA59" s="3">
        <f>IF(OR(X59="",ISTEXT(X59)),"sin dato",IF(X59&gt;='Léeme'!$B$19,"barato",IF(X59&lt;=-'Léeme'!$B$19,"caro","medio")))</f>
        <v/>
      </c>
      <c r="AB59" s="3">
        <f>IF(OR(U59="",ISTEXT(U59)),"sin dato",IF(U59&gt;='Léeme'!$B$20,"barato",IF(U59&lt;=-'Léeme'!$B$20,"caro","medio")))</f>
        <v/>
      </c>
      <c r="AC59" s="3">
        <f>IF(OR(Y59="",ISTEXT(Y59)),"sin dato",IF(Y59&gt;='Léeme'!$B$19,"barato",IF(Y59&lt;=-'Léeme'!$B$19,"caro","medio")))</f>
        <v/>
      </c>
      <c r="AD59" s="7" t="n">
        <v>0.9868421052631579</v>
      </c>
      <c r="AE59" s="7" t="n">
        <v>0.9702380952380952</v>
      </c>
      <c r="AF59" s="7" t="n">
        <v>0.9464285714285714</v>
      </c>
      <c r="AG59" s="7" t="n"/>
    </row>
    <row r="60">
      <c r="A60" s="3" t="inlineStr">
        <is>
          <t>2009-T2</t>
        </is>
      </c>
      <c r="B60" s="13" t="n">
        <v>39994</v>
      </c>
      <c r="C60" s="14" t="n">
        <v>21.920001</v>
      </c>
      <c r="D60" s="14" t="n">
        <v>1.704</v>
      </c>
      <c r="E60" s="14" t="n">
        <v>1.83</v>
      </c>
      <c r="F60" s="5" t="n">
        <v>0.0353</v>
      </c>
      <c r="G60" s="5" t="n">
        <v>0.06945978999817481</v>
      </c>
      <c r="H60" s="5" t="n">
        <v>0.04621187890705891</v>
      </c>
      <c r="N60" s="9">
        <f>IF(F60="","",F60+'Léeme'!$B$10)</f>
        <v/>
      </c>
      <c r="O60" s="9">
        <f>IF(OR(G60="",N60=""),"",MIN(MAX(G60,'Léeme'!$B$11),'Léeme'!$B$12,N60-'Léeme'!$B$16))</f>
        <v/>
      </c>
      <c r="P60" s="16">
        <f>IF(OR(D60="",O60=""),"",IFERROR(IF(D60&lt;=0,"",D60*(1+O60)/(N60-O60)),""))</f>
        <v/>
      </c>
      <c r="Q60" s="9">
        <f>IF(H60="","",MIN(MAX(H60,'Léeme'!$B$13),'Léeme'!$B$14))</f>
        <v/>
      </c>
      <c r="R60" s="9">
        <f>IF(N60="","",MIN('Léeme'!$B$15,N60-'Léeme'!$B$16))</f>
        <v/>
      </c>
      <c r="S60" s="16">
        <f>IF(OR(E60="",Q60=""),"",IFERROR(IF(E60&lt;=0,"",E60*(((1+Q60)/(1+N60))+((1+Q60)/(1+N60))^2+((1+Q60)/(1+N60))^3+((1+Q60)/(1+N60))^4+((1+Q60)/(1+N60))^5)+E60*(1+Q60)^5*(1+R60)/((N60-R60)*(1+N60)^5)),""))</f>
        <v/>
      </c>
      <c r="T60" s="9">
        <f>IF(OR(E60="",N60=""),"",IFERROR((C60*N60-E60)/(C60+E60),""))</f>
        <v/>
      </c>
      <c r="U60" s="9">
        <f>IF(OR(H60="",T60=""),"",IFERROR(MIN(MAX(H60,'Léeme'!$B$17),'Léeme'!$B$18)-T60,""))</f>
        <v/>
      </c>
      <c r="V60" s="16">
        <f>IF(OR(I60="",M60="",L60=""),"",IFERROR((I60/M60-J60-K60)/L60,""))</f>
        <v/>
      </c>
      <c r="W60" s="11">
        <f>IFERROR(P60/C60-1,"")</f>
        <v/>
      </c>
      <c r="X60" s="11">
        <f>IFERROR(S60/C60-1,"")</f>
        <v/>
      </c>
      <c r="Y60" s="11">
        <f>IFERROR(V60/C60-1,"")</f>
        <v/>
      </c>
      <c r="Z60" s="3">
        <f>IF(OR(W60="",ISTEXT(W60)),"sin dato",IF(W60&gt;='Léeme'!$B$19,"barato",IF(W60&lt;=-'Léeme'!$B$19,"caro","medio")))</f>
        <v/>
      </c>
      <c r="AA60" s="3">
        <f>IF(OR(X60="",ISTEXT(X60)),"sin dato",IF(X60&gt;='Léeme'!$B$19,"barato",IF(X60&lt;=-'Léeme'!$B$19,"caro","medio")))</f>
        <v/>
      </c>
      <c r="AB60" s="3">
        <f>IF(OR(U60="",ISTEXT(U60)),"sin dato",IF(U60&gt;='Léeme'!$B$20,"barato",IF(U60&lt;=-'Léeme'!$B$20,"caro","medio")))</f>
        <v/>
      </c>
      <c r="AC60" s="3">
        <f>IF(OR(Y60="",ISTEXT(Y60)),"sin dato",IF(Y60&gt;='Léeme'!$B$19,"barato",IF(Y60&lt;=-'Léeme'!$B$19,"caro","medio")))</f>
        <v/>
      </c>
      <c r="AD60" s="7" t="n">
        <v>0.9358974358974359</v>
      </c>
      <c r="AE60" s="7" t="n">
        <v>0.9022988505747126</v>
      </c>
      <c r="AF60" s="7" t="n">
        <v>0.7988505747126436</v>
      </c>
      <c r="AG60" s="7" t="n"/>
    </row>
    <row r="61">
      <c r="A61" s="3" t="inlineStr">
        <is>
          <t>2009-T3</t>
        </is>
      </c>
      <c r="B61" s="13" t="n">
        <v>40086</v>
      </c>
      <c r="C61" s="14" t="n">
        <v>25.649999</v>
      </c>
      <c r="D61" s="14" t="n">
        <v>1.716</v>
      </c>
      <c r="E61" s="14" t="n">
        <v>1.83</v>
      </c>
      <c r="F61" s="5" t="n">
        <v>0.0331</v>
      </c>
      <c r="G61" s="5" t="n">
        <v>0.05580060835084066</v>
      </c>
      <c r="H61" s="5" t="n">
        <v>0.04621187890705891</v>
      </c>
      <c r="N61" s="9">
        <f>IF(F61="","",F61+'Léeme'!$B$10)</f>
        <v/>
      </c>
      <c r="O61" s="9">
        <f>IF(OR(G61="",N61=""),"",MIN(MAX(G61,'Léeme'!$B$11),'Léeme'!$B$12,N61-'Léeme'!$B$16))</f>
        <v/>
      </c>
      <c r="P61" s="16">
        <f>IF(OR(D61="",O61=""),"",IFERROR(IF(D61&lt;=0,"",D61*(1+O61)/(N61-O61)),""))</f>
        <v/>
      </c>
      <c r="Q61" s="9">
        <f>IF(H61="","",MIN(MAX(H61,'Léeme'!$B$13),'Léeme'!$B$14))</f>
        <v/>
      </c>
      <c r="R61" s="9">
        <f>IF(N61="","",MIN('Léeme'!$B$15,N61-'Léeme'!$B$16))</f>
        <v/>
      </c>
      <c r="S61" s="16">
        <f>IF(OR(E61="",Q61=""),"",IFERROR(IF(E61&lt;=0,"",E61*(((1+Q61)/(1+N61))+((1+Q61)/(1+N61))^2+((1+Q61)/(1+N61))^3+((1+Q61)/(1+N61))^4+((1+Q61)/(1+N61))^5)+E61*(1+Q61)^5*(1+R61)/((N61-R61)*(1+N61)^5)),""))</f>
        <v/>
      </c>
      <c r="T61" s="9">
        <f>IF(OR(E61="",N61=""),"",IFERROR((C61*N61-E61)/(C61+E61),""))</f>
        <v/>
      </c>
      <c r="U61" s="9">
        <f>IF(OR(H61="",T61=""),"",IFERROR(MIN(MAX(H61,'Léeme'!$B$17),'Léeme'!$B$18)-T61,""))</f>
        <v/>
      </c>
      <c r="V61" s="16">
        <f>IF(OR(I61="",M61="",L61=""),"",IFERROR((I61/M61-J61-K61)/L61,""))</f>
        <v/>
      </c>
      <c r="W61" s="11">
        <f>IFERROR(P61/C61-1,"")</f>
        <v/>
      </c>
      <c r="X61" s="11">
        <f>IFERROR(S61/C61-1,"")</f>
        <v/>
      </c>
      <c r="Y61" s="11">
        <f>IFERROR(V61/C61-1,"")</f>
        <v/>
      </c>
      <c r="Z61" s="3">
        <f>IF(OR(W61="",ISTEXT(W61)),"sin dato",IF(W61&gt;='Léeme'!$B$19,"barato",IF(W61&lt;=-'Léeme'!$B$19,"caro","medio")))</f>
        <v/>
      </c>
      <c r="AA61" s="3">
        <f>IF(OR(X61="",ISTEXT(X61)),"sin dato",IF(X61&gt;='Léeme'!$B$19,"barato",IF(X61&lt;=-'Léeme'!$B$19,"caro","medio")))</f>
        <v/>
      </c>
      <c r="AB61" s="3">
        <f>IF(OR(U61="",ISTEXT(U61)),"sin dato",IF(U61&gt;='Léeme'!$B$20,"barato",IF(U61&lt;=-'Léeme'!$B$20,"caro","medio")))</f>
        <v/>
      </c>
      <c r="AC61" s="3">
        <f>IF(OR(Y61="",ISTEXT(Y61)),"sin dato",IF(Y61&gt;='Léeme'!$B$19,"barato",IF(Y61&lt;=-'Léeme'!$B$19,"caro","medio")))</f>
        <v/>
      </c>
      <c r="AD61" s="7" t="n">
        <v>0.9291666666666667</v>
      </c>
      <c r="AE61" s="7" t="n">
        <v>0.8166666666666667</v>
      </c>
      <c r="AF61" s="7" t="n">
        <v>0.6944444444444444</v>
      </c>
      <c r="AG61" s="7" t="n"/>
    </row>
    <row r="62">
      <c r="A62" s="3" t="inlineStr">
        <is>
          <t>2009-T4</t>
        </is>
      </c>
      <c r="B62" s="13" t="n">
        <v>40178</v>
      </c>
      <c r="C62" s="14" t="n">
        <v>25.909999</v>
      </c>
      <c r="D62" s="14" t="n">
        <v>1.716</v>
      </c>
      <c r="E62" s="14" t="n">
        <v>1.83</v>
      </c>
      <c r="F62" s="5" t="n">
        <v>0.0385</v>
      </c>
      <c r="G62" s="5" t="n">
        <v>0.05387395206178347</v>
      </c>
      <c r="H62" s="5" t="n">
        <v>0.04621187890705891</v>
      </c>
      <c r="N62" s="9">
        <f>IF(F62="","",F62+'Léeme'!$B$10)</f>
        <v/>
      </c>
      <c r="O62" s="9">
        <f>IF(OR(G62="",N62=""),"",MIN(MAX(G62,'Léeme'!$B$11),'Léeme'!$B$12,N62-'Léeme'!$B$16))</f>
        <v/>
      </c>
      <c r="P62" s="16">
        <f>IF(OR(D62="",O62=""),"",IFERROR(IF(D62&lt;=0,"",D62*(1+O62)/(N62-O62)),""))</f>
        <v/>
      </c>
      <c r="Q62" s="9">
        <f>IF(H62="","",MIN(MAX(H62,'Léeme'!$B$13),'Léeme'!$B$14))</f>
        <v/>
      </c>
      <c r="R62" s="9">
        <f>IF(N62="","",MIN('Léeme'!$B$15,N62-'Léeme'!$B$16))</f>
        <v/>
      </c>
      <c r="S62" s="16">
        <f>IF(OR(E62="",Q62=""),"",IFERROR(IF(E62&lt;=0,"",E62*(((1+Q62)/(1+N62))+((1+Q62)/(1+N62))^2+((1+Q62)/(1+N62))^3+((1+Q62)/(1+N62))^4+((1+Q62)/(1+N62))^5)+E62*(1+Q62)^5*(1+R62)/((N62-R62)*(1+N62)^5)),""))</f>
        <v/>
      </c>
      <c r="T62" s="9">
        <f>IF(OR(E62="",N62=""),"",IFERROR((C62*N62-E62)/(C62+E62),""))</f>
        <v/>
      </c>
      <c r="U62" s="9">
        <f>IF(OR(H62="",T62=""),"",IFERROR(MIN(MAX(H62,'Léeme'!$B$17),'Léeme'!$B$18)-T62,""))</f>
        <v/>
      </c>
      <c r="V62" s="16">
        <f>IF(OR(I62="",M62="",L62=""),"",IFERROR((I62/M62-J62-K62)/L62,""))</f>
        <v/>
      </c>
      <c r="W62" s="11">
        <f>IFERROR(P62/C62-1,"")</f>
        <v/>
      </c>
      <c r="X62" s="11">
        <f>IFERROR(S62/C62-1,"")</f>
        <v/>
      </c>
      <c r="Y62" s="11">
        <f>IFERROR(V62/C62-1,"")</f>
        <v/>
      </c>
      <c r="Z62" s="3">
        <f>IF(OR(W62="",ISTEXT(W62)),"sin dato",IF(W62&gt;='Léeme'!$B$19,"barato",IF(W62&lt;=-'Léeme'!$B$19,"caro","medio")))</f>
        <v/>
      </c>
      <c r="AA62" s="3">
        <f>IF(OR(X62="",ISTEXT(X62)),"sin dato",IF(X62&gt;='Léeme'!$B$19,"barato",IF(X62&lt;=-'Léeme'!$B$19,"caro","medio")))</f>
        <v/>
      </c>
      <c r="AB62" s="3">
        <f>IF(OR(U62="",ISTEXT(U62)),"sin dato",IF(U62&gt;='Léeme'!$B$20,"barato",IF(U62&lt;=-'Léeme'!$B$20,"caro","medio")))</f>
        <v/>
      </c>
      <c r="AC62" s="3">
        <f>IF(OR(Y62="",ISTEXT(Y62)),"sin dato",IF(Y62&gt;='Léeme'!$B$19,"barato",IF(Y62&lt;=-'Léeme'!$B$19,"caro","medio")))</f>
        <v/>
      </c>
      <c r="AD62" s="7" t="n">
        <v>0.7926829268292683</v>
      </c>
      <c r="AE62" s="7" t="n">
        <v>0.6290322580645161</v>
      </c>
      <c r="AF62" s="7" t="n">
        <v>0.543010752688172</v>
      </c>
      <c r="AG62" s="7" t="n"/>
    </row>
    <row r="63">
      <c r="A63" s="3" t="inlineStr">
        <is>
          <t>2010-T1</t>
        </is>
      </c>
      <c r="B63" s="13" t="n">
        <v>40268</v>
      </c>
      <c r="C63" s="14" t="n">
        <v>30.690001</v>
      </c>
      <c r="D63" s="14" t="n">
        <v>1.716</v>
      </c>
      <c r="E63" s="14" t="n">
        <v>1.84</v>
      </c>
      <c r="F63" s="5" t="n">
        <v>0.0384</v>
      </c>
      <c r="G63" s="5" t="n">
        <v>0.05196820007127911</v>
      </c>
      <c r="H63" s="5" t="n">
        <v>0.04170635302920389</v>
      </c>
      <c r="N63" s="9">
        <f>IF(F63="","",F63+'Léeme'!$B$10)</f>
        <v/>
      </c>
      <c r="O63" s="9">
        <f>IF(OR(G63="",N63=""),"",MIN(MAX(G63,'Léeme'!$B$11),'Léeme'!$B$12,N63-'Léeme'!$B$16))</f>
        <v/>
      </c>
      <c r="P63" s="16">
        <f>IF(OR(D63="",O63=""),"",IFERROR(IF(D63&lt;=0,"",D63*(1+O63)/(N63-O63)),""))</f>
        <v/>
      </c>
      <c r="Q63" s="9">
        <f>IF(H63="","",MIN(MAX(H63,'Léeme'!$B$13),'Léeme'!$B$14))</f>
        <v/>
      </c>
      <c r="R63" s="9">
        <f>IF(N63="","",MIN('Léeme'!$B$15,N63-'Léeme'!$B$16))</f>
        <v/>
      </c>
      <c r="S63" s="16">
        <f>IF(OR(E63="",Q63=""),"",IFERROR(IF(E63&lt;=0,"",E63*(((1+Q63)/(1+N63))+((1+Q63)/(1+N63))^2+((1+Q63)/(1+N63))^3+((1+Q63)/(1+N63))^4+((1+Q63)/(1+N63))^5)+E63*(1+Q63)^5*(1+R63)/((N63-R63)*(1+N63)^5)),""))</f>
        <v/>
      </c>
      <c r="T63" s="9">
        <f>IF(OR(E63="",N63=""),"",IFERROR((C63*N63-E63)/(C63+E63),""))</f>
        <v/>
      </c>
      <c r="U63" s="9">
        <f>IF(OR(H63="",T63=""),"",IFERROR(MIN(MAX(H63,'Léeme'!$B$17),'Léeme'!$B$18)-T63,""))</f>
        <v/>
      </c>
      <c r="V63" s="16">
        <f>IF(OR(I63="",M63="",L63=""),"",IFERROR((I63/M63-J63-K63)/L63,""))</f>
        <v/>
      </c>
      <c r="W63" s="11">
        <f>IFERROR(P63/C63-1,"")</f>
        <v/>
      </c>
      <c r="X63" s="11">
        <f>IFERROR(S63/C63-1,"")</f>
        <v/>
      </c>
      <c r="Y63" s="11">
        <f>IFERROR(V63/C63-1,"")</f>
        <v/>
      </c>
      <c r="Z63" s="3">
        <f>IF(OR(W63="",ISTEXT(W63)),"sin dato",IF(W63&gt;='Léeme'!$B$19,"barato",IF(W63&lt;=-'Léeme'!$B$19,"caro","medio")))</f>
        <v/>
      </c>
      <c r="AA63" s="3">
        <f>IF(OR(X63="",ISTEXT(X63)),"sin dato",IF(X63&gt;='Léeme'!$B$19,"barato",IF(X63&lt;=-'Léeme'!$B$19,"caro","medio")))</f>
        <v/>
      </c>
      <c r="AB63" s="3">
        <f>IF(OR(U63="",ISTEXT(U63)),"sin dato",IF(U63&gt;='Léeme'!$B$20,"barato",IF(U63&lt;=-'Léeme'!$B$20,"caro","medio")))</f>
        <v/>
      </c>
      <c r="AC63" s="3">
        <f>IF(OR(Y63="",ISTEXT(Y63)),"sin dato",IF(Y63&gt;='Léeme'!$B$19,"barato",IF(Y63&lt;=-'Léeme'!$B$19,"caro","medio")))</f>
        <v/>
      </c>
      <c r="AD63" s="7" t="n">
        <v>0.6547619047619048</v>
      </c>
      <c r="AE63" s="7" t="n">
        <v>0.3177083333333333</v>
      </c>
      <c r="AF63" s="7" t="n">
        <v>0.1302083333333333</v>
      </c>
      <c r="AG63" s="7" t="n"/>
    </row>
    <row r="64">
      <c r="A64" s="3" t="inlineStr">
        <is>
          <t>2010-T2</t>
        </is>
      </c>
      <c r="B64" s="13" t="n">
        <v>40359</v>
      </c>
      <c r="C64" s="14" t="n">
        <v>30.330001</v>
      </c>
      <c r="D64" s="14" t="n">
        <v>1.728</v>
      </c>
      <c r="E64" s="14" t="n">
        <v>1.84</v>
      </c>
      <c r="F64" s="5" t="n">
        <v>0.0297</v>
      </c>
      <c r="G64" s="5" t="n">
        <v>0.05343538597058362</v>
      </c>
      <c r="H64" s="5" t="n">
        <v>0.04170635302920389</v>
      </c>
      <c r="N64" s="9">
        <f>IF(F64="","",F64+'Léeme'!$B$10)</f>
        <v/>
      </c>
      <c r="O64" s="9">
        <f>IF(OR(G64="",N64=""),"",MIN(MAX(G64,'Léeme'!$B$11),'Léeme'!$B$12,N64-'Léeme'!$B$16))</f>
        <v/>
      </c>
      <c r="P64" s="16">
        <f>IF(OR(D64="",O64=""),"",IFERROR(IF(D64&lt;=0,"",D64*(1+O64)/(N64-O64)),""))</f>
        <v/>
      </c>
      <c r="Q64" s="9">
        <f>IF(H64="","",MIN(MAX(H64,'Léeme'!$B$13),'Léeme'!$B$14))</f>
        <v/>
      </c>
      <c r="R64" s="9">
        <f>IF(N64="","",MIN('Léeme'!$B$15,N64-'Léeme'!$B$16))</f>
        <v/>
      </c>
      <c r="S64" s="16">
        <f>IF(OR(E64="",Q64=""),"",IFERROR(IF(E64&lt;=0,"",E64*(((1+Q64)/(1+N64))+((1+Q64)/(1+N64))^2+((1+Q64)/(1+N64))^3+((1+Q64)/(1+N64))^4+((1+Q64)/(1+N64))^5)+E64*(1+Q64)^5*(1+R64)/((N64-R64)*(1+N64)^5)),""))</f>
        <v/>
      </c>
      <c r="T64" s="9">
        <f>IF(OR(E64="",N64=""),"",IFERROR((C64*N64-E64)/(C64+E64),""))</f>
        <v/>
      </c>
      <c r="U64" s="9">
        <f>IF(OR(H64="",T64=""),"",IFERROR(MIN(MAX(H64,'Léeme'!$B$17),'Léeme'!$B$18)-T64,""))</f>
        <v/>
      </c>
      <c r="V64" s="16">
        <f>IF(OR(I64="",M64="",L64=""),"",IFERROR((I64/M64-J64-K64)/L64,""))</f>
        <v/>
      </c>
      <c r="W64" s="11">
        <f>IFERROR(P64/C64-1,"")</f>
        <v/>
      </c>
      <c r="X64" s="11">
        <f>IFERROR(S64/C64-1,"")</f>
        <v/>
      </c>
      <c r="Y64" s="11">
        <f>IFERROR(V64/C64-1,"")</f>
        <v/>
      </c>
      <c r="Z64" s="3">
        <f>IF(OR(W64="",ISTEXT(W64)),"sin dato",IF(W64&gt;='Léeme'!$B$19,"barato",IF(W64&lt;=-'Léeme'!$B$19,"caro","medio")))</f>
        <v/>
      </c>
      <c r="AA64" s="3">
        <f>IF(OR(X64="",ISTEXT(X64)),"sin dato",IF(X64&gt;='Léeme'!$B$19,"barato",IF(X64&lt;=-'Léeme'!$B$19,"caro","medio")))</f>
        <v/>
      </c>
      <c r="AB64" s="3">
        <f>IF(OR(U64="",ISTEXT(U64)),"sin dato",IF(U64&gt;='Léeme'!$B$20,"barato",IF(U64&lt;=-'Léeme'!$B$20,"caro","medio")))</f>
        <v/>
      </c>
      <c r="AC64" s="3">
        <f>IF(OR(Y64="",ISTEXT(Y64)),"sin dato",IF(Y64&gt;='Léeme'!$B$19,"barato",IF(Y64&lt;=-'Léeme'!$B$19,"caro","medio")))</f>
        <v/>
      </c>
      <c r="AD64" s="7" t="n">
        <v>0.9031007751937985</v>
      </c>
      <c r="AE64" s="7" t="n">
        <v>0.6717171717171717</v>
      </c>
      <c r="AF64" s="7" t="n">
        <v>0.4292929292929293</v>
      </c>
      <c r="AG64" s="7" t="n"/>
    </row>
    <row r="65">
      <c r="A65" s="3" t="inlineStr">
        <is>
          <t>2010-T3</t>
        </is>
      </c>
      <c r="B65" s="13" t="n">
        <v>40451</v>
      </c>
      <c r="C65" s="14" t="n">
        <v>33.720001</v>
      </c>
      <c r="D65" s="14" t="n">
        <v>1.728</v>
      </c>
      <c r="E65" s="14" t="n">
        <v>1.84</v>
      </c>
      <c r="F65" s="5" t="n">
        <v>0.0253</v>
      </c>
      <c r="G65" s="5" t="n">
        <v>0.04419329594385601</v>
      </c>
      <c r="H65" s="5" t="n">
        <v>0.04170635302920389</v>
      </c>
      <c r="N65" s="9">
        <f>IF(F65="","",F65+'Léeme'!$B$10)</f>
        <v/>
      </c>
      <c r="O65" s="9">
        <f>IF(OR(G65="",N65=""),"",MIN(MAX(G65,'Léeme'!$B$11),'Léeme'!$B$12,N65-'Léeme'!$B$16))</f>
        <v/>
      </c>
      <c r="P65" s="16">
        <f>IF(OR(D65="",O65=""),"",IFERROR(IF(D65&lt;=0,"",D65*(1+O65)/(N65-O65)),""))</f>
        <v/>
      </c>
      <c r="Q65" s="9">
        <f>IF(H65="","",MIN(MAX(H65,'Léeme'!$B$13),'Léeme'!$B$14))</f>
        <v/>
      </c>
      <c r="R65" s="9">
        <f>IF(N65="","",MIN('Léeme'!$B$15,N65-'Léeme'!$B$16))</f>
        <v/>
      </c>
      <c r="S65" s="16">
        <f>IF(OR(E65="",Q65=""),"",IFERROR(IF(E65&lt;=0,"",E65*(((1+Q65)/(1+N65))+((1+Q65)/(1+N65))^2+((1+Q65)/(1+N65))^3+((1+Q65)/(1+N65))^4+((1+Q65)/(1+N65))^5)+E65*(1+Q65)^5*(1+R65)/((N65-R65)*(1+N65)^5)),""))</f>
        <v/>
      </c>
      <c r="T65" s="9">
        <f>IF(OR(E65="",N65=""),"",IFERROR((C65*N65-E65)/(C65+E65),""))</f>
        <v/>
      </c>
      <c r="U65" s="9">
        <f>IF(OR(H65="",T65=""),"",IFERROR(MIN(MAX(H65,'Léeme'!$B$17),'Léeme'!$B$18)-T65,""))</f>
        <v/>
      </c>
      <c r="V65" s="16">
        <f>IF(OR(I65="",M65="",L65=""),"",IFERROR((I65/M65-J65-K65)/L65,""))</f>
        <v/>
      </c>
      <c r="W65" s="11">
        <f>IFERROR(P65/C65-1,"")</f>
        <v/>
      </c>
      <c r="X65" s="11">
        <f>IFERROR(S65/C65-1,"")</f>
        <v/>
      </c>
      <c r="Y65" s="11">
        <f>IFERROR(V65/C65-1,"")</f>
        <v/>
      </c>
      <c r="Z65" s="3">
        <f>IF(OR(W65="",ISTEXT(W65)),"sin dato",IF(W65&gt;='Léeme'!$B$19,"barato",IF(W65&lt;=-'Léeme'!$B$19,"caro","medio")))</f>
        <v/>
      </c>
      <c r="AA65" s="3">
        <f>IF(OR(X65="",ISTEXT(X65)),"sin dato",IF(X65&gt;='Léeme'!$B$19,"barato",IF(X65&lt;=-'Léeme'!$B$19,"caro","medio")))</f>
        <v/>
      </c>
      <c r="AB65" s="3">
        <f>IF(OR(U65="",ISTEXT(U65)),"sin dato",IF(U65&gt;='Léeme'!$B$20,"barato",IF(U65&lt;=-'Léeme'!$B$20,"caro","medio")))</f>
        <v/>
      </c>
      <c r="AC65" s="3">
        <f>IF(OR(Y65="",ISTEXT(Y65)),"sin dato",IF(Y65&gt;='Léeme'!$B$19,"barato",IF(Y65&lt;=-'Léeme'!$B$19,"caro","medio")))</f>
        <v/>
      </c>
      <c r="AD65" s="7" t="n">
        <v>0.8522727272727273</v>
      </c>
      <c r="AE65" s="7" t="n">
        <v>0.6715686274509803</v>
      </c>
      <c r="AF65" s="7" t="n">
        <v>0.3774509803921569</v>
      </c>
      <c r="AG65" s="7" t="n"/>
    </row>
    <row r="66">
      <c r="A66" s="3" t="inlineStr">
        <is>
          <t>2010-T4</t>
        </is>
      </c>
      <c r="B66" s="13" t="n">
        <v>40543</v>
      </c>
      <c r="C66" s="14" t="n">
        <v>34.199999</v>
      </c>
      <c r="D66" s="14" t="n">
        <v>1.728</v>
      </c>
      <c r="E66" s="14" t="n">
        <v>1.84</v>
      </c>
      <c r="F66" s="5" t="n">
        <v>0.033</v>
      </c>
      <c r="G66" s="5" t="n">
        <v>0.04419329594385601</v>
      </c>
      <c r="H66" s="5" t="n">
        <v>0.04170635302920389</v>
      </c>
      <c r="N66" s="9">
        <f>IF(F66="","",F66+'Léeme'!$B$10)</f>
        <v/>
      </c>
      <c r="O66" s="9">
        <f>IF(OR(G66="",N66=""),"",MIN(MAX(G66,'Léeme'!$B$11),'Léeme'!$B$12,N66-'Léeme'!$B$16))</f>
        <v/>
      </c>
      <c r="P66" s="16">
        <f>IF(OR(D66="",O66=""),"",IFERROR(IF(D66&lt;=0,"",D66*(1+O66)/(N66-O66)),""))</f>
        <v/>
      </c>
      <c r="Q66" s="9">
        <f>IF(H66="","",MIN(MAX(H66,'Léeme'!$B$13),'Léeme'!$B$14))</f>
        <v/>
      </c>
      <c r="R66" s="9">
        <f>IF(N66="","",MIN('Léeme'!$B$15,N66-'Léeme'!$B$16))</f>
        <v/>
      </c>
      <c r="S66" s="16">
        <f>IF(OR(E66="",Q66=""),"",IFERROR(IF(E66&lt;=0,"",E66*(((1+Q66)/(1+N66))+((1+Q66)/(1+N66))^2+((1+Q66)/(1+N66))^3+((1+Q66)/(1+N66))^4+((1+Q66)/(1+N66))^5)+E66*(1+Q66)^5*(1+R66)/((N66-R66)*(1+N66)^5)),""))</f>
        <v/>
      </c>
      <c r="T66" s="9">
        <f>IF(OR(E66="",N66=""),"",IFERROR((C66*N66-E66)/(C66+E66),""))</f>
        <v/>
      </c>
      <c r="U66" s="9">
        <f>IF(OR(H66="",T66=""),"",IFERROR(MIN(MAX(H66,'Léeme'!$B$17),'Léeme'!$B$18)-T66,""))</f>
        <v/>
      </c>
      <c r="V66" s="16">
        <f>IF(OR(I66="",M66="",L66=""),"",IFERROR((I66/M66-J66-K66)/L66,""))</f>
        <v/>
      </c>
      <c r="W66" s="11">
        <f>IFERROR(P66/C66-1,"")</f>
        <v/>
      </c>
      <c r="X66" s="11">
        <f>IFERROR(S66/C66-1,"")</f>
        <v/>
      </c>
      <c r="Y66" s="11">
        <f>IFERROR(V66/C66-1,"")</f>
        <v/>
      </c>
      <c r="Z66" s="3">
        <f>IF(OR(W66="",ISTEXT(W66)),"sin dato",IF(W66&gt;='Léeme'!$B$19,"barato",IF(W66&lt;=-'Léeme'!$B$19,"caro","medio")))</f>
        <v/>
      </c>
      <c r="AA66" s="3">
        <f>IF(OR(X66="",ISTEXT(X66)),"sin dato",IF(X66&gt;='Léeme'!$B$19,"barato",IF(X66&lt;=-'Léeme'!$B$19,"caro","medio")))</f>
        <v/>
      </c>
      <c r="AB66" s="3">
        <f>IF(OR(U66="",ISTEXT(U66)),"sin dato",IF(U66&gt;='Léeme'!$B$20,"barato",IF(U66&lt;=-'Léeme'!$B$20,"caro","medio")))</f>
        <v/>
      </c>
      <c r="AC66" s="3">
        <f>IF(OR(Y66="",ISTEXT(Y66)),"sin dato",IF(Y66&gt;='Léeme'!$B$19,"barato",IF(Y66&lt;=-'Léeme'!$B$19,"caro","medio")))</f>
        <v/>
      </c>
      <c r="AD66" s="7" t="n">
        <v>0.7</v>
      </c>
      <c r="AE66" s="7" t="n">
        <v>0.319047619047619</v>
      </c>
      <c r="AF66" s="7" t="n">
        <v>0.1285714285714286</v>
      </c>
      <c r="AG66" s="7" t="n"/>
    </row>
    <row r="67">
      <c r="A67" s="3" t="inlineStr">
        <is>
          <t>2011-T1</t>
        </is>
      </c>
      <c r="B67" s="13" t="n">
        <v>40633</v>
      </c>
      <c r="C67" s="14" t="n">
        <v>34.950001</v>
      </c>
      <c r="D67" s="14" t="n">
        <v>1.74</v>
      </c>
      <c r="E67" s="14" t="n">
        <v>1.83</v>
      </c>
      <c r="F67" s="5" t="n">
        <v>0.0347</v>
      </c>
      <c r="G67" s="5" t="n">
        <v>0.04384599219544394</v>
      </c>
      <c r="H67" s="5" t="n">
        <v>0.024677535438969</v>
      </c>
      <c r="N67" s="9">
        <f>IF(F67="","",F67+'Léeme'!$B$10)</f>
        <v/>
      </c>
      <c r="O67" s="9">
        <f>IF(OR(G67="",N67=""),"",MIN(MAX(G67,'Léeme'!$B$11),'Léeme'!$B$12,N67-'Léeme'!$B$16))</f>
        <v/>
      </c>
      <c r="P67" s="16">
        <f>IF(OR(D67="",O67=""),"",IFERROR(IF(D67&lt;=0,"",D67*(1+O67)/(N67-O67)),""))</f>
        <v/>
      </c>
      <c r="Q67" s="9">
        <f>IF(H67="","",MIN(MAX(H67,'Léeme'!$B$13),'Léeme'!$B$14))</f>
        <v/>
      </c>
      <c r="R67" s="9">
        <f>IF(N67="","",MIN('Léeme'!$B$15,N67-'Léeme'!$B$16))</f>
        <v/>
      </c>
      <c r="S67" s="16">
        <f>IF(OR(E67="",Q67=""),"",IFERROR(IF(E67&lt;=0,"",E67*(((1+Q67)/(1+N67))+((1+Q67)/(1+N67))^2+((1+Q67)/(1+N67))^3+((1+Q67)/(1+N67))^4+((1+Q67)/(1+N67))^5)+E67*(1+Q67)^5*(1+R67)/((N67-R67)*(1+N67)^5)),""))</f>
        <v/>
      </c>
      <c r="T67" s="9">
        <f>IF(OR(E67="",N67=""),"",IFERROR((C67*N67-E67)/(C67+E67),""))</f>
        <v/>
      </c>
      <c r="U67" s="9">
        <f>IF(OR(H67="",T67=""),"",IFERROR(MIN(MAX(H67,'Léeme'!$B$17),'Léeme'!$B$18)-T67,""))</f>
        <v/>
      </c>
      <c r="V67" s="16">
        <f>IF(OR(I67="",M67="",L67=""),"",IFERROR((I67/M67-J67-K67)/L67,""))</f>
        <v/>
      </c>
      <c r="W67" s="11">
        <f>IFERROR(P67/C67-1,"")</f>
        <v/>
      </c>
      <c r="X67" s="11">
        <f>IFERROR(S67/C67-1,"")</f>
        <v/>
      </c>
      <c r="Y67" s="11">
        <f>IFERROR(V67/C67-1,"")</f>
        <v/>
      </c>
      <c r="Z67" s="3">
        <f>IF(OR(W67="",ISTEXT(W67)),"sin dato",IF(W67&gt;='Léeme'!$B$19,"barato",IF(W67&lt;=-'Léeme'!$B$19,"caro","medio")))</f>
        <v/>
      </c>
      <c r="AA67" s="3">
        <f>IF(OR(X67="",ISTEXT(X67)),"sin dato",IF(X67&gt;='Léeme'!$B$19,"barato",IF(X67&lt;=-'Léeme'!$B$19,"caro","medio")))</f>
        <v/>
      </c>
      <c r="AB67" s="3">
        <f>IF(OR(U67="",ISTEXT(U67)),"sin dato",IF(U67&gt;='Léeme'!$B$20,"barato",IF(U67&lt;=-'Léeme'!$B$20,"caro","medio")))</f>
        <v/>
      </c>
      <c r="AC67" s="3">
        <f>IF(OR(Y67="",ISTEXT(Y67)),"sin dato",IF(Y67&gt;='Léeme'!$B$19,"barato",IF(Y67&lt;=-'Léeme'!$B$19,"caro","medio")))</f>
        <v/>
      </c>
      <c r="AD67" s="7" t="n">
        <v>0.6413043478260869</v>
      </c>
      <c r="AE67" s="7" t="n">
        <v>0.03240740740740741</v>
      </c>
      <c r="AF67" s="7" t="n">
        <v>0.01388888888888889</v>
      </c>
      <c r="AG67" s="7" t="n"/>
    </row>
    <row r="68">
      <c r="A68" s="3" t="inlineStr">
        <is>
          <t>2011-T2</t>
        </is>
      </c>
      <c r="B68" s="13" t="n">
        <v>40724</v>
      </c>
      <c r="C68" s="14" t="n">
        <v>33.489999</v>
      </c>
      <c r="D68" s="14" t="n">
        <v>1.74</v>
      </c>
      <c r="E68" s="14" t="n">
        <v>1.83</v>
      </c>
      <c r="F68" s="5" t="n">
        <v>0.0318</v>
      </c>
      <c r="G68" s="5" t="n">
        <v>0.04207073363140013</v>
      </c>
      <c r="H68" s="5" t="n">
        <v>0.024677535438969</v>
      </c>
      <c r="I68" s="17" t="n">
        <v>383092000</v>
      </c>
      <c r="J68" s="17" t="n">
        <v>1600000000</v>
      </c>
      <c r="K68" s="17" t="n">
        <v>0</v>
      </c>
      <c r="L68" s="17" t="n">
        <v>126828609</v>
      </c>
      <c r="M68" s="5" t="n">
        <v>0.097</v>
      </c>
      <c r="N68" s="9">
        <f>IF(F68="","",F68+'Léeme'!$B$10)</f>
        <v/>
      </c>
      <c r="O68" s="9">
        <f>IF(OR(G68="",N68=""),"",MIN(MAX(G68,'Léeme'!$B$11),'Léeme'!$B$12,N68-'Léeme'!$B$16))</f>
        <v/>
      </c>
      <c r="P68" s="16">
        <f>IF(OR(D68="",O68=""),"",IFERROR(IF(D68&lt;=0,"",D68*(1+O68)/(N68-O68)),""))</f>
        <v/>
      </c>
      <c r="Q68" s="9">
        <f>IF(H68="","",MIN(MAX(H68,'Léeme'!$B$13),'Léeme'!$B$14))</f>
        <v/>
      </c>
      <c r="R68" s="9">
        <f>IF(N68="","",MIN('Léeme'!$B$15,N68-'Léeme'!$B$16))</f>
        <v/>
      </c>
      <c r="S68" s="16">
        <f>IF(OR(E68="",Q68=""),"",IFERROR(IF(E68&lt;=0,"",E68*(((1+Q68)/(1+N68))+((1+Q68)/(1+N68))^2+((1+Q68)/(1+N68))^3+((1+Q68)/(1+N68))^4+((1+Q68)/(1+N68))^5)+E68*(1+Q68)^5*(1+R68)/((N68-R68)*(1+N68)^5)),""))</f>
        <v/>
      </c>
      <c r="T68" s="9">
        <f>IF(OR(E68="",N68=""),"",IFERROR((C68*N68-E68)/(C68+E68),""))</f>
        <v/>
      </c>
      <c r="U68" s="9">
        <f>IF(OR(H68="",T68=""),"",IFERROR(MIN(MAX(H68,'Léeme'!$B$17),'Léeme'!$B$18)-T68,""))</f>
        <v/>
      </c>
      <c r="V68" s="16">
        <f>IF(OR(I68="",M68="",L68=""),"",IFERROR((I68/M68-J68-K68)/L68,""))</f>
        <v/>
      </c>
      <c r="W68" s="11">
        <f>IFERROR(P68/C68-1,"")</f>
        <v/>
      </c>
      <c r="X68" s="11">
        <f>IFERROR(S68/C68-1,"")</f>
        <v/>
      </c>
      <c r="Y68" s="11">
        <f>IFERROR(V68/C68-1,"")</f>
        <v/>
      </c>
      <c r="Z68" s="3">
        <f>IF(OR(W68="",ISTEXT(W68)),"sin dato",IF(W68&gt;='Léeme'!$B$19,"barato",IF(W68&lt;=-'Léeme'!$B$19,"caro","medio")))</f>
        <v/>
      </c>
      <c r="AA68" s="3">
        <f>IF(OR(X68="",ISTEXT(X68)),"sin dato",IF(X68&gt;='Léeme'!$B$19,"barato",IF(X68&lt;=-'Léeme'!$B$19,"caro","medio")))</f>
        <v/>
      </c>
      <c r="AB68" s="3">
        <f>IF(OR(U68="",ISTEXT(U68)),"sin dato",IF(U68&gt;='Léeme'!$B$20,"barato",IF(U68&lt;=-'Léeme'!$B$20,"caro","medio")))</f>
        <v/>
      </c>
      <c r="AC68" s="3">
        <f>IF(OR(Y68="",ISTEXT(Y68)),"sin dato",IF(Y68&gt;='Léeme'!$B$19,"barato",IF(Y68&lt;=-'Léeme'!$B$19,"caro","medio")))</f>
        <v/>
      </c>
      <c r="AD68" s="7" t="n">
        <v>0.7836879432624113</v>
      </c>
      <c r="AE68" s="7" t="n">
        <v>0.2477477477477477</v>
      </c>
      <c r="AF68" s="7" t="n">
        <v>0.04054054054054054</v>
      </c>
      <c r="AG68" s="7" t="n"/>
    </row>
    <row r="69">
      <c r="A69" s="3" t="inlineStr">
        <is>
          <t>2011-T3</t>
        </is>
      </c>
      <c r="B69" s="13" t="n">
        <v>40816</v>
      </c>
      <c r="C69" s="14" t="n">
        <v>32.240001</v>
      </c>
      <c r="D69" s="14" t="n">
        <v>1.74</v>
      </c>
      <c r="E69" s="14" t="n">
        <v>1.83</v>
      </c>
      <c r="F69" s="5" t="n">
        <v>0.0192</v>
      </c>
      <c r="G69" s="5" t="n">
        <v>0.02848862174989741</v>
      </c>
      <c r="H69" s="5" t="n">
        <v>0.024677535438969</v>
      </c>
      <c r="N69" s="9">
        <f>IF(F69="","",F69+'Léeme'!$B$10)</f>
        <v/>
      </c>
      <c r="O69" s="9">
        <f>IF(OR(G69="",N69=""),"",MIN(MAX(G69,'Léeme'!$B$11),'Léeme'!$B$12,N69-'Léeme'!$B$16))</f>
        <v/>
      </c>
      <c r="P69" s="16">
        <f>IF(OR(D69="",O69=""),"",IFERROR(IF(D69&lt;=0,"",D69*(1+O69)/(N69-O69)),""))</f>
        <v/>
      </c>
      <c r="Q69" s="9">
        <f>IF(H69="","",MIN(MAX(H69,'Léeme'!$B$13),'Léeme'!$B$14))</f>
        <v/>
      </c>
      <c r="R69" s="9">
        <f>IF(N69="","",MIN('Léeme'!$B$15,N69-'Léeme'!$B$16))</f>
        <v/>
      </c>
      <c r="S69" s="16">
        <f>IF(OR(E69="",Q69=""),"",IFERROR(IF(E69&lt;=0,"",E69*(((1+Q69)/(1+N69))+((1+Q69)/(1+N69))^2+((1+Q69)/(1+N69))^3+((1+Q69)/(1+N69))^4+((1+Q69)/(1+N69))^5)+E69*(1+Q69)^5*(1+R69)/((N69-R69)*(1+N69)^5)),""))</f>
        <v/>
      </c>
      <c r="T69" s="9">
        <f>IF(OR(E69="",N69=""),"",IFERROR((C69*N69-E69)/(C69+E69),""))</f>
        <v/>
      </c>
      <c r="U69" s="9">
        <f>IF(OR(H69="",T69=""),"",IFERROR(MIN(MAX(H69,'Léeme'!$B$17),'Léeme'!$B$18)-T69,""))</f>
        <v/>
      </c>
      <c r="V69" s="16">
        <f>IF(OR(I69="",M69="",L69=""),"",IFERROR((I69/M69-J69-K69)/L69,""))</f>
        <v/>
      </c>
      <c r="W69" s="11">
        <f>IFERROR(P69/C69-1,"")</f>
        <v/>
      </c>
      <c r="X69" s="11">
        <f>IFERROR(S69/C69-1,"")</f>
        <v/>
      </c>
      <c r="Y69" s="11">
        <f>IFERROR(V69/C69-1,"")</f>
        <v/>
      </c>
      <c r="Z69" s="3">
        <f>IF(OR(W69="",ISTEXT(W69)),"sin dato",IF(W69&gt;='Léeme'!$B$19,"barato",IF(W69&lt;=-'Léeme'!$B$19,"caro","medio")))</f>
        <v/>
      </c>
      <c r="AA69" s="3">
        <f>IF(OR(X69="",ISTEXT(X69)),"sin dato",IF(X69&gt;='Léeme'!$B$19,"barato",IF(X69&lt;=-'Léeme'!$B$19,"caro","medio")))</f>
        <v/>
      </c>
      <c r="AB69" s="3">
        <f>IF(OR(U69="",ISTEXT(U69)),"sin dato",IF(U69&gt;='Léeme'!$B$20,"barato",IF(U69&lt;=-'Léeme'!$B$20,"caro","medio")))</f>
        <v/>
      </c>
      <c r="AC69" s="3">
        <f>IF(OR(Y69="",ISTEXT(Y69)),"sin dato",IF(Y69&gt;='Léeme'!$B$19,"barato",IF(Y69&lt;=-'Léeme'!$B$19,"caro","medio")))</f>
        <v/>
      </c>
      <c r="AD69" s="7" t="n">
        <v>0.8576388888888888</v>
      </c>
      <c r="AE69" s="7" t="n">
        <v>0.8728070175438597</v>
      </c>
      <c r="AF69" s="7" t="n">
        <v>0.1535087719298246</v>
      </c>
      <c r="AG69" s="7" t="n"/>
    </row>
    <row r="70">
      <c r="A70" s="3" t="inlineStr">
        <is>
          <t>2011-T4</t>
        </is>
      </c>
      <c r="B70" s="13" t="n">
        <v>40907</v>
      </c>
      <c r="C70" s="14" t="n">
        <v>34.96</v>
      </c>
      <c r="D70" s="14" t="n">
        <v>1.752</v>
      </c>
      <c r="E70" s="14" t="n">
        <v>1.83</v>
      </c>
      <c r="F70" s="5" t="n">
        <v>0.0189</v>
      </c>
      <c r="G70" s="5" t="n">
        <v>0.02990332946790675</v>
      </c>
      <c r="H70" s="5" t="n">
        <v>0.024677535438969</v>
      </c>
      <c r="N70" s="9">
        <f>IF(F70="","",F70+'Léeme'!$B$10)</f>
        <v/>
      </c>
      <c r="O70" s="9">
        <f>IF(OR(G70="",N70=""),"",MIN(MAX(G70,'Léeme'!$B$11),'Léeme'!$B$12,N70-'Léeme'!$B$16))</f>
        <v/>
      </c>
      <c r="P70" s="16">
        <f>IF(OR(D70="",O70=""),"",IFERROR(IF(D70&lt;=0,"",D70*(1+O70)/(N70-O70)),""))</f>
        <v/>
      </c>
      <c r="Q70" s="9">
        <f>IF(H70="","",MIN(MAX(H70,'Léeme'!$B$13),'Léeme'!$B$14))</f>
        <v/>
      </c>
      <c r="R70" s="9">
        <f>IF(N70="","",MIN('Léeme'!$B$15,N70-'Léeme'!$B$16))</f>
        <v/>
      </c>
      <c r="S70" s="16">
        <f>IF(OR(E70="",Q70=""),"",IFERROR(IF(E70&lt;=0,"",E70*(((1+Q70)/(1+N70))+((1+Q70)/(1+N70))^2+((1+Q70)/(1+N70))^3+((1+Q70)/(1+N70))^4+((1+Q70)/(1+N70))^5)+E70*(1+Q70)^5*(1+R70)/((N70-R70)*(1+N70)^5)),""))</f>
        <v/>
      </c>
      <c r="T70" s="9">
        <f>IF(OR(E70="",N70=""),"",IFERROR((C70*N70-E70)/(C70+E70),""))</f>
        <v/>
      </c>
      <c r="U70" s="9">
        <f>IF(OR(H70="",T70=""),"",IFERROR(MIN(MAX(H70,'Léeme'!$B$17),'Léeme'!$B$18)-T70,""))</f>
        <v/>
      </c>
      <c r="V70" s="16">
        <f>IF(OR(I70="",M70="",L70=""),"",IFERROR((I70/M70-J70-K70)/L70,""))</f>
        <v/>
      </c>
      <c r="W70" s="11">
        <f>IFERROR(P70/C70-1,"")</f>
        <v/>
      </c>
      <c r="X70" s="11">
        <f>IFERROR(S70/C70-1,"")</f>
        <v/>
      </c>
      <c r="Y70" s="11">
        <f>IFERROR(V70/C70-1,"")</f>
        <v/>
      </c>
      <c r="Z70" s="3">
        <f>IF(OR(W70="",ISTEXT(W70)),"sin dato",IF(W70&gt;='Léeme'!$B$19,"barato",IF(W70&lt;=-'Léeme'!$B$19,"caro","medio")))</f>
        <v/>
      </c>
      <c r="AA70" s="3">
        <f>IF(OR(X70="",ISTEXT(X70)),"sin dato",IF(X70&gt;='Léeme'!$B$19,"barato",IF(X70&lt;=-'Léeme'!$B$19,"caro","medio")))</f>
        <v/>
      </c>
      <c r="AB70" s="3">
        <f>IF(OR(U70="",ISTEXT(U70)),"sin dato",IF(U70&gt;='Léeme'!$B$20,"barato",IF(U70&lt;=-'Léeme'!$B$20,"caro","medio")))</f>
        <v/>
      </c>
      <c r="AC70" s="3">
        <f>IF(OR(Y70="",ISTEXT(Y70)),"sin dato",IF(Y70&gt;='Léeme'!$B$19,"barato",IF(Y70&lt;=-'Léeme'!$B$19,"caro","medio")))</f>
        <v/>
      </c>
      <c r="AD70" s="7" t="n">
        <v>0.8129251700680272</v>
      </c>
      <c r="AE70" s="7" t="n">
        <v>0.7991452991452992</v>
      </c>
      <c r="AF70" s="7" t="n">
        <v>0.0811965811965812</v>
      </c>
      <c r="AG70" s="7" t="n"/>
    </row>
    <row r="71">
      <c r="A71" s="3" t="inlineStr">
        <is>
          <t>2012-T1</t>
        </is>
      </c>
      <c r="B71" s="13" t="n">
        <v>40998</v>
      </c>
      <c r="C71" s="14" t="n">
        <v>38.730002</v>
      </c>
      <c r="D71" s="14" t="n">
        <v>1.752</v>
      </c>
      <c r="E71" s="14" t="n">
        <v>1.98</v>
      </c>
      <c r="F71" s="5" t="n">
        <v>0.0223</v>
      </c>
      <c r="G71" s="5" t="n">
        <v>0.02827630186247165</v>
      </c>
      <c r="H71" s="5" t="n">
        <v>0.0273627555637741</v>
      </c>
      <c r="I71" s="17" t="n">
        <v>444372000</v>
      </c>
      <c r="J71" s="17" t="n">
        <v>2055181000</v>
      </c>
      <c r="K71" s="17" t="n">
        <v>0</v>
      </c>
      <c r="L71" s="17" t="n">
        <v>133223338</v>
      </c>
      <c r="M71" s="5" t="n">
        <v>0.078</v>
      </c>
      <c r="N71" s="9">
        <f>IF(F71="","",F71+'Léeme'!$B$10)</f>
        <v/>
      </c>
      <c r="O71" s="9">
        <f>IF(OR(G71="",N71=""),"",MIN(MAX(G71,'Léeme'!$B$11),'Léeme'!$B$12,N71-'Léeme'!$B$16))</f>
        <v/>
      </c>
      <c r="P71" s="16">
        <f>IF(OR(D71="",O71=""),"",IFERROR(IF(D71&lt;=0,"",D71*(1+O71)/(N71-O71)),""))</f>
        <v/>
      </c>
      <c r="Q71" s="9">
        <f>IF(H71="","",MIN(MAX(H71,'Léeme'!$B$13),'Léeme'!$B$14))</f>
        <v/>
      </c>
      <c r="R71" s="9">
        <f>IF(N71="","",MIN('Léeme'!$B$15,N71-'Léeme'!$B$16))</f>
        <v/>
      </c>
      <c r="S71" s="16">
        <f>IF(OR(E71="",Q71=""),"",IFERROR(IF(E71&lt;=0,"",E71*(((1+Q71)/(1+N71))+((1+Q71)/(1+N71))^2+((1+Q71)/(1+N71))^3+((1+Q71)/(1+N71))^4+((1+Q71)/(1+N71))^5)+E71*(1+Q71)^5*(1+R71)/((N71-R71)*(1+N71)^5)),""))</f>
        <v/>
      </c>
      <c r="T71" s="9">
        <f>IF(OR(E71="",N71=""),"",IFERROR((C71*N71-E71)/(C71+E71),""))</f>
        <v/>
      </c>
      <c r="U71" s="9">
        <f>IF(OR(H71="",T71=""),"",IFERROR(MIN(MAX(H71,'Léeme'!$B$17),'Léeme'!$B$18)-T71,""))</f>
        <v/>
      </c>
      <c r="V71" s="16">
        <f>IF(OR(I71="",M71="",L71=""),"",IFERROR((I71/M71-J71-K71)/L71,""))</f>
        <v/>
      </c>
      <c r="W71" s="11">
        <f>IFERROR(P71/C71-1,"")</f>
        <v/>
      </c>
      <c r="X71" s="11">
        <f>IFERROR(S71/C71-1,"")</f>
        <v/>
      </c>
      <c r="Y71" s="11">
        <f>IFERROR(V71/C71-1,"")</f>
        <v/>
      </c>
      <c r="Z71" s="3">
        <f>IF(OR(W71="",ISTEXT(W71)),"sin dato",IF(W71&gt;='Léeme'!$B$19,"barato",IF(W71&lt;=-'Léeme'!$B$19,"caro","medio")))</f>
        <v/>
      </c>
      <c r="AA71" s="3">
        <f>IF(OR(X71="",ISTEXT(X71)),"sin dato",IF(X71&gt;='Léeme'!$B$19,"barato",IF(X71&lt;=-'Léeme'!$B$19,"caro","medio")))</f>
        <v/>
      </c>
      <c r="AB71" s="3">
        <f>IF(OR(U71="",ISTEXT(U71)),"sin dato",IF(U71&gt;='Léeme'!$B$20,"barato",IF(U71&lt;=-'Léeme'!$B$20,"caro","medio")))</f>
        <v/>
      </c>
      <c r="AC71" s="3">
        <f>IF(OR(Y71="",ISTEXT(Y71)),"sin dato",IF(Y71&gt;='Léeme'!$B$19,"barato",IF(Y71&lt;=-'Léeme'!$B$19,"caro","medio")))</f>
        <v/>
      </c>
      <c r="AD71" s="7" t="n">
        <v>0.49</v>
      </c>
      <c r="AE71" s="7" t="n">
        <v>0.6291666666666667</v>
      </c>
      <c r="AF71" s="7" t="n">
        <v>0.0625</v>
      </c>
      <c r="AG71" s="7" t="n"/>
    </row>
    <row r="72">
      <c r="A72" s="3" t="inlineStr">
        <is>
          <t>2012-T2</t>
        </is>
      </c>
      <c r="B72" s="13" t="n">
        <v>41089</v>
      </c>
      <c r="C72" s="14" t="n">
        <v>41.770002</v>
      </c>
      <c r="D72" s="14" t="n">
        <v>1.752</v>
      </c>
      <c r="E72" s="14" t="n">
        <v>1.98</v>
      </c>
      <c r="F72" s="5" t="n">
        <v>0.0167</v>
      </c>
      <c r="G72" s="5" t="n">
        <v>0.02666457559557656</v>
      </c>
      <c r="H72" s="5" t="n">
        <v>0.0273627555637741</v>
      </c>
      <c r="I72" s="17" t="n">
        <v>448748000</v>
      </c>
      <c r="J72" s="17" t="n">
        <v>1849878000</v>
      </c>
      <c r="K72" s="17" t="n">
        <v>0</v>
      </c>
      <c r="L72" s="17" t="n">
        <v>133403830</v>
      </c>
      <c r="M72" s="5" t="n">
        <v>0.078</v>
      </c>
      <c r="N72" s="9">
        <f>IF(F72="","",F72+'Léeme'!$B$10)</f>
        <v/>
      </c>
      <c r="O72" s="9">
        <f>IF(OR(G72="",N72=""),"",MIN(MAX(G72,'Léeme'!$B$11),'Léeme'!$B$12,N72-'Léeme'!$B$16))</f>
        <v/>
      </c>
      <c r="P72" s="16">
        <f>IF(OR(D72="",O72=""),"",IFERROR(IF(D72&lt;=0,"",D72*(1+O72)/(N72-O72)),""))</f>
        <v/>
      </c>
      <c r="Q72" s="9">
        <f>IF(H72="","",MIN(MAX(H72,'Léeme'!$B$13),'Léeme'!$B$14))</f>
        <v/>
      </c>
      <c r="R72" s="9">
        <f>IF(N72="","",MIN('Léeme'!$B$15,N72-'Léeme'!$B$16))</f>
        <v/>
      </c>
      <c r="S72" s="16">
        <f>IF(OR(E72="",Q72=""),"",IFERROR(IF(E72&lt;=0,"",E72*(((1+Q72)/(1+N72))+((1+Q72)/(1+N72))^2+((1+Q72)/(1+N72))^3+((1+Q72)/(1+N72))^4+((1+Q72)/(1+N72))^5)+E72*(1+Q72)^5*(1+R72)/((N72-R72)*(1+N72)^5)),""))</f>
        <v/>
      </c>
      <c r="T72" s="9">
        <f>IF(OR(E72="",N72=""),"",IFERROR((C72*N72-E72)/(C72+E72),""))</f>
        <v/>
      </c>
      <c r="U72" s="9">
        <f>IF(OR(H72="",T72=""),"",IFERROR(MIN(MAX(H72,'Léeme'!$B$17),'Léeme'!$B$18)-T72,""))</f>
        <v/>
      </c>
      <c r="V72" s="16">
        <f>IF(OR(I72="",M72="",L72=""),"",IFERROR((I72/M72-J72-K72)/L72,""))</f>
        <v/>
      </c>
      <c r="W72" s="11">
        <f>IFERROR(P72/C72-1,"")</f>
        <v/>
      </c>
      <c r="X72" s="11">
        <f>IFERROR(S72/C72-1,"")</f>
        <v/>
      </c>
      <c r="Y72" s="11">
        <f>IFERROR(V72/C72-1,"")</f>
        <v/>
      </c>
      <c r="Z72" s="3">
        <f>IF(OR(W72="",ISTEXT(W72)),"sin dato",IF(W72&gt;='Léeme'!$B$19,"barato",IF(W72&lt;=-'Léeme'!$B$19,"caro","medio")))</f>
        <v/>
      </c>
      <c r="AA72" s="3">
        <f>IF(OR(X72="",ISTEXT(X72)),"sin dato",IF(X72&gt;='Léeme'!$B$19,"barato",IF(X72&lt;=-'Léeme'!$B$19,"caro","medio")))</f>
        <v/>
      </c>
      <c r="AB72" s="3">
        <f>IF(OR(U72="",ISTEXT(U72)),"sin dato",IF(U72&gt;='Léeme'!$B$20,"barato",IF(U72&lt;=-'Léeme'!$B$20,"caro","medio")))</f>
        <v/>
      </c>
      <c r="AC72" s="3">
        <f>IF(OR(Y72="",ISTEXT(Y72)),"sin dato",IF(Y72&gt;='Léeme'!$B$19,"barato",IF(Y72&lt;=-'Léeme'!$B$19,"caro","medio")))</f>
        <v/>
      </c>
      <c r="AD72" s="7" t="n">
        <v>0.6045751633986928</v>
      </c>
      <c r="AE72" s="7" t="n">
        <v>0.7764227642276422</v>
      </c>
      <c r="AF72" s="7" t="n">
        <v>0.1016260162601626</v>
      </c>
      <c r="AG72" s="7" t="n"/>
    </row>
    <row r="73">
      <c r="A73" s="3" t="inlineStr">
        <is>
          <t>2012-T3</t>
        </is>
      </c>
      <c r="B73" s="13" t="n">
        <v>41180</v>
      </c>
      <c r="C73" s="14" t="n">
        <v>40.89</v>
      </c>
      <c r="D73" s="14" t="n">
        <v>1.812</v>
      </c>
      <c r="E73" s="14" t="n">
        <v>1.98</v>
      </c>
      <c r="F73" s="5" t="n">
        <v>0.0165</v>
      </c>
      <c r="G73" s="5" t="n">
        <v>0.02114545286465352</v>
      </c>
      <c r="H73" s="5" t="n">
        <v>0.0273627555637741</v>
      </c>
      <c r="I73" s="17" t="n">
        <v>454212000</v>
      </c>
      <c r="J73" s="17" t="n">
        <v>1990261000</v>
      </c>
      <c r="K73" s="17" t="n">
        <v>0</v>
      </c>
      <c r="L73" s="17" t="n">
        <v>133439028</v>
      </c>
      <c r="M73" s="5" t="n">
        <v>0.078</v>
      </c>
      <c r="N73" s="9">
        <f>IF(F73="","",F73+'Léeme'!$B$10)</f>
        <v/>
      </c>
      <c r="O73" s="9">
        <f>IF(OR(G73="",N73=""),"",MIN(MAX(G73,'Léeme'!$B$11),'Léeme'!$B$12,N73-'Léeme'!$B$16))</f>
        <v/>
      </c>
      <c r="P73" s="16">
        <f>IF(OR(D73="",O73=""),"",IFERROR(IF(D73&lt;=0,"",D73*(1+O73)/(N73-O73)),""))</f>
        <v/>
      </c>
      <c r="Q73" s="9">
        <f>IF(H73="","",MIN(MAX(H73,'Léeme'!$B$13),'Léeme'!$B$14))</f>
        <v/>
      </c>
      <c r="R73" s="9">
        <f>IF(N73="","",MIN('Léeme'!$B$15,N73-'Léeme'!$B$16))</f>
        <v/>
      </c>
      <c r="S73" s="16">
        <f>IF(OR(E73="",Q73=""),"",IFERROR(IF(E73&lt;=0,"",E73*(((1+Q73)/(1+N73))+((1+Q73)/(1+N73))^2+((1+Q73)/(1+N73))^3+((1+Q73)/(1+N73))^4+((1+Q73)/(1+N73))^5)+E73*(1+Q73)^5*(1+R73)/((N73-R73)*(1+N73)^5)),""))</f>
        <v/>
      </c>
      <c r="T73" s="9">
        <f>IF(OR(E73="",N73=""),"",IFERROR((C73*N73-E73)/(C73+E73),""))</f>
        <v/>
      </c>
      <c r="U73" s="9">
        <f>IF(OR(H73="",T73=""),"",IFERROR(MIN(MAX(H73,'Léeme'!$B$17),'Léeme'!$B$18)-T73,""))</f>
        <v/>
      </c>
      <c r="V73" s="16">
        <f>IF(OR(I73="",M73="",L73=""),"",IFERROR((I73/M73-J73-K73)/L73,""))</f>
        <v/>
      </c>
      <c r="W73" s="11">
        <f>IFERROR(P73/C73-1,"")</f>
        <v/>
      </c>
      <c r="X73" s="11">
        <f>IFERROR(S73/C73-1,"")</f>
        <v/>
      </c>
      <c r="Y73" s="11">
        <f>IFERROR(V73/C73-1,"")</f>
        <v/>
      </c>
      <c r="Z73" s="3">
        <f>IF(OR(W73="",ISTEXT(W73)),"sin dato",IF(W73&gt;='Léeme'!$B$19,"barato",IF(W73&lt;=-'Léeme'!$B$19,"caro","medio")))</f>
        <v/>
      </c>
      <c r="AA73" s="3">
        <f>IF(OR(X73="",ISTEXT(X73)),"sin dato",IF(X73&gt;='Léeme'!$B$19,"barato",IF(X73&lt;=-'Léeme'!$B$19,"caro","medio")))</f>
        <v/>
      </c>
      <c r="AB73" s="3">
        <f>IF(OR(U73="",ISTEXT(U73)),"sin dato",IF(U73&gt;='Léeme'!$B$20,"barato",IF(U73&lt;=-'Léeme'!$B$20,"caro","medio")))</f>
        <v/>
      </c>
      <c r="AC73" s="3">
        <f>IF(OR(Y73="",ISTEXT(Y73)),"sin dato",IF(Y73&gt;='Léeme'!$B$19,"barato",IF(Y73&lt;=-'Léeme'!$B$19,"caro","medio")))</f>
        <v/>
      </c>
      <c r="AD73" s="7" t="n">
        <v>0.3237179487179487</v>
      </c>
      <c r="AE73" s="7" t="n">
        <v>0.8293650793650794</v>
      </c>
      <c r="AF73" s="7" t="n">
        <v>0.130952380952381</v>
      </c>
      <c r="AG73" s="7" t="n"/>
    </row>
    <row r="74">
      <c r="A74" s="3" t="inlineStr">
        <is>
          <t>2012-T4</t>
        </is>
      </c>
      <c r="B74" s="13" t="n">
        <v>41274</v>
      </c>
      <c r="C74" s="14" t="n">
        <v>40.209998</v>
      </c>
      <c r="D74" s="14" t="n">
        <v>1.824</v>
      </c>
      <c r="E74" s="14" t="n">
        <v>1.98</v>
      </c>
      <c r="F74" s="5" t="n">
        <v>0.0178</v>
      </c>
      <c r="G74" s="5" t="n">
        <v>0.0209973248008497</v>
      </c>
      <c r="H74" s="5" t="n">
        <v>0.0273627555637741</v>
      </c>
      <c r="I74" s="17" t="n">
        <v>473144000</v>
      </c>
      <c r="J74" s="17" t="n">
        <v>2492394000</v>
      </c>
      <c r="K74" s="17" t="n">
        <v>0</v>
      </c>
      <c r="L74" s="17" t="n">
        <v>133452011</v>
      </c>
      <c r="M74" s="5" t="n">
        <v>0.078</v>
      </c>
      <c r="N74" s="9">
        <f>IF(F74="","",F74+'Léeme'!$B$10)</f>
        <v/>
      </c>
      <c r="O74" s="9">
        <f>IF(OR(G74="",N74=""),"",MIN(MAX(G74,'Léeme'!$B$11),'Léeme'!$B$12,N74-'Léeme'!$B$16))</f>
        <v/>
      </c>
      <c r="P74" s="16">
        <f>IF(OR(D74="",O74=""),"",IFERROR(IF(D74&lt;=0,"",D74*(1+O74)/(N74-O74)),""))</f>
        <v/>
      </c>
      <c r="Q74" s="9">
        <f>IF(H74="","",MIN(MAX(H74,'Léeme'!$B$13),'Léeme'!$B$14))</f>
        <v/>
      </c>
      <c r="R74" s="9">
        <f>IF(N74="","",MIN('Léeme'!$B$15,N74-'Léeme'!$B$16))</f>
        <v/>
      </c>
      <c r="S74" s="16">
        <f>IF(OR(E74="",Q74=""),"",IFERROR(IF(E74&lt;=0,"",E74*(((1+Q74)/(1+N74))+((1+Q74)/(1+N74))^2+((1+Q74)/(1+N74))^3+((1+Q74)/(1+N74))^4+((1+Q74)/(1+N74))^5)+E74*(1+Q74)^5*(1+R74)/((N74-R74)*(1+N74)^5)),""))</f>
        <v/>
      </c>
      <c r="T74" s="9">
        <f>IF(OR(E74="",N74=""),"",IFERROR((C74*N74-E74)/(C74+E74),""))</f>
        <v/>
      </c>
      <c r="U74" s="9">
        <f>IF(OR(H74="",T74=""),"",IFERROR(MIN(MAX(H74,'Léeme'!$B$17),'Léeme'!$B$18)-T74,""))</f>
        <v/>
      </c>
      <c r="V74" s="16">
        <f>IF(OR(I74="",M74="",L74=""),"",IFERROR((I74/M74-J74-K74)/L74,""))</f>
        <v/>
      </c>
      <c r="W74" s="11">
        <f>IFERROR(P74/C74-1,"")</f>
        <v/>
      </c>
      <c r="X74" s="11">
        <f>IFERROR(S74/C74-1,"")</f>
        <v/>
      </c>
      <c r="Y74" s="11">
        <f>IFERROR(V74/C74-1,"")</f>
        <v/>
      </c>
      <c r="Z74" s="3">
        <f>IF(OR(W74="",ISTEXT(W74)),"sin dato",IF(W74&gt;='Léeme'!$B$19,"barato",IF(W74&lt;=-'Léeme'!$B$19,"caro","medio")))</f>
        <v/>
      </c>
      <c r="AA74" s="3">
        <f>IF(OR(X74="",ISTEXT(X74)),"sin dato",IF(X74&gt;='Léeme'!$B$19,"barato",IF(X74&lt;=-'Léeme'!$B$19,"caro","medio")))</f>
        <v/>
      </c>
      <c r="AB74" s="3">
        <f>IF(OR(U74="",ISTEXT(U74)),"sin dato",IF(U74&gt;='Léeme'!$B$20,"barato",IF(U74&lt;=-'Léeme'!$B$20,"caro","medio")))</f>
        <v/>
      </c>
      <c r="AC74" s="3">
        <f>IF(OR(Y74="",ISTEXT(Y74)),"sin dato",IF(Y74&gt;='Léeme'!$B$19,"barato",IF(Y74&lt;=-'Léeme'!$B$19,"caro","medio")))</f>
        <v/>
      </c>
      <c r="AD74" s="7" t="n">
        <v>0.2358490566037736</v>
      </c>
      <c r="AE74" s="7" t="n">
        <v>0.7325581395348837</v>
      </c>
      <c r="AF74" s="7" t="n">
        <v>0.1279069767441861</v>
      </c>
      <c r="AG74" s="7" t="n"/>
    </row>
    <row r="75">
      <c r="A75" s="3" t="inlineStr">
        <is>
          <t>2013-T1</t>
        </is>
      </c>
      <c r="B75" s="13" t="n">
        <v>41361</v>
      </c>
      <c r="C75" s="14" t="n">
        <v>45.35</v>
      </c>
      <c r="D75" s="14" t="n">
        <v>2.172</v>
      </c>
      <c r="E75" s="14" t="n">
        <v>1.96</v>
      </c>
      <c r="F75" s="5" t="n">
        <v>0.0187</v>
      </c>
      <c r="G75" s="5" t="n">
        <v>0.0572838576170025</v>
      </c>
      <c r="H75" s="5" t="n">
        <v>0.007300045195211657</v>
      </c>
      <c r="I75" s="17" t="n">
        <v>499236000</v>
      </c>
      <c r="J75" s="17" t="n">
        <v>2883868000</v>
      </c>
      <c r="K75" s="17" t="n">
        <v>0</v>
      </c>
      <c r="L75" s="17" t="n">
        <v>133452411</v>
      </c>
      <c r="M75" s="5" t="n">
        <v>0.078</v>
      </c>
      <c r="N75" s="9">
        <f>IF(F75="","",F75+'Léeme'!$B$10)</f>
        <v/>
      </c>
      <c r="O75" s="9">
        <f>IF(OR(G75="",N75=""),"",MIN(MAX(G75,'Léeme'!$B$11),'Léeme'!$B$12,N75-'Léeme'!$B$16))</f>
        <v/>
      </c>
      <c r="P75" s="16">
        <f>IF(OR(D75="",O75=""),"",IFERROR(IF(D75&lt;=0,"",D75*(1+O75)/(N75-O75)),""))</f>
        <v/>
      </c>
      <c r="Q75" s="9">
        <f>IF(H75="","",MIN(MAX(H75,'Léeme'!$B$13),'Léeme'!$B$14))</f>
        <v/>
      </c>
      <c r="R75" s="9">
        <f>IF(N75="","",MIN('Léeme'!$B$15,N75-'Léeme'!$B$16))</f>
        <v/>
      </c>
      <c r="S75" s="16">
        <f>IF(OR(E75="",Q75=""),"",IFERROR(IF(E75&lt;=0,"",E75*(((1+Q75)/(1+N75))+((1+Q75)/(1+N75))^2+((1+Q75)/(1+N75))^3+((1+Q75)/(1+N75))^4+((1+Q75)/(1+N75))^5)+E75*(1+Q75)^5*(1+R75)/((N75-R75)*(1+N75)^5)),""))</f>
        <v/>
      </c>
      <c r="T75" s="9">
        <f>IF(OR(E75="",N75=""),"",IFERROR((C75*N75-E75)/(C75+E75),""))</f>
        <v/>
      </c>
      <c r="U75" s="9">
        <f>IF(OR(H75="",T75=""),"",IFERROR(MIN(MAX(H75,'Léeme'!$B$17),'Léeme'!$B$18)-T75,""))</f>
        <v/>
      </c>
      <c r="V75" s="16">
        <f>IF(OR(I75="",M75="",L75=""),"",IFERROR((I75/M75-J75-K75)/L75,""))</f>
        <v/>
      </c>
      <c r="W75" s="11">
        <f>IFERROR(P75/C75-1,"")</f>
        <v/>
      </c>
      <c r="X75" s="11">
        <f>IFERROR(S75/C75-1,"")</f>
        <v/>
      </c>
      <c r="Y75" s="11">
        <f>IFERROR(V75/C75-1,"")</f>
        <v/>
      </c>
      <c r="Z75" s="3">
        <f>IF(OR(W75="",ISTEXT(W75)),"sin dato",IF(W75&gt;='Léeme'!$B$19,"barato",IF(W75&lt;=-'Léeme'!$B$19,"caro","medio")))</f>
        <v/>
      </c>
      <c r="AA75" s="3">
        <f>IF(OR(X75="",ISTEXT(X75)),"sin dato",IF(X75&gt;='Léeme'!$B$19,"barato",IF(X75&lt;=-'Léeme'!$B$19,"caro","medio")))</f>
        <v/>
      </c>
      <c r="AB75" s="3">
        <f>IF(OR(U75="",ISTEXT(U75)),"sin dato",IF(U75&gt;='Léeme'!$B$20,"barato",IF(U75&lt;=-'Léeme'!$B$20,"caro","medio")))</f>
        <v/>
      </c>
      <c r="AC75" s="3">
        <f>IF(OR(Y75="",ISTEXT(Y75)),"sin dato",IF(Y75&gt;='Léeme'!$B$19,"barato",IF(Y75&lt;=-'Léeme'!$B$19,"caro","medio")))</f>
        <v/>
      </c>
      <c r="AD75" s="7" t="n">
        <v>0.7746913580246914</v>
      </c>
      <c r="AE75" s="7" t="n">
        <v>0.375</v>
      </c>
      <c r="AF75" s="7" t="n">
        <v>0.01136363636363636</v>
      </c>
      <c r="AG75" s="7" t="n"/>
    </row>
    <row r="76">
      <c r="A76" s="3" t="inlineStr">
        <is>
          <t>2013-T2</t>
        </is>
      </c>
      <c r="B76" s="13" t="n">
        <v>41453</v>
      </c>
      <c r="C76" s="14" t="n">
        <v>41.92</v>
      </c>
      <c r="D76" s="14" t="n">
        <v>2.184</v>
      </c>
      <c r="E76" s="14" t="n">
        <v>1.96</v>
      </c>
      <c r="F76" s="5" t="n">
        <v>0.0252</v>
      </c>
      <c r="G76" s="5" t="n">
        <v>0.05691110316353254</v>
      </c>
      <c r="H76" s="5" t="n">
        <v>0.007300045195211657</v>
      </c>
      <c r="I76" s="17" t="n">
        <v>671692000</v>
      </c>
      <c r="J76" s="17" t="n">
        <v>3400740000</v>
      </c>
      <c r="K76" s="17" t="n">
        <v>0</v>
      </c>
      <c r="L76" s="17" t="n">
        <v>196226594</v>
      </c>
      <c r="M76" s="5" t="n">
        <v>0.078</v>
      </c>
      <c r="N76" s="9">
        <f>IF(F76="","",F76+'Léeme'!$B$10)</f>
        <v/>
      </c>
      <c r="O76" s="9">
        <f>IF(OR(G76="",N76=""),"",MIN(MAX(G76,'Léeme'!$B$11),'Léeme'!$B$12,N76-'Léeme'!$B$16))</f>
        <v/>
      </c>
      <c r="P76" s="16">
        <f>IF(OR(D76="",O76=""),"",IFERROR(IF(D76&lt;=0,"",D76*(1+O76)/(N76-O76)),""))</f>
        <v/>
      </c>
      <c r="Q76" s="9">
        <f>IF(H76="","",MIN(MAX(H76,'Léeme'!$B$13),'Léeme'!$B$14))</f>
        <v/>
      </c>
      <c r="R76" s="9">
        <f>IF(N76="","",MIN('Léeme'!$B$15,N76-'Léeme'!$B$16))</f>
        <v/>
      </c>
      <c r="S76" s="16">
        <f>IF(OR(E76="",Q76=""),"",IFERROR(IF(E76&lt;=0,"",E76*(((1+Q76)/(1+N76))+((1+Q76)/(1+N76))^2+((1+Q76)/(1+N76))^3+((1+Q76)/(1+N76))^4+((1+Q76)/(1+N76))^5)+E76*(1+Q76)^5*(1+R76)/((N76-R76)*(1+N76)^5)),""))</f>
        <v/>
      </c>
      <c r="T76" s="9">
        <f>IF(OR(E76="",N76=""),"",IFERROR((C76*N76-E76)/(C76+E76),""))</f>
        <v/>
      </c>
      <c r="U76" s="9">
        <f>IF(OR(H76="",T76=""),"",IFERROR(MIN(MAX(H76,'Léeme'!$B$17),'Léeme'!$B$18)-T76,""))</f>
        <v/>
      </c>
      <c r="V76" s="16">
        <f>IF(OR(I76="",M76="",L76=""),"",IFERROR((I76/M76-J76-K76)/L76,""))</f>
        <v/>
      </c>
      <c r="W76" s="11">
        <f>IFERROR(P76/C76-1,"")</f>
        <v/>
      </c>
      <c r="X76" s="11">
        <f>IFERROR(S76/C76-1,"")</f>
        <v/>
      </c>
      <c r="Y76" s="11">
        <f>IFERROR(V76/C76-1,"")</f>
        <v/>
      </c>
      <c r="Z76" s="3">
        <f>IF(OR(W76="",ISTEXT(W76)),"sin dato",IF(W76&gt;='Léeme'!$B$19,"barato",IF(W76&lt;=-'Léeme'!$B$19,"caro","medio")))</f>
        <v/>
      </c>
      <c r="AA76" s="3">
        <f>IF(OR(X76="",ISTEXT(X76)),"sin dato",IF(X76&gt;='Léeme'!$B$19,"barato",IF(X76&lt;=-'Léeme'!$B$19,"caro","medio")))</f>
        <v/>
      </c>
      <c r="AB76" s="3">
        <f>IF(OR(U76="",ISTEXT(U76)),"sin dato",IF(U76&gt;='Léeme'!$B$20,"barato",IF(U76&lt;=-'Léeme'!$B$20,"caro","medio")))</f>
        <v/>
      </c>
      <c r="AC76" s="3">
        <f>IF(OR(Y76="",ISTEXT(Y76)),"sin dato",IF(Y76&gt;='Léeme'!$B$19,"barato",IF(Y76&lt;=-'Léeme'!$B$19,"caro","medio")))</f>
        <v/>
      </c>
      <c r="AD76" s="7" t="n">
        <v>0.8818181818181818</v>
      </c>
      <c r="AE76" s="7" t="n">
        <v>0.08518518518518518</v>
      </c>
      <c r="AF76" s="7" t="n">
        <v>0.01851851851851852</v>
      </c>
      <c r="AG76" s="7" t="n"/>
    </row>
    <row r="77">
      <c r="A77" s="3" t="inlineStr">
        <is>
          <t>2013-T3</t>
        </is>
      </c>
      <c r="B77" s="13" t="n">
        <v>41547</v>
      </c>
      <c r="C77" s="14" t="n">
        <v>39.749999</v>
      </c>
      <c r="D77" s="14" t="n">
        <v>2.184</v>
      </c>
      <c r="E77" s="14" t="n">
        <v>1.96</v>
      </c>
      <c r="F77" s="5" t="n">
        <v>0.0264</v>
      </c>
      <c r="G77" s="5" t="n">
        <v>0.05237483652832586</v>
      </c>
      <c r="H77" s="5" t="n">
        <v>0.007300045195211657</v>
      </c>
      <c r="N77" s="9">
        <f>IF(F77="","",F77+'Léeme'!$B$10)</f>
        <v/>
      </c>
      <c r="O77" s="9">
        <f>IF(OR(G77="",N77=""),"",MIN(MAX(G77,'Léeme'!$B$11),'Léeme'!$B$12,N77-'Léeme'!$B$16))</f>
        <v/>
      </c>
      <c r="P77" s="16">
        <f>IF(OR(D77="",O77=""),"",IFERROR(IF(D77&lt;=0,"",D77*(1+O77)/(N77-O77)),""))</f>
        <v/>
      </c>
      <c r="Q77" s="9">
        <f>IF(H77="","",MIN(MAX(H77,'Léeme'!$B$13),'Léeme'!$B$14))</f>
        <v/>
      </c>
      <c r="R77" s="9">
        <f>IF(N77="","",MIN('Léeme'!$B$15,N77-'Léeme'!$B$16))</f>
        <v/>
      </c>
      <c r="S77" s="16">
        <f>IF(OR(E77="",Q77=""),"",IFERROR(IF(E77&lt;=0,"",E77*(((1+Q77)/(1+N77))+((1+Q77)/(1+N77))^2+((1+Q77)/(1+N77))^3+((1+Q77)/(1+N77))^4+((1+Q77)/(1+N77))^5)+E77*(1+Q77)^5*(1+R77)/((N77-R77)*(1+N77)^5)),""))</f>
        <v/>
      </c>
      <c r="T77" s="9">
        <f>IF(OR(E77="",N77=""),"",IFERROR((C77*N77-E77)/(C77+E77),""))</f>
        <v/>
      </c>
      <c r="U77" s="9">
        <f>IF(OR(H77="",T77=""),"",IFERROR(MIN(MAX(H77,'Léeme'!$B$17),'Léeme'!$B$18)-T77,""))</f>
        <v/>
      </c>
      <c r="V77" s="16">
        <f>IF(OR(I77="",M77="",L77=""),"",IFERROR((I77/M77-J77-K77)/L77,""))</f>
        <v/>
      </c>
      <c r="W77" s="11">
        <f>IFERROR(P77/C77-1,"")</f>
        <v/>
      </c>
      <c r="X77" s="11">
        <f>IFERROR(S77/C77-1,"")</f>
        <v/>
      </c>
      <c r="Y77" s="11">
        <f>IFERROR(V77/C77-1,"")</f>
        <v/>
      </c>
      <c r="Z77" s="3">
        <f>IF(OR(W77="",ISTEXT(W77)),"sin dato",IF(W77&gt;='Léeme'!$B$19,"barato",IF(W77&lt;=-'Léeme'!$B$19,"caro","medio")))</f>
        <v/>
      </c>
      <c r="AA77" s="3">
        <f>IF(OR(X77="",ISTEXT(X77)),"sin dato",IF(X77&gt;='Léeme'!$B$19,"barato",IF(X77&lt;=-'Léeme'!$B$19,"caro","medio")))</f>
        <v/>
      </c>
      <c r="AB77" s="3">
        <f>IF(OR(U77="",ISTEXT(U77)),"sin dato",IF(U77&gt;='Léeme'!$B$20,"barato",IF(U77&lt;=-'Léeme'!$B$20,"caro","medio")))</f>
        <v/>
      </c>
      <c r="AC77" s="3">
        <f>IF(OR(Y77="",ISTEXT(Y77)),"sin dato",IF(Y77&gt;='Léeme'!$B$19,"barato",IF(Y77&lt;=-'Léeme'!$B$19,"caro","medio")))</f>
        <v/>
      </c>
      <c r="AD77" s="7" t="n">
        <v>0.9017857142857143</v>
      </c>
      <c r="AE77" s="7" t="n">
        <v>0.1195652173913044</v>
      </c>
      <c r="AF77" s="7" t="n">
        <v>0.03985507246376811</v>
      </c>
      <c r="AG77" s="7" t="n"/>
    </row>
    <row r="78">
      <c r="A78" s="3" t="inlineStr">
        <is>
          <t>2013-T4</t>
        </is>
      </c>
      <c r="B78" s="13" t="n">
        <v>41639</v>
      </c>
      <c r="C78" s="14" t="n">
        <v>37.330001</v>
      </c>
      <c r="D78" s="14" t="n">
        <v>2.184</v>
      </c>
      <c r="E78" s="14" t="n">
        <v>1.96</v>
      </c>
      <c r="F78" s="5" t="n">
        <v>0.0304</v>
      </c>
      <c r="G78" s="5" t="n">
        <v>0.05088842545712402</v>
      </c>
      <c r="H78" s="5" t="n">
        <v>0.007300045195211657</v>
      </c>
      <c r="N78" s="9">
        <f>IF(F78="","",F78+'Léeme'!$B$10)</f>
        <v/>
      </c>
      <c r="O78" s="9">
        <f>IF(OR(G78="",N78=""),"",MIN(MAX(G78,'Léeme'!$B$11),'Léeme'!$B$12,N78-'Léeme'!$B$16))</f>
        <v/>
      </c>
      <c r="P78" s="16">
        <f>IF(OR(D78="",O78=""),"",IFERROR(IF(D78&lt;=0,"",D78*(1+O78)/(N78-O78)),""))</f>
        <v/>
      </c>
      <c r="Q78" s="9">
        <f>IF(H78="","",MIN(MAX(H78,'Léeme'!$B$13),'Léeme'!$B$14))</f>
        <v/>
      </c>
      <c r="R78" s="9">
        <f>IF(N78="","",MIN('Léeme'!$B$15,N78-'Léeme'!$B$16))</f>
        <v/>
      </c>
      <c r="S78" s="16">
        <f>IF(OR(E78="",Q78=""),"",IFERROR(IF(E78&lt;=0,"",E78*(((1+Q78)/(1+N78))+((1+Q78)/(1+N78))^2+((1+Q78)/(1+N78))^3+((1+Q78)/(1+N78))^4+((1+Q78)/(1+N78))^5)+E78*(1+Q78)^5*(1+R78)/((N78-R78)*(1+N78)^5)),""))</f>
        <v/>
      </c>
      <c r="T78" s="9">
        <f>IF(OR(E78="",N78=""),"",IFERROR((C78*N78-E78)/(C78+E78),""))</f>
        <v/>
      </c>
      <c r="U78" s="9">
        <f>IF(OR(H78="",T78=""),"",IFERROR(MIN(MAX(H78,'Léeme'!$B$17),'Léeme'!$B$18)-T78,""))</f>
        <v/>
      </c>
      <c r="V78" s="16">
        <f>IF(OR(I78="",M78="",L78=""),"",IFERROR((I78/M78-J78-K78)/L78,""))</f>
        <v/>
      </c>
      <c r="W78" s="11">
        <f>IFERROR(P78/C78-1,"")</f>
        <v/>
      </c>
      <c r="X78" s="11">
        <f>IFERROR(S78/C78-1,"")</f>
        <v/>
      </c>
      <c r="Y78" s="11">
        <f>IFERROR(V78/C78-1,"")</f>
        <v/>
      </c>
      <c r="Z78" s="3">
        <f>IF(OR(W78="",ISTEXT(W78)),"sin dato",IF(W78&gt;='Léeme'!$B$19,"barato",IF(W78&lt;=-'Léeme'!$B$19,"caro","medio")))</f>
        <v/>
      </c>
      <c r="AA78" s="3">
        <f>IF(OR(X78="",ISTEXT(X78)),"sin dato",IF(X78&gt;='Léeme'!$B$19,"barato",IF(X78&lt;=-'Léeme'!$B$19,"caro","medio")))</f>
        <v/>
      </c>
      <c r="AB78" s="3">
        <f>IF(OR(U78="",ISTEXT(U78)),"sin dato",IF(U78&gt;='Léeme'!$B$20,"barato",IF(U78&lt;=-'Léeme'!$B$20,"caro","medio")))</f>
        <v/>
      </c>
      <c r="AC78" s="3">
        <f>IF(OR(Y78="",ISTEXT(Y78)),"sin dato",IF(Y78&gt;='Léeme'!$B$19,"barato",IF(Y78&lt;=-'Léeme'!$B$19,"caro","medio")))</f>
        <v/>
      </c>
      <c r="AD78" s="7" t="n">
        <v>0.9327485380116959</v>
      </c>
      <c r="AE78" s="7" t="n">
        <v>0.06028368794326241</v>
      </c>
      <c r="AF78" s="7" t="n">
        <v>0.04609929078014184</v>
      </c>
      <c r="AG78" s="7" t="n"/>
    </row>
    <row r="79">
      <c r="A79" s="3" t="inlineStr">
        <is>
          <t>2014-T1</t>
        </is>
      </c>
      <c r="B79" s="13" t="n">
        <v>41729</v>
      </c>
      <c r="C79" s="14" t="n">
        <v>40.859998</v>
      </c>
      <c r="D79" s="14" t="n">
        <v>2.184</v>
      </c>
      <c r="E79" s="14" t="n">
        <v>2.34</v>
      </c>
      <c r="F79" s="5" t="n">
        <v>0.0273</v>
      </c>
      <c r="G79" s="5" t="n">
        <v>0.05088842545712402</v>
      </c>
      <c r="H79" s="5" t="n">
        <v>0.05039574430966676</v>
      </c>
      <c r="I79" s="17" t="n">
        <v>911908000</v>
      </c>
      <c r="J79" s="17" t="n">
        <v>4181360000</v>
      </c>
      <c r="K79" s="17" t="n">
        <v>0</v>
      </c>
      <c r="L79" s="17" t="n">
        <v>207485073</v>
      </c>
      <c r="M79" s="5" t="n">
        <v>0.07099999999999999</v>
      </c>
      <c r="N79" s="9">
        <f>IF(F79="","",F79+'Léeme'!$B$10)</f>
        <v/>
      </c>
      <c r="O79" s="9">
        <f>IF(OR(G79="",N79=""),"",MIN(MAX(G79,'Léeme'!$B$11),'Léeme'!$B$12,N79-'Léeme'!$B$16))</f>
        <v/>
      </c>
      <c r="P79" s="16">
        <f>IF(OR(D79="",O79=""),"",IFERROR(IF(D79&lt;=0,"",D79*(1+O79)/(N79-O79)),""))</f>
        <v/>
      </c>
      <c r="Q79" s="9">
        <f>IF(H79="","",MIN(MAX(H79,'Léeme'!$B$13),'Léeme'!$B$14))</f>
        <v/>
      </c>
      <c r="R79" s="9">
        <f>IF(N79="","",MIN('Léeme'!$B$15,N79-'Léeme'!$B$16))</f>
        <v/>
      </c>
      <c r="S79" s="16">
        <f>IF(OR(E79="",Q79=""),"",IFERROR(IF(E79&lt;=0,"",E79*(((1+Q79)/(1+N79))+((1+Q79)/(1+N79))^2+((1+Q79)/(1+N79))^3+((1+Q79)/(1+N79))^4+((1+Q79)/(1+N79))^5)+E79*(1+Q79)^5*(1+R79)/((N79-R79)*(1+N79)^5)),""))</f>
        <v/>
      </c>
      <c r="T79" s="9">
        <f>IF(OR(E79="",N79=""),"",IFERROR((C79*N79-E79)/(C79+E79),""))</f>
        <v/>
      </c>
      <c r="U79" s="9">
        <f>IF(OR(H79="",T79=""),"",IFERROR(MIN(MAX(H79,'Léeme'!$B$17),'Léeme'!$B$18)-T79,""))</f>
        <v/>
      </c>
      <c r="V79" s="16">
        <f>IF(OR(I79="",M79="",L79=""),"",IFERROR((I79/M79-J79-K79)/L79,""))</f>
        <v/>
      </c>
      <c r="W79" s="11">
        <f>IFERROR(P79/C79-1,"")</f>
        <v/>
      </c>
      <c r="X79" s="11">
        <f>IFERROR(S79/C79-1,"")</f>
        <v/>
      </c>
      <c r="Y79" s="11">
        <f>IFERROR(V79/C79-1,"")</f>
        <v/>
      </c>
      <c r="Z79" s="3">
        <f>IF(OR(W79="",ISTEXT(W79)),"sin dato",IF(W79&gt;='Léeme'!$B$19,"barato",IF(W79&lt;=-'Léeme'!$B$19,"caro","medio")))</f>
        <v/>
      </c>
      <c r="AA79" s="3">
        <f>IF(OR(X79="",ISTEXT(X79)),"sin dato",IF(X79&gt;='Léeme'!$B$19,"barato",IF(X79&lt;=-'Léeme'!$B$19,"caro","medio")))</f>
        <v/>
      </c>
      <c r="AB79" s="3">
        <f>IF(OR(U79="",ISTEXT(U79)),"sin dato",IF(U79&gt;='Léeme'!$B$20,"barato",IF(U79&lt;=-'Léeme'!$B$20,"caro","medio")))</f>
        <v/>
      </c>
      <c r="AC79" s="3">
        <f>IF(OR(Y79="",ISTEXT(Y79)),"sin dato",IF(Y79&gt;='Léeme'!$B$19,"barato",IF(Y79&lt;=-'Léeme'!$B$19,"caro","medio")))</f>
        <v/>
      </c>
      <c r="AD79" s="7" t="n">
        <v>0.8706896551724138</v>
      </c>
      <c r="AE79" s="7" t="n">
        <v>0.6701388888888888</v>
      </c>
      <c r="AF79" s="7" t="n">
        <v>0.7256944444444444</v>
      </c>
      <c r="AG79" s="7" t="n"/>
    </row>
    <row r="80">
      <c r="A80" s="3" t="inlineStr">
        <is>
          <t>2014-T2</t>
        </is>
      </c>
      <c r="B80" s="13" t="n">
        <v>41820</v>
      </c>
      <c r="C80" s="14" t="n">
        <v>44.420001</v>
      </c>
      <c r="D80" s="14" t="n">
        <v>2.196</v>
      </c>
      <c r="E80" s="14" t="n">
        <v>2.34</v>
      </c>
      <c r="F80" s="5" t="n">
        <v>0.0253</v>
      </c>
      <c r="G80" s="5" t="n">
        <v>0.0520407181665925</v>
      </c>
      <c r="H80" s="5" t="n">
        <v>0.05039574430966676</v>
      </c>
      <c r="I80" s="17" t="n">
        <v>860580000</v>
      </c>
      <c r="J80" s="17" t="n">
        <v>4832370000</v>
      </c>
      <c r="K80" s="17" t="n">
        <v>0</v>
      </c>
      <c r="L80" s="17" t="n">
        <v>207631143</v>
      </c>
      <c r="M80" s="5" t="n">
        <v>0.07099999999999999</v>
      </c>
      <c r="N80" s="9">
        <f>IF(F80="","",F80+'Léeme'!$B$10)</f>
        <v/>
      </c>
      <c r="O80" s="9">
        <f>IF(OR(G80="",N80=""),"",MIN(MAX(G80,'Léeme'!$B$11),'Léeme'!$B$12,N80-'Léeme'!$B$16))</f>
        <v/>
      </c>
      <c r="P80" s="16">
        <f>IF(OR(D80="",O80=""),"",IFERROR(IF(D80&lt;=0,"",D80*(1+O80)/(N80-O80)),""))</f>
        <v/>
      </c>
      <c r="Q80" s="9">
        <f>IF(H80="","",MIN(MAX(H80,'Léeme'!$B$13),'Léeme'!$B$14))</f>
        <v/>
      </c>
      <c r="R80" s="9">
        <f>IF(N80="","",MIN('Léeme'!$B$15,N80-'Léeme'!$B$16))</f>
        <v/>
      </c>
      <c r="S80" s="16">
        <f>IF(OR(E80="",Q80=""),"",IFERROR(IF(E80&lt;=0,"",E80*(((1+Q80)/(1+N80))+((1+Q80)/(1+N80))^2+((1+Q80)/(1+N80))^3+((1+Q80)/(1+N80))^4+((1+Q80)/(1+N80))^5)+E80*(1+Q80)^5*(1+R80)/((N80-R80)*(1+N80)^5)),""))</f>
        <v/>
      </c>
      <c r="T80" s="9">
        <f>IF(OR(E80="",N80=""),"",IFERROR((C80*N80-E80)/(C80+E80),""))</f>
        <v/>
      </c>
      <c r="U80" s="9">
        <f>IF(OR(H80="",T80=""),"",IFERROR(MIN(MAX(H80,'Léeme'!$B$17),'Léeme'!$B$18)-T80,""))</f>
        <v/>
      </c>
      <c r="V80" s="16">
        <f>IF(OR(I80="",M80="",L80=""),"",IFERROR((I80/M80-J80-K80)/L80,""))</f>
        <v/>
      </c>
      <c r="W80" s="11">
        <f>IFERROR(P80/C80-1,"")</f>
        <v/>
      </c>
      <c r="X80" s="11">
        <f>IFERROR(S80/C80-1,"")</f>
        <v/>
      </c>
      <c r="Y80" s="11">
        <f>IFERROR(V80/C80-1,"")</f>
        <v/>
      </c>
      <c r="Z80" s="3">
        <f>IF(OR(W80="",ISTEXT(W80)),"sin dato",IF(W80&gt;='Léeme'!$B$19,"barato",IF(W80&lt;=-'Léeme'!$B$19,"caro","medio")))</f>
        <v/>
      </c>
      <c r="AA80" s="3">
        <f>IF(OR(X80="",ISTEXT(X80)),"sin dato",IF(X80&gt;='Léeme'!$B$19,"barato",IF(X80&lt;=-'Léeme'!$B$19,"caro","medio")))</f>
        <v/>
      </c>
      <c r="AB80" s="3">
        <f>IF(OR(U80="",ISTEXT(U80)),"sin dato",IF(U80&gt;='Léeme'!$B$20,"barato",IF(U80&lt;=-'Léeme'!$B$20,"caro","medio")))</f>
        <v/>
      </c>
      <c r="AC80" s="3">
        <f>IF(OR(Y80="",ISTEXT(Y80)),"sin dato",IF(Y80&gt;='Léeme'!$B$19,"barato",IF(Y80&lt;=-'Léeme'!$B$19,"caro","medio")))</f>
        <v/>
      </c>
      <c r="AD80" s="7" t="n">
        <v>0.7711864406779662</v>
      </c>
      <c r="AE80" s="7" t="n">
        <v>0.6564625850340136</v>
      </c>
      <c r="AF80" s="7" t="n">
        <v>0.6904761904761905</v>
      </c>
      <c r="AG80" s="7" t="n"/>
    </row>
    <row r="81">
      <c r="A81" s="3" t="inlineStr">
        <is>
          <t>2014-T3</t>
        </is>
      </c>
      <c r="B81" s="13" t="n">
        <v>41912</v>
      </c>
      <c r="C81" s="14" t="n">
        <v>40.789998</v>
      </c>
      <c r="D81" s="14" t="n">
        <v>2.196</v>
      </c>
      <c r="E81" s="14" t="n">
        <v>2.34</v>
      </c>
      <c r="F81" s="5" t="n">
        <v>0.0252</v>
      </c>
      <c r="G81" s="5" t="n">
        <v>0.05056519942888271</v>
      </c>
      <c r="H81" s="5" t="n">
        <v>0.05039574430966676</v>
      </c>
      <c r="I81" s="17" t="n">
        <v>889908000</v>
      </c>
      <c r="J81" s="17" t="n">
        <v>4607254000</v>
      </c>
      <c r="K81" s="17" t="n">
        <v>0</v>
      </c>
      <c r="L81" s="17" t="n">
        <v>222623256</v>
      </c>
      <c r="M81" s="5" t="n">
        <v>0.07099999999999999</v>
      </c>
      <c r="N81" s="9">
        <f>IF(F81="","",F81+'Léeme'!$B$10)</f>
        <v/>
      </c>
      <c r="O81" s="9">
        <f>IF(OR(G81="",N81=""),"",MIN(MAX(G81,'Léeme'!$B$11),'Léeme'!$B$12,N81-'Léeme'!$B$16))</f>
        <v/>
      </c>
      <c r="P81" s="16">
        <f>IF(OR(D81="",O81=""),"",IFERROR(IF(D81&lt;=0,"",D81*(1+O81)/(N81-O81)),""))</f>
        <v/>
      </c>
      <c r="Q81" s="9">
        <f>IF(H81="","",MIN(MAX(H81,'Léeme'!$B$13),'Léeme'!$B$14))</f>
        <v/>
      </c>
      <c r="R81" s="9">
        <f>IF(N81="","",MIN('Léeme'!$B$15,N81-'Léeme'!$B$16))</f>
        <v/>
      </c>
      <c r="S81" s="16">
        <f>IF(OR(E81="",Q81=""),"",IFERROR(IF(E81&lt;=0,"",E81*(((1+Q81)/(1+N81))+((1+Q81)/(1+N81))^2+((1+Q81)/(1+N81))^3+((1+Q81)/(1+N81))^4+((1+Q81)/(1+N81))^5)+E81*(1+Q81)^5*(1+R81)/((N81-R81)*(1+N81)^5)),""))</f>
        <v/>
      </c>
      <c r="T81" s="9">
        <f>IF(OR(E81="",N81=""),"",IFERROR((C81*N81-E81)/(C81+E81),""))</f>
        <v/>
      </c>
      <c r="U81" s="9">
        <f>IF(OR(H81="",T81=""),"",IFERROR(MIN(MAX(H81,'Léeme'!$B$17),'Léeme'!$B$18)-T81,""))</f>
        <v/>
      </c>
      <c r="V81" s="16">
        <f>IF(OR(I81="",M81="",L81=""),"",IFERROR((I81/M81-J81-K81)/L81,""))</f>
        <v/>
      </c>
      <c r="W81" s="11">
        <f>IFERROR(P81/C81-1,"")</f>
        <v/>
      </c>
      <c r="X81" s="11">
        <f>IFERROR(S81/C81-1,"")</f>
        <v/>
      </c>
      <c r="Y81" s="11">
        <f>IFERROR(V81/C81-1,"")</f>
        <v/>
      </c>
      <c r="Z81" s="3">
        <f>IF(OR(W81="",ISTEXT(W81)),"sin dato",IF(W81&gt;='Léeme'!$B$19,"barato",IF(W81&lt;=-'Léeme'!$B$19,"caro","medio")))</f>
        <v/>
      </c>
      <c r="AA81" s="3">
        <f>IF(OR(X81="",ISTEXT(X81)),"sin dato",IF(X81&gt;='Léeme'!$B$19,"barato",IF(X81&lt;=-'Léeme'!$B$19,"caro","medio")))</f>
        <v/>
      </c>
      <c r="AB81" s="3">
        <f>IF(OR(U81="",ISTEXT(U81)),"sin dato",IF(U81&gt;='Léeme'!$B$20,"barato",IF(U81&lt;=-'Léeme'!$B$20,"caro","medio")))</f>
        <v/>
      </c>
      <c r="AC81" s="3">
        <f>IF(OR(Y81="",ISTEXT(Y81)),"sin dato",IF(Y81&gt;='Léeme'!$B$19,"barato",IF(Y81&lt;=-'Léeme'!$B$19,"caro","medio")))</f>
        <v/>
      </c>
      <c r="AD81" s="7" t="n">
        <v>0.8861111111111111</v>
      </c>
      <c r="AE81" s="7" t="n">
        <v>0.83</v>
      </c>
      <c r="AF81" s="7" t="n">
        <v>0.7633333333333333</v>
      </c>
      <c r="AG81" s="7" t="n"/>
    </row>
    <row r="82">
      <c r="A82" s="3" t="inlineStr">
        <is>
          <t>2014-T4</t>
        </is>
      </c>
      <c r="B82" s="13" t="n">
        <v>42004</v>
      </c>
      <c r="C82" s="14" t="n">
        <v>47.710001</v>
      </c>
      <c r="D82" s="14" t="n">
        <v>2.196</v>
      </c>
      <c r="E82" s="14" t="n">
        <v>2.34</v>
      </c>
      <c r="F82" s="5" t="n">
        <v>0.0217</v>
      </c>
      <c r="G82" s="5" t="n">
        <v>0.05056519942888271</v>
      </c>
      <c r="H82" s="5" t="n">
        <v>0.05039574430966676</v>
      </c>
      <c r="I82" s="17" t="n">
        <v>909752000</v>
      </c>
      <c r="J82" s="17" t="n">
        <v>4777212000</v>
      </c>
      <c r="K82" s="17" t="n">
        <v>0</v>
      </c>
      <c r="L82" s="17" t="n">
        <v>222670846</v>
      </c>
      <c r="M82" s="5" t="n">
        <v>0.07099999999999999</v>
      </c>
      <c r="N82" s="9">
        <f>IF(F82="","",F82+'Léeme'!$B$10)</f>
        <v/>
      </c>
      <c r="O82" s="9">
        <f>IF(OR(G82="",N82=""),"",MIN(MAX(G82,'Léeme'!$B$11),'Léeme'!$B$12,N82-'Léeme'!$B$16))</f>
        <v/>
      </c>
      <c r="P82" s="16">
        <f>IF(OR(D82="",O82=""),"",IFERROR(IF(D82&lt;=0,"",D82*(1+O82)/(N82-O82)),""))</f>
        <v/>
      </c>
      <c r="Q82" s="9">
        <f>IF(H82="","",MIN(MAX(H82,'Léeme'!$B$13),'Léeme'!$B$14))</f>
        <v/>
      </c>
      <c r="R82" s="9">
        <f>IF(N82="","",MIN('Léeme'!$B$15,N82-'Léeme'!$B$16))</f>
        <v/>
      </c>
      <c r="S82" s="16">
        <f>IF(OR(E82="",Q82=""),"",IFERROR(IF(E82&lt;=0,"",E82*(((1+Q82)/(1+N82))+((1+Q82)/(1+N82))^2+((1+Q82)/(1+N82))^3+((1+Q82)/(1+N82))^4+((1+Q82)/(1+N82))^5)+E82*(1+Q82)^5*(1+R82)/((N82-R82)*(1+N82)^5)),""))</f>
        <v/>
      </c>
      <c r="T82" s="9">
        <f>IF(OR(E82="",N82=""),"",IFERROR((C82*N82-E82)/(C82+E82),""))</f>
        <v/>
      </c>
      <c r="U82" s="9">
        <f>IF(OR(H82="",T82=""),"",IFERROR(MIN(MAX(H82,'Léeme'!$B$17),'Léeme'!$B$18)-T82,""))</f>
        <v/>
      </c>
      <c r="V82" s="16">
        <f>IF(OR(I82="",M82="",L82=""),"",IFERROR((I82/M82-J82-K82)/L82,""))</f>
        <v/>
      </c>
      <c r="W82" s="11">
        <f>IFERROR(P82/C82-1,"")</f>
        <v/>
      </c>
      <c r="X82" s="11">
        <f>IFERROR(S82/C82-1,"")</f>
        <v/>
      </c>
      <c r="Y82" s="11">
        <f>IFERROR(V82/C82-1,"")</f>
        <v/>
      </c>
      <c r="Z82" s="3">
        <f>IF(OR(W82="",ISTEXT(W82)),"sin dato",IF(W82&gt;='Léeme'!$B$19,"barato",IF(W82&lt;=-'Léeme'!$B$19,"caro","medio")))</f>
        <v/>
      </c>
      <c r="AA82" s="3">
        <f>IF(OR(X82="",ISTEXT(X82)),"sin dato",IF(X82&gt;='Léeme'!$B$19,"barato",IF(X82&lt;=-'Léeme'!$B$19,"caro","medio")))</f>
        <v/>
      </c>
      <c r="AB82" s="3">
        <f>IF(OR(U82="",ISTEXT(U82)),"sin dato",IF(U82&gt;='Léeme'!$B$20,"barato",IF(U82&lt;=-'Léeme'!$B$20,"caro","medio")))</f>
        <v/>
      </c>
      <c r="AC82" s="3">
        <f>IF(OR(Y82="",ISTEXT(Y82)),"sin dato",IF(Y82&gt;='Léeme'!$B$19,"barato",IF(Y82&lt;=-'Léeme'!$B$19,"caro","medio")))</f>
        <v/>
      </c>
      <c r="AD82" s="7" t="n">
        <v>0.6366120218579235</v>
      </c>
      <c r="AE82" s="7" t="n">
        <v>0.6830065359477124</v>
      </c>
      <c r="AF82" s="7" t="n">
        <v>0.6699346405228758</v>
      </c>
      <c r="AG82" s="7" t="n"/>
    </row>
    <row r="83">
      <c r="A83" s="3" t="inlineStr">
        <is>
          <t>2015-T1</t>
        </is>
      </c>
      <c r="B83" s="13" t="n">
        <v>42094</v>
      </c>
      <c r="C83" s="14" t="n">
        <v>51.6</v>
      </c>
      <c r="D83" s="14" t="n">
        <v>2.28</v>
      </c>
      <c r="E83" s="14" t="n">
        <v>2.58</v>
      </c>
      <c r="F83" s="5" t="n">
        <v>0.0194</v>
      </c>
      <c r="G83" s="5" t="n">
        <v>0.05848208693096568</v>
      </c>
      <c r="H83" s="5" t="n">
        <v>0.06994234673120125</v>
      </c>
      <c r="I83" s="17" t="n">
        <v>925308000</v>
      </c>
      <c r="J83" s="17" t="n">
        <v>4945575000</v>
      </c>
      <c r="K83" s="17" t="n">
        <v>0</v>
      </c>
      <c r="L83" s="17" t="n">
        <v>224881192</v>
      </c>
      <c r="M83" s="5" t="n">
        <v>0.07099999999999999</v>
      </c>
      <c r="N83" s="9">
        <f>IF(F83="","",F83+'Léeme'!$B$10)</f>
        <v/>
      </c>
      <c r="O83" s="9">
        <f>IF(OR(G83="",N83=""),"",MIN(MAX(G83,'Léeme'!$B$11),'Léeme'!$B$12,N83-'Léeme'!$B$16))</f>
        <v/>
      </c>
      <c r="P83" s="16">
        <f>IF(OR(D83="",O83=""),"",IFERROR(IF(D83&lt;=0,"",D83*(1+O83)/(N83-O83)),""))</f>
        <v/>
      </c>
      <c r="Q83" s="9">
        <f>IF(H83="","",MIN(MAX(H83,'Léeme'!$B$13),'Léeme'!$B$14))</f>
        <v/>
      </c>
      <c r="R83" s="9">
        <f>IF(N83="","",MIN('Léeme'!$B$15,N83-'Léeme'!$B$16))</f>
        <v/>
      </c>
      <c r="S83" s="16">
        <f>IF(OR(E83="",Q83=""),"",IFERROR(IF(E83&lt;=0,"",E83*(((1+Q83)/(1+N83))+((1+Q83)/(1+N83))^2+((1+Q83)/(1+N83))^3+((1+Q83)/(1+N83))^4+((1+Q83)/(1+N83))^5)+E83*(1+Q83)^5*(1+R83)/((N83-R83)*(1+N83)^5)),""))</f>
        <v/>
      </c>
      <c r="T83" s="9">
        <f>IF(OR(E83="",N83=""),"",IFERROR((C83*N83-E83)/(C83+E83),""))</f>
        <v/>
      </c>
      <c r="U83" s="9">
        <f>IF(OR(H83="",T83=""),"",IFERROR(MIN(MAX(H83,'Léeme'!$B$17),'Léeme'!$B$18)-T83,""))</f>
        <v/>
      </c>
      <c r="V83" s="16">
        <f>IF(OR(I83="",M83="",L83=""),"",IFERROR((I83/M83-J83-K83)/L83,""))</f>
        <v/>
      </c>
      <c r="W83" s="11">
        <f>IFERROR(P83/C83-1,"")</f>
        <v/>
      </c>
      <c r="X83" s="11">
        <f>IFERROR(S83/C83-1,"")</f>
        <v/>
      </c>
      <c r="Y83" s="11">
        <f>IFERROR(V83/C83-1,"")</f>
        <v/>
      </c>
      <c r="Z83" s="3">
        <f>IF(OR(W83="",ISTEXT(W83)),"sin dato",IF(W83&gt;='Léeme'!$B$19,"barato",IF(W83&lt;=-'Léeme'!$B$19,"caro","medio")))</f>
        <v/>
      </c>
      <c r="AA83" s="3">
        <f>IF(OR(X83="",ISTEXT(X83)),"sin dato",IF(X83&gt;='Léeme'!$B$19,"barato",IF(X83&lt;=-'Léeme'!$B$19,"caro","medio")))</f>
        <v/>
      </c>
      <c r="AB83" s="3">
        <f>IF(OR(U83="",ISTEXT(U83)),"sin dato",IF(U83&gt;='Léeme'!$B$20,"barato",IF(U83&lt;=-'Léeme'!$B$20,"caro","medio")))</f>
        <v/>
      </c>
      <c r="AC83" s="3">
        <f>IF(OR(Y83="",ISTEXT(Y83)),"sin dato",IF(Y83&gt;='Léeme'!$B$19,"barato",IF(Y83&lt;=-'Léeme'!$B$19,"caro","medio")))</f>
        <v/>
      </c>
      <c r="AD83" s="7" t="n">
        <v>0.5833333333333334</v>
      </c>
      <c r="AE83" s="7" t="n">
        <v>0.9391025641025641</v>
      </c>
      <c r="AF83" s="7" t="n">
        <v>0.9262820512820513</v>
      </c>
      <c r="AG83" s="7" t="n"/>
    </row>
    <row r="84">
      <c r="A84" s="3" t="inlineStr">
        <is>
          <t>2015-T2</t>
        </is>
      </c>
      <c r="B84" s="13" t="n">
        <v>42185</v>
      </c>
      <c r="C84" s="14" t="n">
        <v>44.389999</v>
      </c>
      <c r="D84" s="14" t="n">
        <v>2.28</v>
      </c>
      <c r="E84" s="14" t="n">
        <v>2.58</v>
      </c>
      <c r="F84" s="5" t="n">
        <v>0.0235</v>
      </c>
      <c r="G84" s="5" t="n">
        <v>0.05700787217295256</v>
      </c>
      <c r="H84" s="5" t="n">
        <v>0.06994234673120125</v>
      </c>
      <c r="I84" s="17" t="n">
        <v>947616000</v>
      </c>
      <c r="J84" s="17" t="n">
        <v>5039318000</v>
      </c>
      <c r="K84" s="17" t="n">
        <v>0</v>
      </c>
      <c r="L84" s="17" t="n">
        <v>227031104</v>
      </c>
      <c r="M84" s="5" t="n">
        <v>0.07099999999999999</v>
      </c>
      <c r="N84" s="9">
        <f>IF(F84="","",F84+'Léeme'!$B$10)</f>
        <v/>
      </c>
      <c r="O84" s="9">
        <f>IF(OR(G84="",N84=""),"",MIN(MAX(G84,'Léeme'!$B$11),'Léeme'!$B$12,N84-'Léeme'!$B$16))</f>
        <v/>
      </c>
      <c r="P84" s="16">
        <f>IF(OR(D84="",O84=""),"",IFERROR(IF(D84&lt;=0,"",D84*(1+O84)/(N84-O84)),""))</f>
        <v/>
      </c>
      <c r="Q84" s="9">
        <f>IF(H84="","",MIN(MAX(H84,'Léeme'!$B$13),'Léeme'!$B$14))</f>
        <v/>
      </c>
      <c r="R84" s="9">
        <f>IF(N84="","",MIN('Léeme'!$B$15,N84-'Léeme'!$B$16))</f>
        <v/>
      </c>
      <c r="S84" s="16">
        <f>IF(OR(E84="",Q84=""),"",IFERROR(IF(E84&lt;=0,"",E84*(((1+Q84)/(1+N84))+((1+Q84)/(1+N84))^2+((1+Q84)/(1+N84))^3+((1+Q84)/(1+N84))^4+((1+Q84)/(1+N84))^5)+E84*(1+Q84)^5*(1+R84)/((N84-R84)*(1+N84)^5)),""))</f>
        <v/>
      </c>
      <c r="T84" s="9">
        <f>IF(OR(E84="",N84=""),"",IFERROR((C84*N84-E84)/(C84+E84),""))</f>
        <v/>
      </c>
      <c r="U84" s="9">
        <f>IF(OR(H84="",T84=""),"",IFERROR(MIN(MAX(H84,'Léeme'!$B$17),'Léeme'!$B$18)-T84,""))</f>
        <v/>
      </c>
      <c r="V84" s="16">
        <f>IF(OR(I84="",M84="",L84=""),"",IFERROR((I84/M84-J84-K84)/L84,""))</f>
        <v/>
      </c>
      <c r="W84" s="11">
        <f>IFERROR(P84/C84-1,"")</f>
        <v/>
      </c>
      <c r="X84" s="11">
        <f>IFERROR(S84/C84-1,"")</f>
        <v/>
      </c>
      <c r="Y84" s="11">
        <f>IFERROR(V84/C84-1,"")</f>
        <v/>
      </c>
      <c r="Z84" s="3">
        <f>IF(OR(W84="",ISTEXT(W84)),"sin dato",IF(W84&gt;='Léeme'!$B$19,"barato",IF(W84&lt;=-'Léeme'!$B$19,"caro","medio")))</f>
        <v/>
      </c>
      <c r="AA84" s="3">
        <f>IF(OR(X84="",ISTEXT(X84)),"sin dato",IF(X84&gt;='Léeme'!$B$19,"barato",IF(X84&lt;=-'Léeme'!$B$19,"caro","medio")))</f>
        <v/>
      </c>
      <c r="AB84" s="3">
        <f>IF(OR(U84="",ISTEXT(U84)),"sin dato",IF(U84&gt;='Léeme'!$B$20,"barato",IF(U84&lt;=-'Léeme'!$B$20,"caro","medio")))</f>
        <v/>
      </c>
      <c r="AC84" s="3">
        <f>IF(OR(Y84="",ISTEXT(Y84)),"sin dato",IF(Y84&gt;='Léeme'!$B$19,"barato",IF(Y84&lt;=-'Léeme'!$B$19,"caro","medio")))</f>
        <v/>
      </c>
      <c r="AD84" s="7" t="n">
        <v>0.8386243386243386</v>
      </c>
      <c r="AE84" s="7" t="n">
        <v>0.940251572327044</v>
      </c>
      <c r="AF84" s="7" t="n">
        <v>0.940251572327044</v>
      </c>
      <c r="AG84" s="7" t="n">
        <v>0.8513513513513513</v>
      </c>
    </row>
    <row r="85">
      <c r="A85" s="3" t="inlineStr">
        <is>
          <t>2015-T3</t>
        </is>
      </c>
      <c r="B85" s="13" t="n">
        <v>42277</v>
      </c>
      <c r="C85" s="14" t="n">
        <v>47.390001</v>
      </c>
      <c r="D85" s="14" t="n">
        <v>2.292</v>
      </c>
      <c r="E85" s="14" t="n">
        <v>2.58</v>
      </c>
      <c r="F85" s="5" t="n">
        <v>0.0206</v>
      </c>
      <c r="G85" s="5" t="n">
        <v>0.05811817700858879</v>
      </c>
      <c r="H85" s="5" t="n">
        <v>0.06994234673120125</v>
      </c>
      <c r="N85" s="9">
        <f>IF(F85="","",F85+'Léeme'!$B$10)</f>
        <v/>
      </c>
      <c r="O85" s="9">
        <f>IF(OR(G85="",N85=""),"",MIN(MAX(G85,'Léeme'!$B$11),'Léeme'!$B$12,N85-'Léeme'!$B$16))</f>
        <v/>
      </c>
      <c r="P85" s="16">
        <f>IF(OR(D85="",O85=""),"",IFERROR(IF(D85&lt;=0,"",D85*(1+O85)/(N85-O85)),""))</f>
        <v/>
      </c>
      <c r="Q85" s="9">
        <f>IF(H85="","",MIN(MAX(H85,'Léeme'!$B$13),'Léeme'!$B$14))</f>
        <v/>
      </c>
      <c r="R85" s="9">
        <f>IF(N85="","",MIN('Léeme'!$B$15,N85-'Léeme'!$B$16))</f>
        <v/>
      </c>
      <c r="S85" s="16">
        <f>IF(OR(E85="",Q85=""),"",IFERROR(IF(E85&lt;=0,"",E85*(((1+Q85)/(1+N85))+((1+Q85)/(1+N85))^2+((1+Q85)/(1+N85))^3+((1+Q85)/(1+N85))^4+((1+Q85)/(1+N85))^5)+E85*(1+Q85)^5*(1+R85)/((N85-R85)*(1+N85)^5)),""))</f>
        <v/>
      </c>
      <c r="T85" s="9">
        <f>IF(OR(E85="",N85=""),"",IFERROR((C85*N85-E85)/(C85+E85),""))</f>
        <v/>
      </c>
      <c r="U85" s="9">
        <f>IF(OR(H85="",T85=""),"",IFERROR(MIN(MAX(H85,'Léeme'!$B$17),'Léeme'!$B$18)-T85,""))</f>
        <v/>
      </c>
      <c r="V85" s="16">
        <f>IF(OR(I85="",M85="",L85=""),"",IFERROR((I85/M85-J85-K85)/L85,""))</f>
        <v/>
      </c>
      <c r="W85" s="11">
        <f>IFERROR(P85/C85-1,"")</f>
        <v/>
      </c>
      <c r="X85" s="11">
        <f>IFERROR(S85/C85-1,"")</f>
        <v/>
      </c>
      <c r="Y85" s="11">
        <f>IFERROR(V85/C85-1,"")</f>
        <v/>
      </c>
      <c r="Z85" s="3">
        <f>IF(OR(W85="",ISTEXT(W85)),"sin dato",IF(W85&gt;='Léeme'!$B$19,"barato",IF(W85&lt;=-'Léeme'!$B$19,"caro","medio")))</f>
        <v/>
      </c>
      <c r="AA85" s="3">
        <f>IF(OR(X85="",ISTEXT(X85)),"sin dato",IF(X85&gt;='Léeme'!$B$19,"barato",IF(X85&lt;=-'Léeme'!$B$19,"caro","medio")))</f>
        <v/>
      </c>
      <c r="AB85" s="3">
        <f>IF(OR(U85="",ISTEXT(U85)),"sin dato",IF(U85&gt;='Léeme'!$B$20,"barato",IF(U85&lt;=-'Léeme'!$B$20,"caro","medio")))</f>
        <v/>
      </c>
      <c r="AC85" s="3">
        <f>IF(OR(Y85="",ISTEXT(Y85)),"sin dato",IF(Y85&gt;='Léeme'!$B$19,"barato",IF(Y85&lt;=-'Léeme'!$B$19,"caro","medio")))</f>
        <v/>
      </c>
      <c r="AD85" s="7" t="n">
        <v>0.7213541666666666</v>
      </c>
      <c r="AE85" s="7" t="n">
        <v>0.9475308641975309</v>
      </c>
      <c r="AF85" s="7" t="n">
        <v>0.9228395061728395</v>
      </c>
      <c r="AG85" s="7" t="n"/>
    </row>
    <row r="86">
      <c r="A86" s="3" t="inlineStr">
        <is>
          <t>2015-T4</t>
        </is>
      </c>
      <c r="B86" s="13" t="n">
        <v>42369</v>
      </c>
      <c r="C86" s="14" t="n">
        <v>51.630002</v>
      </c>
      <c r="D86" s="14" t="n">
        <v>2.292</v>
      </c>
      <c r="E86" s="14" t="n">
        <v>2.58</v>
      </c>
      <c r="F86" s="5" t="n">
        <v>0.0227</v>
      </c>
      <c r="G86" s="5" t="n">
        <v>0.05811817700858879</v>
      </c>
      <c r="H86" s="5" t="n">
        <v>0.06994234673120125</v>
      </c>
      <c r="N86" s="9">
        <f>IF(F86="","",F86+'Léeme'!$B$10)</f>
        <v/>
      </c>
      <c r="O86" s="9">
        <f>IF(OR(G86="",N86=""),"",MIN(MAX(G86,'Léeme'!$B$11),'Léeme'!$B$12,N86-'Léeme'!$B$16))</f>
        <v/>
      </c>
      <c r="P86" s="16">
        <f>IF(OR(D86="",O86=""),"",IFERROR(IF(D86&lt;=0,"",D86*(1+O86)/(N86-O86)),""))</f>
        <v/>
      </c>
      <c r="Q86" s="9">
        <f>IF(H86="","",MIN(MAX(H86,'Léeme'!$B$13),'Léeme'!$B$14))</f>
        <v/>
      </c>
      <c r="R86" s="9">
        <f>IF(N86="","",MIN('Léeme'!$B$15,N86-'Léeme'!$B$16))</f>
        <v/>
      </c>
      <c r="S86" s="16">
        <f>IF(OR(E86="",Q86=""),"",IFERROR(IF(E86&lt;=0,"",E86*(((1+Q86)/(1+N86))+((1+Q86)/(1+N86))^2+((1+Q86)/(1+N86))^3+((1+Q86)/(1+N86))^4+((1+Q86)/(1+N86))^5)+E86*(1+Q86)^5*(1+R86)/((N86-R86)*(1+N86)^5)),""))</f>
        <v/>
      </c>
      <c r="T86" s="9">
        <f>IF(OR(E86="",N86=""),"",IFERROR((C86*N86-E86)/(C86+E86),""))</f>
        <v/>
      </c>
      <c r="U86" s="9">
        <f>IF(OR(H86="",T86=""),"",IFERROR(MIN(MAX(H86,'Léeme'!$B$17),'Léeme'!$B$18)-T86,""))</f>
        <v/>
      </c>
      <c r="V86" s="16">
        <f>IF(OR(I86="",M86="",L86=""),"",IFERROR((I86/M86-J86-K86)/L86,""))</f>
        <v/>
      </c>
      <c r="W86" s="11">
        <f>IFERROR(P86/C86-1,"")</f>
        <v/>
      </c>
      <c r="X86" s="11">
        <f>IFERROR(S86/C86-1,"")</f>
        <v/>
      </c>
      <c r="Y86" s="11">
        <f>IFERROR(V86/C86-1,"")</f>
        <v/>
      </c>
      <c r="Z86" s="3">
        <f>IF(OR(W86="",ISTEXT(W86)),"sin dato",IF(W86&gt;='Léeme'!$B$19,"barato",IF(W86&lt;=-'Léeme'!$B$19,"caro","medio")))</f>
        <v/>
      </c>
      <c r="AA86" s="3">
        <f>IF(OR(X86="",ISTEXT(X86)),"sin dato",IF(X86&gt;='Léeme'!$B$19,"barato",IF(X86&lt;=-'Léeme'!$B$19,"caro","medio")))</f>
        <v/>
      </c>
      <c r="AB86" s="3">
        <f>IF(OR(U86="",ISTEXT(U86)),"sin dato",IF(U86&gt;='Léeme'!$B$20,"barato",IF(U86&lt;=-'Léeme'!$B$20,"caro","medio")))</f>
        <v/>
      </c>
      <c r="AC86" s="3">
        <f>IF(OR(Y86="",ISTEXT(Y86)),"sin dato",IF(Y86&gt;='Léeme'!$B$19,"barato",IF(Y86&lt;=-'Léeme'!$B$19,"caro","medio")))</f>
        <v/>
      </c>
      <c r="AD86" s="7" t="n">
        <v>0.5769230769230769</v>
      </c>
      <c r="AE86" s="7" t="n">
        <v>0.803030303030303</v>
      </c>
      <c r="AF86" s="7" t="n">
        <v>0.8454545454545455</v>
      </c>
      <c r="AG86" s="7" t="n"/>
    </row>
    <row r="87">
      <c r="A87" s="3" t="inlineStr">
        <is>
          <t>2016-T1</t>
        </is>
      </c>
      <c r="B87" s="13" t="n">
        <v>42460</v>
      </c>
      <c r="C87" s="14" t="n">
        <v>62.509999</v>
      </c>
      <c r="D87" s="14" t="n">
        <v>2.388</v>
      </c>
      <c r="E87" s="14" t="n">
        <v>2.77</v>
      </c>
      <c r="F87" s="5" t="n">
        <v>0.0178</v>
      </c>
      <c r="G87" s="5" t="n">
        <v>0.06536154077698209</v>
      </c>
      <c r="H87" s="5" t="n">
        <v>0.08643997248420621</v>
      </c>
      <c r="I87" s="17" t="n">
        <v>1013640000</v>
      </c>
      <c r="J87" s="17" t="n">
        <v>4854740000</v>
      </c>
      <c r="K87" s="17" t="n">
        <v>0</v>
      </c>
      <c r="L87" s="17" t="n">
        <v>250416757</v>
      </c>
      <c r="M87" s="5" t="n">
        <v>0.066</v>
      </c>
      <c r="N87" s="9">
        <f>IF(F87="","",F87+'Léeme'!$B$10)</f>
        <v/>
      </c>
      <c r="O87" s="9">
        <f>IF(OR(G87="",N87=""),"",MIN(MAX(G87,'Léeme'!$B$11),'Léeme'!$B$12,N87-'Léeme'!$B$16))</f>
        <v/>
      </c>
      <c r="P87" s="16">
        <f>IF(OR(D87="",O87=""),"",IFERROR(IF(D87&lt;=0,"",D87*(1+O87)/(N87-O87)),""))</f>
        <v/>
      </c>
      <c r="Q87" s="9">
        <f>IF(H87="","",MIN(MAX(H87,'Léeme'!$B$13),'Léeme'!$B$14))</f>
        <v/>
      </c>
      <c r="R87" s="9">
        <f>IF(N87="","",MIN('Léeme'!$B$15,N87-'Léeme'!$B$16))</f>
        <v/>
      </c>
      <c r="S87" s="16">
        <f>IF(OR(E87="",Q87=""),"",IFERROR(IF(E87&lt;=0,"",E87*(((1+Q87)/(1+N87))+((1+Q87)/(1+N87))^2+((1+Q87)/(1+N87))^3+((1+Q87)/(1+N87))^4+((1+Q87)/(1+N87))^5)+E87*(1+Q87)^5*(1+R87)/((N87-R87)*(1+N87)^5)),""))</f>
        <v/>
      </c>
      <c r="T87" s="9">
        <f>IF(OR(E87="",N87=""),"",IFERROR((C87*N87-E87)/(C87+E87),""))</f>
        <v/>
      </c>
      <c r="U87" s="9">
        <f>IF(OR(H87="",T87=""),"",IFERROR(MIN(MAX(H87,'Léeme'!$B$17),'Léeme'!$B$18)-T87,""))</f>
        <v/>
      </c>
      <c r="V87" s="16">
        <f>IF(OR(I87="",M87="",L87=""),"",IFERROR((I87/M87-J87-K87)/L87,""))</f>
        <v/>
      </c>
      <c r="W87" s="11">
        <f>IFERROR(P87/C87-1,"")</f>
        <v/>
      </c>
      <c r="X87" s="11">
        <f>IFERROR(S87/C87-1,"")</f>
        <v/>
      </c>
      <c r="Y87" s="11">
        <f>IFERROR(V87/C87-1,"")</f>
        <v/>
      </c>
      <c r="Z87" s="3">
        <f>IF(OR(W87="",ISTEXT(W87)),"sin dato",IF(W87&gt;='Léeme'!$B$19,"barato",IF(W87&lt;=-'Léeme'!$B$19,"caro","medio")))</f>
        <v/>
      </c>
      <c r="AA87" s="3">
        <f>IF(OR(X87="",ISTEXT(X87)),"sin dato",IF(X87&gt;='Léeme'!$B$19,"barato",IF(X87&lt;=-'Léeme'!$B$19,"caro","medio")))</f>
        <v/>
      </c>
      <c r="AB87" s="3">
        <f>IF(OR(U87="",ISTEXT(U87)),"sin dato",IF(U87&gt;='Léeme'!$B$20,"barato",IF(U87&lt;=-'Léeme'!$B$20,"caro","medio")))</f>
        <v/>
      </c>
      <c r="AC87" s="3">
        <f>IF(OR(Y87="",ISTEXT(Y87)),"sin dato",IF(Y87&gt;='Léeme'!$B$19,"barato",IF(Y87&lt;=-'Léeme'!$B$19,"caro","medio")))</f>
        <v/>
      </c>
      <c r="AD87" s="7" t="n">
        <v>0.4065656565656566</v>
      </c>
      <c r="AE87" s="7" t="n">
        <v>0.8958333333333334</v>
      </c>
      <c r="AF87" s="7" t="n">
        <v>0.9672619047619048</v>
      </c>
      <c r="AG87" s="7" t="n">
        <v>0.3205128205128205</v>
      </c>
    </row>
    <row r="88">
      <c r="A88" s="3" t="inlineStr">
        <is>
          <t>2016-T2</t>
        </is>
      </c>
      <c r="B88" s="13" t="n">
        <v>42551</v>
      </c>
      <c r="C88" s="14" t="n">
        <v>69.36000300000001</v>
      </c>
      <c r="D88" s="14" t="n">
        <v>2.4</v>
      </c>
      <c r="E88" s="14" t="n">
        <v>2.77</v>
      </c>
      <c r="F88" s="5" t="n">
        <v>0.0149</v>
      </c>
      <c r="G88" s="5" t="n">
        <v>0.06643011016843192</v>
      </c>
      <c r="H88" s="5" t="n">
        <v>0.08643997248420621</v>
      </c>
      <c r="I88" s="17" t="n">
        <v>1032044000</v>
      </c>
      <c r="J88" s="17" t="n">
        <v>5135949000</v>
      </c>
      <c r="K88" s="17" t="n">
        <v>0</v>
      </c>
      <c r="L88" s="17" t="n">
        <v>251081853</v>
      </c>
      <c r="M88" s="5" t="n">
        <v>0.066</v>
      </c>
      <c r="N88" s="9">
        <f>IF(F88="","",F88+'Léeme'!$B$10)</f>
        <v/>
      </c>
      <c r="O88" s="9">
        <f>IF(OR(G88="",N88=""),"",MIN(MAX(G88,'Léeme'!$B$11),'Léeme'!$B$12,N88-'Léeme'!$B$16))</f>
        <v/>
      </c>
      <c r="P88" s="16">
        <f>IF(OR(D88="",O88=""),"",IFERROR(IF(D88&lt;=0,"",D88*(1+O88)/(N88-O88)),""))</f>
        <v/>
      </c>
      <c r="Q88" s="9">
        <f>IF(H88="","",MIN(MAX(H88,'Léeme'!$B$13),'Léeme'!$B$14))</f>
        <v/>
      </c>
      <c r="R88" s="9">
        <f>IF(N88="","",MIN('Léeme'!$B$15,N88-'Léeme'!$B$16))</f>
        <v/>
      </c>
      <c r="S88" s="16">
        <f>IF(OR(E88="",Q88=""),"",IFERROR(IF(E88&lt;=0,"",E88*(((1+Q88)/(1+N88))+((1+Q88)/(1+N88))^2+((1+Q88)/(1+N88))^3+((1+Q88)/(1+N88))^4+((1+Q88)/(1+N88))^5)+E88*(1+Q88)^5*(1+R88)/((N88-R88)*(1+N88)^5)),""))</f>
        <v/>
      </c>
      <c r="T88" s="9">
        <f>IF(OR(E88="",N88=""),"",IFERROR((C88*N88-E88)/(C88+E88),""))</f>
        <v/>
      </c>
      <c r="U88" s="9">
        <f>IF(OR(H88="",T88=""),"",IFERROR(MIN(MAX(H88,'Léeme'!$B$17),'Léeme'!$B$18)-T88,""))</f>
        <v/>
      </c>
      <c r="V88" s="16">
        <f>IF(OR(I88="",M88="",L88=""),"",IFERROR((I88/M88-J88-K88)/L88,""))</f>
        <v/>
      </c>
      <c r="W88" s="11">
        <f>IFERROR(P88/C88-1,"")</f>
        <v/>
      </c>
      <c r="X88" s="11">
        <f>IFERROR(S88/C88-1,"")</f>
        <v/>
      </c>
      <c r="Y88" s="11">
        <f>IFERROR(V88/C88-1,"")</f>
        <v/>
      </c>
      <c r="Z88" s="3">
        <f>IF(OR(W88="",ISTEXT(W88)),"sin dato",IF(W88&gt;='Léeme'!$B$19,"barato",IF(W88&lt;=-'Léeme'!$B$19,"caro","medio")))</f>
        <v/>
      </c>
      <c r="AA88" s="3">
        <f>IF(OR(X88="",ISTEXT(X88)),"sin dato",IF(X88&gt;='Léeme'!$B$19,"barato",IF(X88&lt;=-'Léeme'!$B$19,"caro","medio")))</f>
        <v/>
      </c>
      <c r="AB88" s="3">
        <f>IF(OR(U88="",ISTEXT(U88)),"sin dato",IF(U88&gt;='Léeme'!$B$20,"barato",IF(U88&lt;=-'Léeme'!$B$20,"caro","medio")))</f>
        <v/>
      </c>
      <c r="AC88" s="3">
        <f>IF(OR(Y88="",ISTEXT(Y88)),"sin dato",IF(Y88&gt;='Léeme'!$B$19,"barato",IF(Y88&lt;=-'Léeme'!$B$19,"caro","medio")))</f>
        <v/>
      </c>
      <c r="AD88" s="7" t="n">
        <v>0.2412935323383085</v>
      </c>
      <c r="AE88" s="7" t="n">
        <v>0.8918128654970761</v>
      </c>
      <c r="AF88" s="7" t="n">
        <v>0.9444444444444444</v>
      </c>
      <c r="AG88" s="7" t="n">
        <v>0.1785714285714286</v>
      </c>
    </row>
    <row r="89">
      <c r="A89" s="3" t="inlineStr">
        <is>
          <t>2016-T3</t>
        </is>
      </c>
      <c r="B89" s="13" t="n">
        <v>42643</v>
      </c>
      <c r="C89" s="14" t="n">
        <v>66.930001</v>
      </c>
      <c r="D89" s="14" t="n">
        <v>2.424</v>
      </c>
      <c r="E89" s="14" t="n">
        <v>2.77</v>
      </c>
      <c r="F89" s="5" t="n">
        <v>0.016</v>
      </c>
      <c r="G89" s="5" t="n">
        <v>0.06855448978091383</v>
      </c>
      <c r="H89" s="5" t="n">
        <v>0.08643997248420621</v>
      </c>
      <c r="I89" s="17" t="n">
        <v>1039708000</v>
      </c>
      <c r="J89" s="17" t="n">
        <v>4977329000</v>
      </c>
      <c r="K89" s="17" t="n">
        <v>0</v>
      </c>
      <c r="L89" s="17" t="n">
        <v>257954902</v>
      </c>
      <c r="M89" s="5" t="n">
        <v>0.066</v>
      </c>
      <c r="N89" s="9">
        <f>IF(F89="","",F89+'Léeme'!$B$10)</f>
        <v/>
      </c>
      <c r="O89" s="9">
        <f>IF(OR(G89="",N89=""),"",MIN(MAX(G89,'Léeme'!$B$11),'Léeme'!$B$12,N89-'Léeme'!$B$16))</f>
        <v/>
      </c>
      <c r="P89" s="16">
        <f>IF(OR(D89="",O89=""),"",IFERROR(IF(D89&lt;=0,"",D89*(1+O89)/(N89-O89)),""))</f>
        <v/>
      </c>
      <c r="Q89" s="9">
        <f>IF(H89="","",MIN(MAX(H89,'Léeme'!$B$13),'Léeme'!$B$14))</f>
        <v/>
      </c>
      <c r="R89" s="9">
        <f>IF(N89="","",MIN('Léeme'!$B$15,N89-'Léeme'!$B$16))</f>
        <v/>
      </c>
      <c r="S89" s="16">
        <f>IF(OR(E89="",Q89=""),"",IFERROR(IF(E89&lt;=0,"",E89*(((1+Q89)/(1+N89))+((1+Q89)/(1+N89))^2+((1+Q89)/(1+N89))^3+((1+Q89)/(1+N89))^4+((1+Q89)/(1+N89))^5)+E89*(1+Q89)^5*(1+R89)/((N89-R89)*(1+N89)^5)),""))</f>
        <v/>
      </c>
      <c r="T89" s="9">
        <f>IF(OR(E89="",N89=""),"",IFERROR((C89*N89-E89)/(C89+E89),""))</f>
        <v/>
      </c>
      <c r="U89" s="9">
        <f>IF(OR(H89="",T89=""),"",IFERROR(MIN(MAX(H89,'Léeme'!$B$17),'Léeme'!$B$18)-T89,""))</f>
        <v/>
      </c>
      <c r="V89" s="16">
        <f>IF(OR(I89="",M89="",L89=""),"",IFERROR((I89/M89-J89-K89)/L89,""))</f>
        <v/>
      </c>
      <c r="W89" s="11">
        <f>IFERROR(P89/C89-1,"")</f>
        <v/>
      </c>
      <c r="X89" s="11">
        <f>IFERROR(S89/C89-1,"")</f>
        <v/>
      </c>
      <c r="Y89" s="11">
        <f>IFERROR(V89/C89-1,"")</f>
        <v/>
      </c>
      <c r="Z89" s="3">
        <f>IF(OR(W89="",ISTEXT(W89)),"sin dato",IF(W89&gt;='Léeme'!$B$19,"barato",IF(W89&lt;=-'Léeme'!$B$19,"caro","medio")))</f>
        <v/>
      </c>
      <c r="AA89" s="3">
        <f>IF(OR(X89="",ISTEXT(X89)),"sin dato",IF(X89&gt;='Léeme'!$B$19,"barato",IF(X89&lt;=-'Léeme'!$B$19,"caro","medio")))</f>
        <v/>
      </c>
      <c r="AB89" s="3">
        <f>IF(OR(U89="",ISTEXT(U89)),"sin dato",IF(U89&gt;='Léeme'!$B$20,"barato",IF(U89&lt;=-'Léeme'!$B$20,"caro","medio")))</f>
        <v/>
      </c>
      <c r="AC89" s="3">
        <f>IF(OR(Y89="",ISTEXT(Y89)),"sin dato",IF(Y89&gt;='Léeme'!$B$19,"barato",IF(Y89&lt;=-'Léeme'!$B$19,"caro","medio")))</f>
        <v/>
      </c>
      <c r="AD89" s="7" t="n">
        <v>0.3308823529411765</v>
      </c>
      <c r="AE89" s="7" t="n">
        <v>0.8706896551724138</v>
      </c>
      <c r="AF89" s="7" t="n">
        <v>0.9396551724137931</v>
      </c>
      <c r="AG89" s="7" t="n">
        <v>0.2333333333333333</v>
      </c>
    </row>
    <row r="90">
      <c r="A90" s="3" t="inlineStr">
        <is>
          <t>2016-T4</t>
        </is>
      </c>
      <c r="B90" s="13" t="n">
        <v>42734</v>
      </c>
      <c r="C90" s="14" t="n">
        <v>57.479999</v>
      </c>
      <c r="D90" s="14" t="n">
        <v>2.436</v>
      </c>
      <c r="E90" s="14" t="n">
        <v>2.77</v>
      </c>
      <c r="F90" s="5" t="n">
        <v>0.0245</v>
      </c>
      <c r="G90" s="5" t="n">
        <v>0.06814112515513138</v>
      </c>
      <c r="H90" s="5" t="n">
        <v>0.08643997248420621</v>
      </c>
      <c r="I90" s="17" t="n">
        <v>1062600000</v>
      </c>
      <c r="J90" s="17" t="n">
        <v>5279255000</v>
      </c>
      <c r="K90" s="17" t="n">
        <v>0</v>
      </c>
      <c r="L90" s="17" t="n">
        <v>258592608</v>
      </c>
      <c r="M90" s="5" t="n">
        <v>0.066</v>
      </c>
      <c r="N90" s="9">
        <f>IF(F90="","",F90+'Léeme'!$B$10)</f>
        <v/>
      </c>
      <c r="O90" s="9">
        <f>IF(OR(G90="",N90=""),"",MIN(MAX(G90,'Léeme'!$B$11),'Léeme'!$B$12,N90-'Léeme'!$B$16))</f>
        <v/>
      </c>
      <c r="P90" s="16">
        <f>IF(OR(D90="",O90=""),"",IFERROR(IF(D90&lt;=0,"",D90*(1+O90)/(N90-O90)),""))</f>
        <v/>
      </c>
      <c r="Q90" s="9">
        <f>IF(H90="","",MIN(MAX(H90,'Léeme'!$B$13),'Léeme'!$B$14))</f>
        <v/>
      </c>
      <c r="R90" s="9">
        <f>IF(N90="","",MIN('Léeme'!$B$15,N90-'Léeme'!$B$16))</f>
        <v/>
      </c>
      <c r="S90" s="16">
        <f>IF(OR(E90="",Q90=""),"",IFERROR(IF(E90&lt;=0,"",E90*(((1+Q90)/(1+N90))+((1+Q90)/(1+N90))^2+((1+Q90)/(1+N90))^3+((1+Q90)/(1+N90))^4+((1+Q90)/(1+N90))^5)+E90*(1+Q90)^5*(1+R90)/((N90-R90)*(1+N90)^5)),""))</f>
        <v/>
      </c>
      <c r="T90" s="9">
        <f>IF(OR(E90="",N90=""),"",IFERROR((C90*N90-E90)/(C90+E90),""))</f>
        <v/>
      </c>
      <c r="U90" s="9">
        <f>IF(OR(H90="",T90=""),"",IFERROR(MIN(MAX(H90,'Léeme'!$B$17),'Léeme'!$B$18)-T90,""))</f>
        <v/>
      </c>
      <c r="V90" s="16">
        <f>IF(OR(I90="",M90="",L90=""),"",IFERROR((I90/M90-J90-K90)/L90,""))</f>
        <v/>
      </c>
      <c r="W90" s="11">
        <f>IFERROR(P90/C90-1,"")</f>
        <v/>
      </c>
      <c r="X90" s="11">
        <f>IFERROR(S90/C90-1,"")</f>
        <v/>
      </c>
      <c r="Y90" s="11">
        <f>IFERROR(V90/C90-1,"")</f>
        <v/>
      </c>
      <c r="Z90" s="3">
        <f>IF(OR(W90="",ISTEXT(W90)),"sin dato",IF(W90&gt;='Léeme'!$B$19,"barato",IF(W90&lt;=-'Léeme'!$B$19,"caro","medio")))</f>
        <v/>
      </c>
      <c r="AA90" s="3">
        <f>IF(OR(X90="",ISTEXT(X90)),"sin dato",IF(X90&gt;='Léeme'!$B$19,"barato",IF(X90&lt;=-'Léeme'!$B$19,"caro","medio")))</f>
        <v/>
      </c>
      <c r="AB90" s="3">
        <f>IF(OR(U90="",ISTEXT(U90)),"sin dato",IF(U90&gt;='Léeme'!$B$20,"barato",IF(U90&lt;=-'Léeme'!$B$20,"caro","medio")))</f>
        <v/>
      </c>
      <c r="AC90" s="3">
        <f>IF(OR(Y90="",ISTEXT(Y90)),"sin dato",IF(Y90&gt;='Léeme'!$B$19,"barato",IF(Y90&lt;=-'Léeme'!$B$19,"caro","medio")))</f>
        <v/>
      </c>
      <c r="AD90" s="7" t="n">
        <v>0.5434782608695652</v>
      </c>
      <c r="AE90" s="7" t="n">
        <v>0.652542372881356</v>
      </c>
      <c r="AF90" s="7" t="n">
        <v>0.9067796610169492</v>
      </c>
      <c r="AG90" s="7" t="n">
        <v>0.6145833333333334</v>
      </c>
    </row>
    <row r="91">
      <c r="A91" s="3" t="inlineStr">
        <is>
          <t>2017-T1</t>
        </is>
      </c>
      <c r="B91" s="13" t="n">
        <v>42825</v>
      </c>
      <c r="C91" s="14" t="n">
        <v>59.53</v>
      </c>
      <c r="D91" s="14" t="n">
        <v>2.532</v>
      </c>
      <c r="E91" s="14" t="n">
        <v>2.88</v>
      </c>
      <c r="F91" s="5" t="n">
        <v>0.024</v>
      </c>
      <c r="G91" s="5" t="n">
        <v>0.07643031452349258</v>
      </c>
      <c r="H91" s="5" t="n">
        <v>0.07781806771272581</v>
      </c>
      <c r="I91" s="17" t="n">
        <v>1105920000</v>
      </c>
      <c r="J91" s="17" t="n">
        <v>5880172000</v>
      </c>
      <c r="K91" s="17" t="n">
        <v>0</v>
      </c>
      <c r="L91" s="17" t="n">
        <v>260168259</v>
      </c>
      <c r="M91" s="5" t="n">
        <v>0.066</v>
      </c>
      <c r="N91" s="9">
        <f>IF(F91="","",F91+'Léeme'!$B$10)</f>
        <v/>
      </c>
      <c r="O91" s="9">
        <f>IF(OR(G91="",N91=""),"",MIN(MAX(G91,'Léeme'!$B$11),'Léeme'!$B$12,N91-'Léeme'!$B$16))</f>
        <v/>
      </c>
      <c r="P91" s="16">
        <f>IF(OR(D91="",O91=""),"",IFERROR(IF(D91&lt;=0,"",D91*(1+O91)/(N91-O91)),""))</f>
        <v/>
      </c>
      <c r="Q91" s="9">
        <f>IF(H91="","",MIN(MAX(H91,'Léeme'!$B$13),'Léeme'!$B$14))</f>
        <v/>
      </c>
      <c r="R91" s="9">
        <f>IF(N91="","",MIN('Léeme'!$B$15,N91-'Léeme'!$B$16))</f>
        <v/>
      </c>
      <c r="S91" s="16">
        <f>IF(OR(E91="",Q91=""),"",IFERROR(IF(E91&lt;=0,"",E91*(((1+Q91)/(1+N91))+((1+Q91)/(1+N91))^2+((1+Q91)/(1+N91))^3+((1+Q91)/(1+N91))^4+((1+Q91)/(1+N91))^5)+E91*(1+Q91)^5*(1+R91)/((N91-R91)*(1+N91)^5)),""))</f>
        <v/>
      </c>
      <c r="T91" s="9">
        <f>IF(OR(E91="",N91=""),"",IFERROR((C91*N91-E91)/(C91+E91),""))</f>
        <v/>
      </c>
      <c r="U91" s="9">
        <f>IF(OR(H91="",T91=""),"",IFERROR(MIN(MAX(H91,'Léeme'!$B$17),'Léeme'!$B$18)-T91,""))</f>
        <v/>
      </c>
      <c r="V91" s="16">
        <f>IF(OR(I91="",M91="",L91=""),"",IFERROR((I91/M91-J91-K91)/L91,""))</f>
        <v/>
      </c>
      <c r="W91" s="11">
        <f>IFERROR(P91/C91-1,"")</f>
        <v/>
      </c>
      <c r="X91" s="11">
        <f>IFERROR(S91/C91-1,"")</f>
        <v/>
      </c>
      <c r="Y91" s="11">
        <f>IFERROR(V91/C91-1,"")</f>
        <v/>
      </c>
      <c r="Z91" s="3">
        <f>IF(OR(W91="",ISTEXT(W91)),"sin dato",IF(W91&gt;='Léeme'!$B$19,"barato",IF(W91&lt;=-'Léeme'!$B$19,"caro","medio")))</f>
        <v/>
      </c>
      <c r="AA91" s="3">
        <f>IF(OR(X91="",ISTEXT(X91)),"sin dato",IF(X91&gt;='Léeme'!$B$19,"barato",IF(X91&lt;=-'Léeme'!$B$19,"caro","medio")))</f>
        <v/>
      </c>
      <c r="AB91" s="3">
        <f>IF(OR(U91="",ISTEXT(U91)),"sin dato",IF(U91&gt;='Léeme'!$B$20,"barato",IF(U91&lt;=-'Léeme'!$B$20,"caro","medio")))</f>
        <v/>
      </c>
      <c r="AC91" s="3">
        <f>IF(OR(Y91="",ISTEXT(Y91)),"sin dato",IF(Y91&gt;='Léeme'!$B$19,"barato",IF(Y91&lt;=-'Léeme'!$B$19,"caro","medio")))</f>
        <v/>
      </c>
      <c r="AD91" s="7" t="n">
        <v>0.5595238095238095</v>
      </c>
      <c r="AE91" s="7" t="n">
        <v>0.6916666666666667</v>
      </c>
      <c r="AF91" s="7" t="n">
        <v>0.8527777777777777</v>
      </c>
      <c r="AG91" s="7" t="n">
        <v>0.5</v>
      </c>
    </row>
    <row r="92">
      <c r="A92" s="3" t="inlineStr">
        <is>
          <t>2017-T2</t>
        </is>
      </c>
      <c r="B92" s="13" t="n">
        <v>42916</v>
      </c>
      <c r="C92" s="14" t="n">
        <v>55.179998</v>
      </c>
      <c r="D92" s="14" t="n">
        <v>2.544</v>
      </c>
      <c r="E92" s="14" t="n">
        <v>2.88</v>
      </c>
      <c r="F92" s="5" t="n">
        <v>0.0231</v>
      </c>
      <c r="G92" s="5" t="n">
        <v>0.07744869885702954</v>
      </c>
      <c r="H92" s="5" t="n">
        <v>0.07781806771272581</v>
      </c>
      <c r="I92" s="17" t="n">
        <v>1147184000</v>
      </c>
      <c r="J92" s="17" t="n">
        <v>5457532000</v>
      </c>
      <c r="K92" s="17" t="n">
        <v>0</v>
      </c>
      <c r="L92" s="17" t="n">
        <v>273051486</v>
      </c>
      <c r="M92" s="5" t="n">
        <v>0.066</v>
      </c>
      <c r="N92" s="9">
        <f>IF(F92="","",F92+'Léeme'!$B$10)</f>
        <v/>
      </c>
      <c r="O92" s="9">
        <f>IF(OR(G92="",N92=""),"",MIN(MAX(G92,'Léeme'!$B$11),'Léeme'!$B$12,N92-'Léeme'!$B$16))</f>
        <v/>
      </c>
      <c r="P92" s="16">
        <f>IF(OR(D92="",O92=""),"",IFERROR(IF(D92&lt;=0,"",D92*(1+O92)/(N92-O92)),""))</f>
        <v/>
      </c>
      <c r="Q92" s="9">
        <f>IF(H92="","",MIN(MAX(H92,'Léeme'!$B$13),'Léeme'!$B$14))</f>
        <v/>
      </c>
      <c r="R92" s="9">
        <f>IF(N92="","",MIN('Léeme'!$B$15,N92-'Léeme'!$B$16))</f>
        <v/>
      </c>
      <c r="S92" s="16">
        <f>IF(OR(E92="",Q92=""),"",IFERROR(IF(E92&lt;=0,"",E92*(((1+Q92)/(1+N92))+((1+Q92)/(1+N92))^2+((1+Q92)/(1+N92))^3+((1+Q92)/(1+N92))^4+((1+Q92)/(1+N92))^5)+E92*(1+Q92)^5*(1+R92)/((N92-R92)*(1+N92)^5)),""))</f>
        <v/>
      </c>
      <c r="T92" s="9">
        <f>IF(OR(E92="",N92=""),"",IFERROR((C92*N92-E92)/(C92+E92),""))</f>
        <v/>
      </c>
      <c r="U92" s="9">
        <f>IF(OR(H92="",T92=""),"",IFERROR(MIN(MAX(H92,'Léeme'!$B$17),'Léeme'!$B$18)-T92,""))</f>
        <v/>
      </c>
      <c r="V92" s="16">
        <f>IF(OR(I92="",M92="",L92=""),"",IFERROR((I92/M92-J92-K92)/L92,""))</f>
        <v/>
      </c>
      <c r="W92" s="11">
        <f>IFERROR(P92/C92-1,"")</f>
        <v/>
      </c>
      <c r="X92" s="11">
        <f>IFERROR(S92/C92-1,"")</f>
        <v/>
      </c>
      <c r="Y92" s="11">
        <f>IFERROR(V92/C92-1,"")</f>
        <v/>
      </c>
      <c r="Z92" s="3">
        <f>IF(OR(W92="",ISTEXT(W92)),"sin dato",IF(W92&gt;='Léeme'!$B$19,"barato",IF(W92&lt;=-'Léeme'!$B$19,"caro","medio")))</f>
        <v/>
      </c>
      <c r="AA92" s="3">
        <f>IF(OR(X92="",ISTEXT(X92)),"sin dato",IF(X92&gt;='Léeme'!$B$19,"barato",IF(X92&lt;=-'Léeme'!$B$19,"caro","medio")))</f>
        <v/>
      </c>
      <c r="AB92" s="3">
        <f>IF(OR(U92="",ISTEXT(U92)),"sin dato",IF(U92&gt;='Léeme'!$B$20,"barato",IF(U92&lt;=-'Léeme'!$B$20,"caro","medio")))</f>
        <v/>
      </c>
      <c r="AC92" s="3">
        <f>IF(OR(Y92="",ISTEXT(Y92)),"sin dato",IF(Y92&gt;='Léeme'!$B$19,"barato",IF(Y92&lt;=-'Léeme'!$B$19,"caro","medio")))</f>
        <v/>
      </c>
      <c r="AD92" s="7" t="n">
        <v>0.6502347417840375</v>
      </c>
      <c r="AE92" s="7" t="n">
        <v>0.8387978142076503</v>
      </c>
      <c r="AF92" s="7" t="n">
        <v>0.8879781420765027</v>
      </c>
      <c r="AG92" s="7" t="n">
        <v>0.8055555555555556</v>
      </c>
    </row>
    <row r="93">
      <c r="A93" s="3" t="inlineStr">
        <is>
          <t>2017-T3</t>
        </is>
      </c>
      <c r="B93" s="13" t="n">
        <v>43007</v>
      </c>
      <c r="C93" s="14" t="n">
        <v>57.190001</v>
      </c>
      <c r="D93" s="14" t="n">
        <v>2.544</v>
      </c>
      <c r="E93" s="14" t="n">
        <v>2.88</v>
      </c>
      <c r="F93" s="5" t="n">
        <v>0.0233</v>
      </c>
      <c r="G93" s="5" t="n">
        <v>0.07021684580441212</v>
      </c>
      <c r="H93" s="5" t="n">
        <v>0.07781806771272581</v>
      </c>
      <c r="N93" s="9">
        <f>IF(F93="","",F93+'Léeme'!$B$10)</f>
        <v/>
      </c>
      <c r="O93" s="9">
        <f>IF(OR(G93="",N93=""),"",MIN(MAX(G93,'Léeme'!$B$11),'Léeme'!$B$12,N93-'Léeme'!$B$16))</f>
        <v/>
      </c>
      <c r="P93" s="16">
        <f>IF(OR(D93="",O93=""),"",IFERROR(IF(D93&lt;=0,"",D93*(1+O93)/(N93-O93)),""))</f>
        <v/>
      </c>
      <c r="Q93" s="9">
        <f>IF(H93="","",MIN(MAX(H93,'Léeme'!$B$13),'Léeme'!$B$14))</f>
        <v/>
      </c>
      <c r="R93" s="9">
        <f>IF(N93="","",MIN('Léeme'!$B$15,N93-'Léeme'!$B$16))</f>
        <v/>
      </c>
      <c r="S93" s="16">
        <f>IF(OR(E93="",Q93=""),"",IFERROR(IF(E93&lt;=0,"",E93*(((1+Q93)/(1+N93))+((1+Q93)/(1+N93))^2+((1+Q93)/(1+N93))^3+((1+Q93)/(1+N93))^4+((1+Q93)/(1+N93))^5)+E93*(1+Q93)^5*(1+R93)/((N93-R93)*(1+N93)^5)),""))</f>
        <v/>
      </c>
      <c r="T93" s="9">
        <f>IF(OR(E93="",N93=""),"",IFERROR((C93*N93-E93)/(C93+E93),""))</f>
        <v/>
      </c>
      <c r="U93" s="9">
        <f>IF(OR(H93="",T93=""),"",IFERROR(MIN(MAX(H93,'Léeme'!$B$17),'Léeme'!$B$18)-T93,""))</f>
        <v/>
      </c>
      <c r="V93" s="16">
        <f>IF(OR(I93="",M93="",L93=""),"",IFERROR((I93/M93-J93-K93)/L93,""))</f>
        <v/>
      </c>
      <c r="W93" s="11">
        <f>IFERROR(P93/C93-1,"")</f>
        <v/>
      </c>
      <c r="X93" s="11">
        <f>IFERROR(S93/C93-1,"")</f>
        <v/>
      </c>
      <c r="Y93" s="11">
        <f>IFERROR(V93/C93-1,"")</f>
        <v/>
      </c>
      <c r="Z93" s="3">
        <f>IF(OR(W93="",ISTEXT(W93)),"sin dato",IF(W93&gt;='Léeme'!$B$19,"barato",IF(W93&lt;=-'Léeme'!$B$19,"caro","medio")))</f>
        <v/>
      </c>
      <c r="AA93" s="3">
        <f>IF(OR(X93="",ISTEXT(X93)),"sin dato",IF(X93&gt;='Léeme'!$B$19,"barato",IF(X93&lt;=-'Léeme'!$B$19,"caro","medio")))</f>
        <v/>
      </c>
      <c r="AB93" s="3">
        <f>IF(OR(U93="",ISTEXT(U93)),"sin dato",IF(U93&gt;='Léeme'!$B$20,"barato",IF(U93&lt;=-'Léeme'!$B$20,"caro","medio")))</f>
        <v/>
      </c>
      <c r="AC93" s="3">
        <f>IF(OR(Y93="",ISTEXT(Y93)),"sin dato",IF(Y93&gt;='Léeme'!$B$19,"barato",IF(Y93&lt;=-'Léeme'!$B$19,"caro","medio")))</f>
        <v/>
      </c>
      <c r="AD93" s="7" t="n">
        <v>0.6041666666666666</v>
      </c>
      <c r="AE93" s="7" t="n">
        <v>0.7768817204301075</v>
      </c>
      <c r="AF93" s="7" t="n">
        <v>0.8575268817204301</v>
      </c>
      <c r="AG93" s="7" t="n"/>
    </row>
    <row r="94">
      <c r="A94" s="3" t="inlineStr">
        <is>
          <t>2017-T4</t>
        </is>
      </c>
      <c r="B94" s="13" t="n">
        <v>43098</v>
      </c>
      <c r="C94" s="14" t="n">
        <v>57.02</v>
      </c>
      <c r="D94" s="14" t="n">
        <v>2.556</v>
      </c>
      <c r="E94" s="14" t="n">
        <v>2.88</v>
      </c>
      <c r="F94" s="5" t="n">
        <v>0.024</v>
      </c>
      <c r="G94" s="5" t="n">
        <v>0.06981135476513756</v>
      </c>
      <c r="H94" s="5" t="n">
        <v>0.07781806771272581</v>
      </c>
      <c r="N94" s="9">
        <f>IF(F94="","",F94+'Léeme'!$B$10)</f>
        <v/>
      </c>
      <c r="O94" s="9">
        <f>IF(OR(G94="",N94=""),"",MIN(MAX(G94,'Léeme'!$B$11),'Léeme'!$B$12,N94-'Léeme'!$B$16))</f>
        <v/>
      </c>
      <c r="P94" s="16">
        <f>IF(OR(D94="",O94=""),"",IFERROR(IF(D94&lt;=0,"",D94*(1+O94)/(N94-O94)),""))</f>
        <v/>
      </c>
      <c r="Q94" s="9">
        <f>IF(H94="","",MIN(MAX(H94,'Léeme'!$B$13),'Léeme'!$B$14))</f>
        <v/>
      </c>
      <c r="R94" s="9">
        <f>IF(N94="","",MIN('Léeme'!$B$15,N94-'Léeme'!$B$16))</f>
        <v/>
      </c>
      <c r="S94" s="16">
        <f>IF(OR(E94="",Q94=""),"",IFERROR(IF(E94&lt;=0,"",E94*(((1+Q94)/(1+N94))+((1+Q94)/(1+N94))^2+((1+Q94)/(1+N94))^3+((1+Q94)/(1+N94))^4+((1+Q94)/(1+N94))^5)+E94*(1+Q94)^5*(1+R94)/((N94-R94)*(1+N94)^5)),""))</f>
        <v/>
      </c>
      <c r="T94" s="9">
        <f>IF(OR(E94="",N94=""),"",IFERROR((C94*N94-E94)/(C94+E94),""))</f>
        <v/>
      </c>
      <c r="U94" s="9">
        <f>IF(OR(H94="",T94=""),"",IFERROR(MIN(MAX(H94,'Léeme'!$B$17),'Léeme'!$B$18)-T94,""))</f>
        <v/>
      </c>
      <c r="V94" s="16">
        <f>IF(OR(I94="",M94="",L94=""),"",IFERROR((I94/M94-J94-K94)/L94,""))</f>
        <v/>
      </c>
      <c r="W94" s="11">
        <f>IFERROR(P94/C94-1,"")</f>
        <v/>
      </c>
      <c r="X94" s="11">
        <f>IFERROR(S94/C94-1,"")</f>
        <v/>
      </c>
      <c r="Y94" s="11">
        <f>IFERROR(V94/C94-1,"")</f>
        <v/>
      </c>
      <c r="Z94" s="3">
        <f>IF(OR(W94="",ISTEXT(W94)),"sin dato",IF(W94&gt;='Léeme'!$B$19,"barato",IF(W94&lt;=-'Léeme'!$B$19,"caro","medio")))</f>
        <v/>
      </c>
      <c r="AA94" s="3">
        <f>IF(OR(X94="",ISTEXT(X94)),"sin dato",IF(X94&gt;='Léeme'!$B$19,"barato",IF(X94&lt;=-'Léeme'!$B$19,"caro","medio")))</f>
        <v/>
      </c>
      <c r="AB94" s="3">
        <f>IF(OR(U94="",ISTEXT(U94)),"sin dato",IF(U94&gt;='Léeme'!$B$20,"barato",IF(U94&lt;=-'Léeme'!$B$20,"caro","medio")))</f>
        <v/>
      </c>
      <c r="AC94" s="3">
        <f>IF(OR(Y94="",ISTEXT(Y94)),"sin dato",IF(Y94&gt;='Léeme'!$B$19,"barato",IF(Y94&lt;=-'Léeme'!$B$19,"caro","medio")))</f>
        <v/>
      </c>
      <c r="AD94" s="7" t="n">
        <v>0.6095890410958904</v>
      </c>
      <c r="AE94" s="7" t="n">
        <v>0.7433862433862434</v>
      </c>
      <c r="AF94" s="7" t="n">
        <v>0.843915343915344</v>
      </c>
      <c r="AG94" s="7" t="n"/>
    </row>
    <row r="95">
      <c r="A95" s="3" t="inlineStr">
        <is>
          <t>2018-T1</t>
        </is>
      </c>
      <c r="B95" s="13" t="n">
        <v>43188</v>
      </c>
      <c r="C95" s="14" t="n">
        <v>51.73</v>
      </c>
      <c r="D95" s="14" t="n">
        <v>2.64</v>
      </c>
      <c r="E95" s="14" t="n">
        <v>2.82</v>
      </c>
      <c r="F95" s="5" t="n">
        <v>0.0274</v>
      </c>
      <c r="G95" s="5" t="n">
        <v>0.03979762515132412</v>
      </c>
      <c r="H95" s="5" t="n">
        <v>0.07547076036584621</v>
      </c>
      <c r="I95" s="17" t="n">
        <v>1147184000</v>
      </c>
      <c r="J95" s="17" t="n">
        <v>5457532000</v>
      </c>
      <c r="K95" s="17" t="n">
        <v>0</v>
      </c>
      <c r="L95" s="17" t="n">
        <v>273051486</v>
      </c>
      <c r="M95" s="5" t="n">
        <v>0.064</v>
      </c>
      <c r="N95" s="9">
        <f>IF(F95="","",F95+'Léeme'!$B$10)</f>
        <v/>
      </c>
      <c r="O95" s="9">
        <f>IF(OR(G95="",N95=""),"",MIN(MAX(G95,'Léeme'!$B$11),'Léeme'!$B$12,N95-'Léeme'!$B$16))</f>
        <v/>
      </c>
      <c r="P95" s="16">
        <f>IF(OR(D95="",O95=""),"",IFERROR(IF(D95&lt;=0,"",D95*(1+O95)/(N95-O95)),""))</f>
        <v/>
      </c>
      <c r="Q95" s="9">
        <f>IF(H95="","",MIN(MAX(H95,'Léeme'!$B$13),'Léeme'!$B$14))</f>
        <v/>
      </c>
      <c r="R95" s="9">
        <f>IF(N95="","",MIN('Léeme'!$B$15,N95-'Léeme'!$B$16))</f>
        <v/>
      </c>
      <c r="S95" s="16">
        <f>IF(OR(E95="",Q95=""),"",IFERROR(IF(E95&lt;=0,"",E95*(((1+Q95)/(1+N95))+((1+Q95)/(1+N95))^2+((1+Q95)/(1+N95))^3+((1+Q95)/(1+N95))^4+((1+Q95)/(1+N95))^5)+E95*(1+Q95)^5*(1+R95)/((N95-R95)*(1+N95)^5)),""))</f>
        <v/>
      </c>
      <c r="T95" s="9">
        <f>IF(OR(E95="",N95=""),"",IFERROR((C95*N95-E95)/(C95+E95),""))</f>
        <v/>
      </c>
      <c r="U95" s="9">
        <f>IF(OR(H95="",T95=""),"",IFERROR(MIN(MAX(H95,'Léeme'!$B$17),'Léeme'!$B$18)-T95,""))</f>
        <v/>
      </c>
      <c r="V95" s="16">
        <f>IF(OR(I95="",M95="",L95=""),"",IFERROR((I95/M95-J95-K95)/L95,""))</f>
        <v/>
      </c>
      <c r="W95" s="11">
        <f>IFERROR(P95/C95-1,"")</f>
        <v/>
      </c>
      <c r="X95" s="11">
        <f>IFERROR(S95/C95-1,"")</f>
        <v/>
      </c>
      <c r="Y95" s="11">
        <f>IFERROR(V95/C95-1,"")</f>
        <v/>
      </c>
      <c r="Z95" s="3">
        <f>IF(OR(W95="",ISTEXT(W95)),"sin dato",IF(W95&gt;='Léeme'!$B$19,"barato",IF(W95&lt;=-'Léeme'!$B$19,"caro","medio")))</f>
        <v/>
      </c>
      <c r="AA95" s="3">
        <f>IF(OR(X95="",ISTEXT(X95)),"sin dato",IF(X95&gt;='Léeme'!$B$19,"barato",IF(X95&lt;=-'Léeme'!$B$19,"caro","medio")))</f>
        <v/>
      </c>
      <c r="AB95" s="3">
        <f>IF(OR(U95="",ISTEXT(U95)),"sin dato",IF(U95&gt;='Léeme'!$B$20,"barato",IF(U95&lt;=-'Léeme'!$B$20,"caro","medio")))</f>
        <v/>
      </c>
      <c r="AC95" s="3">
        <f>IF(OR(Y95="",ISTEXT(Y95)),"sin dato",IF(Y95&gt;='Léeme'!$B$19,"barato",IF(Y95&lt;=-'Léeme'!$B$19,"caro","medio")))</f>
        <v/>
      </c>
      <c r="AD95" s="7" t="n">
        <v>0.8490990990990991</v>
      </c>
      <c r="AE95" s="7" t="n">
        <v>0.6901041666666666</v>
      </c>
      <c r="AF95" s="7" t="n">
        <v>0.8046875</v>
      </c>
      <c r="AG95" s="7" t="n">
        <v>0.9196428571428571</v>
      </c>
    </row>
    <row r="96">
      <c r="A96" s="3" t="inlineStr">
        <is>
          <t>2018-T2</t>
        </is>
      </c>
      <c r="B96" s="13" t="n">
        <v>43280</v>
      </c>
      <c r="C96" s="14" t="n">
        <v>53.79</v>
      </c>
      <c r="D96" s="14" t="n">
        <v>2.64</v>
      </c>
      <c r="E96" s="14" t="n">
        <v>2.82</v>
      </c>
      <c r="F96" s="5" t="n">
        <v>0.0285</v>
      </c>
      <c r="G96" s="5" t="n">
        <v>0.0386524708023015</v>
      </c>
      <c r="H96" s="5" t="n">
        <v>0.07547076036584621</v>
      </c>
      <c r="I96" s="17" t="n">
        <v>1147184000</v>
      </c>
      <c r="J96" s="17" t="n">
        <v>5429934000</v>
      </c>
      <c r="K96" s="17" t="n">
        <v>0</v>
      </c>
      <c r="L96" s="17" t="n">
        <v>273051486</v>
      </c>
      <c r="M96" s="5" t="n">
        <v>0.064</v>
      </c>
      <c r="N96" s="9">
        <f>IF(F96="","",F96+'Léeme'!$B$10)</f>
        <v/>
      </c>
      <c r="O96" s="9">
        <f>IF(OR(G96="",N96=""),"",MIN(MAX(G96,'Léeme'!$B$11),'Léeme'!$B$12,N96-'Léeme'!$B$16))</f>
        <v/>
      </c>
      <c r="P96" s="16">
        <f>IF(OR(D96="",O96=""),"",IFERROR(IF(D96&lt;=0,"",D96*(1+O96)/(N96-O96)),""))</f>
        <v/>
      </c>
      <c r="Q96" s="9">
        <f>IF(H96="","",MIN(MAX(H96,'Léeme'!$B$13),'Léeme'!$B$14))</f>
        <v/>
      </c>
      <c r="R96" s="9">
        <f>IF(N96="","",MIN('Léeme'!$B$15,N96-'Léeme'!$B$16))</f>
        <v/>
      </c>
      <c r="S96" s="16">
        <f>IF(OR(E96="",Q96=""),"",IFERROR(IF(E96&lt;=0,"",E96*(((1+Q96)/(1+N96))+((1+Q96)/(1+N96))^2+((1+Q96)/(1+N96))^3+((1+Q96)/(1+N96))^4+((1+Q96)/(1+N96))^5)+E96*(1+Q96)^5*(1+R96)/((N96-R96)*(1+N96)^5)),""))</f>
        <v/>
      </c>
      <c r="T96" s="9">
        <f>IF(OR(E96="",N96=""),"",IFERROR((C96*N96-E96)/(C96+E96),""))</f>
        <v/>
      </c>
      <c r="U96" s="9">
        <f>IF(OR(H96="",T96=""),"",IFERROR(MIN(MAX(H96,'Léeme'!$B$17),'Léeme'!$B$18)-T96,""))</f>
        <v/>
      </c>
      <c r="V96" s="16">
        <f>IF(OR(I96="",M96="",L96=""),"",IFERROR((I96/M96-J96-K96)/L96,""))</f>
        <v/>
      </c>
      <c r="W96" s="11">
        <f>IFERROR(P96/C96-1,"")</f>
        <v/>
      </c>
      <c r="X96" s="11">
        <f>IFERROR(S96/C96-1,"")</f>
        <v/>
      </c>
      <c r="Y96" s="11">
        <f>IFERROR(V96/C96-1,"")</f>
        <v/>
      </c>
      <c r="Z96" s="3">
        <f>IF(OR(W96="",ISTEXT(W96)),"sin dato",IF(W96&gt;='Léeme'!$B$19,"barato",IF(W96&lt;=-'Léeme'!$B$19,"caro","medio")))</f>
        <v/>
      </c>
      <c r="AA96" s="3">
        <f>IF(OR(X96="",ISTEXT(X96)),"sin dato",IF(X96&gt;='Léeme'!$B$19,"barato",IF(X96&lt;=-'Léeme'!$B$19,"caro","medio")))</f>
        <v/>
      </c>
      <c r="AB96" s="3">
        <f>IF(OR(U96="",ISTEXT(U96)),"sin dato",IF(U96&gt;='Léeme'!$B$20,"barato",IF(U96&lt;=-'Léeme'!$B$20,"caro","medio")))</f>
        <v/>
      </c>
      <c r="AC96" s="3">
        <f>IF(OR(Y96="",ISTEXT(Y96)),"sin dato",IF(Y96&gt;='Léeme'!$B$19,"barato",IF(Y96&lt;=-'Léeme'!$B$19,"caro","medio")))</f>
        <v/>
      </c>
      <c r="AD96" s="7" t="n">
        <v>0.7711111111111111</v>
      </c>
      <c r="AE96" s="7" t="n">
        <v>0.5102564102564102</v>
      </c>
      <c r="AF96" s="7" t="n">
        <v>0.7358974358974359</v>
      </c>
      <c r="AG96" s="7" t="n">
        <v>0.8559322033898306</v>
      </c>
    </row>
    <row r="97">
      <c r="A97" s="3" t="inlineStr">
        <is>
          <t>2018-T3</t>
        </is>
      </c>
      <c r="B97" s="13" t="n">
        <v>43371</v>
      </c>
      <c r="C97" s="14" t="n">
        <v>56.89</v>
      </c>
      <c r="D97" s="14" t="n">
        <v>2.652</v>
      </c>
      <c r="E97" s="14" t="n">
        <v>2.82</v>
      </c>
      <c r="F97" s="5" t="n">
        <v>0.0305</v>
      </c>
      <c r="G97" s="5" t="n">
        <v>0.03959498820755258</v>
      </c>
      <c r="H97" s="5" t="n">
        <v>0.07547076036584621</v>
      </c>
      <c r="N97" s="9">
        <f>IF(F97="","",F97+'Léeme'!$B$10)</f>
        <v/>
      </c>
      <c r="O97" s="9">
        <f>IF(OR(G97="",N97=""),"",MIN(MAX(G97,'Léeme'!$B$11),'Léeme'!$B$12,N97-'Léeme'!$B$16))</f>
        <v/>
      </c>
      <c r="P97" s="16">
        <f>IF(OR(D97="",O97=""),"",IFERROR(IF(D97&lt;=0,"",D97*(1+O97)/(N97-O97)),""))</f>
        <v/>
      </c>
      <c r="Q97" s="9">
        <f>IF(H97="","",MIN(MAX(H97,'Léeme'!$B$13),'Léeme'!$B$14))</f>
        <v/>
      </c>
      <c r="R97" s="9">
        <f>IF(N97="","",MIN('Léeme'!$B$15,N97-'Léeme'!$B$16))</f>
        <v/>
      </c>
      <c r="S97" s="16">
        <f>IF(OR(E97="",Q97=""),"",IFERROR(IF(E97&lt;=0,"",E97*(((1+Q97)/(1+N97))+((1+Q97)/(1+N97))^2+((1+Q97)/(1+N97))^3+((1+Q97)/(1+N97))^4+((1+Q97)/(1+N97))^5)+E97*(1+Q97)^5*(1+R97)/((N97-R97)*(1+N97)^5)),""))</f>
        <v/>
      </c>
      <c r="T97" s="9">
        <f>IF(OR(E97="",N97=""),"",IFERROR((C97*N97-E97)/(C97+E97),""))</f>
        <v/>
      </c>
      <c r="U97" s="9">
        <f>IF(OR(H97="",T97=""),"",IFERROR(MIN(MAX(H97,'Léeme'!$B$17),'Léeme'!$B$18)-T97,""))</f>
        <v/>
      </c>
      <c r="V97" s="16">
        <f>IF(OR(I97="",M97="",L97=""),"",IFERROR((I97/M97-J97-K97)/L97,""))</f>
        <v/>
      </c>
      <c r="W97" s="11">
        <f>IFERROR(P97/C97-1,"")</f>
        <v/>
      </c>
      <c r="X97" s="11">
        <f>IFERROR(S97/C97-1,"")</f>
        <v/>
      </c>
      <c r="Y97" s="11">
        <f>IFERROR(V97/C97-1,"")</f>
        <v/>
      </c>
      <c r="Z97" s="3">
        <f>IF(OR(W97="",ISTEXT(W97)),"sin dato",IF(W97&gt;='Léeme'!$B$19,"barato",IF(W97&lt;=-'Léeme'!$B$19,"caro","medio")))</f>
        <v/>
      </c>
      <c r="AA97" s="3">
        <f>IF(OR(X97="",ISTEXT(X97)),"sin dato",IF(X97&gt;='Léeme'!$B$19,"barato",IF(X97&lt;=-'Léeme'!$B$19,"caro","medio")))</f>
        <v/>
      </c>
      <c r="AB97" s="3">
        <f>IF(OR(U97="",ISTEXT(U97)),"sin dato",IF(U97&gt;='Léeme'!$B$20,"barato",IF(U97&lt;=-'Léeme'!$B$20,"caro","medio")))</f>
        <v/>
      </c>
      <c r="AC97" s="3">
        <f>IF(OR(Y97="",ISTEXT(Y97)),"sin dato",IF(Y97&gt;='Léeme'!$B$19,"barato",IF(Y97&lt;=-'Léeme'!$B$19,"caro","medio")))</f>
        <v/>
      </c>
      <c r="AD97" s="7" t="n">
        <v>0.5899122807017544</v>
      </c>
      <c r="AE97" s="7" t="n">
        <v>0.4116161616161616</v>
      </c>
      <c r="AF97" s="7" t="n">
        <v>0.6994949494949495</v>
      </c>
      <c r="AG97" s="7" t="n"/>
    </row>
    <row r="98">
      <c r="A98" s="3" t="inlineStr">
        <is>
          <t>2018-T4</t>
        </is>
      </c>
      <c r="B98" s="13" t="n">
        <v>43465</v>
      </c>
      <c r="C98" s="14" t="n">
        <v>63.039999</v>
      </c>
      <c r="D98" s="14" t="n">
        <v>2.652</v>
      </c>
      <c r="E98" s="14" t="n">
        <v>2.82</v>
      </c>
      <c r="F98" s="5" t="n">
        <v>0.0269</v>
      </c>
      <c r="G98" s="5" t="n">
        <v>0.03959498820755258</v>
      </c>
      <c r="H98" s="5" t="n">
        <v>0.07547076036584621</v>
      </c>
      <c r="N98" s="9">
        <f>IF(F98="","",F98+'Léeme'!$B$10)</f>
        <v/>
      </c>
      <c r="O98" s="9">
        <f>IF(OR(G98="",N98=""),"",MIN(MAX(G98,'Léeme'!$B$11),'Léeme'!$B$12,N98-'Léeme'!$B$16))</f>
        <v/>
      </c>
      <c r="P98" s="16">
        <f>IF(OR(D98="",O98=""),"",IFERROR(IF(D98&lt;=0,"",D98*(1+O98)/(N98-O98)),""))</f>
        <v/>
      </c>
      <c r="Q98" s="9">
        <f>IF(H98="","",MIN(MAX(H98,'Léeme'!$B$13),'Léeme'!$B$14))</f>
        <v/>
      </c>
      <c r="R98" s="9">
        <f>IF(N98="","",MIN('Léeme'!$B$15,N98-'Léeme'!$B$16))</f>
        <v/>
      </c>
      <c r="S98" s="16">
        <f>IF(OR(E98="",Q98=""),"",IFERROR(IF(E98&lt;=0,"",E98*(((1+Q98)/(1+N98))+((1+Q98)/(1+N98))^2+((1+Q98)/(1+N98))^3+((1+Q98)/(1+N98))^4+((1+Q98)/(1+N98))^5)+E98*(1+Q98)^5*(1+R98)/((N98-R98)*(1+N98)^5)),""))</f>
        <v/>
      </c>
      <c r="T98" s="9">
        <f>IF(OR(E98="",N98=""),"",IFERROR((C98*N98-E98)/(C98+E98),""))</f>
        <v/>
      </c>
      <c r="U98" s="9">
        <f>IF(OR(H98="",T98=""),"",IFERROR(MIN(MAX(H98,'Léeme'!$B$17),'Léeme'!$B$18)-T98,""))</f>
        <v/>
      </c>
      <c r="V98" s="16">
        <f>IF(OR(I98="",M98="",L98=""),"",IFERROR((I98/M98-J98-K98)/L98,""))</f>
        <v/>
      </c>
      <c r="W98" s="11">
        <f>IFERROR(P98/C98-1,"")</f>
        <v/>
      </c>
      <c r="X98" s="11">
        <f>IFERROR(S98/C98-1,"")</f>
        <v/>
      </c>
      <c r="Y98" s="11">
        <f>IFERROR(V98/C98-1,"")</f>
        <v/>
      </c>
      <c r="Z98" s="3">
        <f>IF(OR(W98="",ISTEXT(W98)),"sin dato",IF(W98&gt;='Léeme'!$B$19,"barato",IF(W98&lt;=-'Léeme'!$B$19,"caro","medio")))</f>
        <v/>
      </c>
      <c r="AA98" s="3">
        <f>IF(OR(X98="",ISTEXT(X98)),"sin dato",IF(X98&gt;='Léeme'!$B$19,"barato",IF(X98&lt;=-'Léeme'!$B$19,"caro","medio")))</f>
        <v/>
      </c>
      <c r="AB98" s="3">
        <f>IF(OR(U98="",ISTEXT(U98)),"sin dato",IF(U98&gt;='Léeme'!$B$20,"barato",IF(U98&lt;=-'Léeme'!$B$20,"caro","medio")))</f>
        <v/>
      </c>
      <c r="AC98" s="3">
        <f>IF(OR(Y98="",ISTEXT(Y98)),"sin dato",IF(Y98&gt;='Léeme'!$B$19,"barato",IF(Y98&lt;=-'Léeme'!$B$19,"caro","medio")))</f>
        <v/>
      </c>
      <c r="AD98" s="7" t="n">
        <v>0.4956709956709957</v>
      </c>
      <c r="AE98" s="7" t="n">
        <v>0.4054726368159204</v>
      </c>
      <c r="AF98" s="7" t="n">
        <v>0.6940298507462687</v>
      </c>
      <c r="AG98" s="7" t="n"/>
    </row>
    <row r="99">
      <c r="A99" s="3" t="inlineStr">
        <is>
          <t>2019-T1</t>
        </is>
      </c>
      <c r="B99" s="13" t="n">
        <v>43553</v>
      </c>
      <c r="C99" s="14" t="n">
        <v>73.55999799999999</v>
      </c>
      <c r="D99" s="14" t="n">
        <v>2.712</v>
      </c>
      <c r="E99" s="14" t="n">
        <v>3.12</v>
      </c>
      <c r="F99" s="5" t="n">
        <v>0.0241</v>
      </c>
      <c r="G99" s="5" t="n">
        <v>0.04425703622610033</v>
      </c>
      <c r="H99" s="5" t="n">
        <v>0.05922384104881218</v>
      </c>
      <c r="N99" s="9">
        <f>IF(F99="","",F99+'Léeme'!$B$10)</f>
        <v/>
      </c>
      <c r="O99" s="9">
        <f>IF(OR(G99="",N99=""),"",MIN(MAX(G99,'Léeme'!$B$11),'Léeme'!$B$12,N99-'Léeme'!$B$16))</f>
        <v/>
      </c>
      <c r="P99" s="16">
        <f>IF(OR(D99="",O99=""),"",IFERROR(IF(D99&lt;=0,"",D99*(1+O99)/(N99-O99)),""))</f>
        <v/>
      </c>
      <c r="Q99" s="9">
        <f>IF(H99="","",MIN(MAX(H99,'Léeme'!$B$13),'Léeme'!$B$14))</f>
        <v/>
      </c>
      <c r="R99" s="9">
        <f>IF(N99="","",MIN('Léeme'!$B$15,N99-'Léeme'!$B$16))</f>
        <v/>
      </c>
      <c r="S99" s="16">
        <f>IF(OR(E99="",Q99=""),"",IFERROR(IF(E99&lt;=0,"",E99*(((1+Q99)/(1+N99))+((1+Q99)/(1+N99))^2+((1+Q99)/(1+N99))^3+((1+Q99)/(1+N99))^4+((1+Q99)/(1+N99))^5)+E99*(1+Q99)^5*(1+R99)/((N99-R99)*(1+N99)^5)),""))</f>
        <v/>
      </c>
      <c r="T99" s="9">
        <f>IF(OR(E99="",N99=""),"",IFERROR((C99*N99-E99)/(C99+E99),""))</f>
        <v/>
      </c>
      <c r="U99" s="9">
        <f>IF(OR(H99="",T99=""),"",IFERROR(MIN(MAX(H99,'Léeme'!$B$17),'Léeme'!$B$18)-T99,""))</f>
        <v/>
      </c>
      <c r="V99" s="16">
        <f>IF(OR(I99="",M99="",L99=""),"",IFERROR((I99/M99-J99-K99)/L99,""))</f>
        <v/>
      </c>
      <c r="W99" s="11">
        <f>IFERROR(P99/C99-1,"")</f>
        <v/>
      </c>
      <c r="X99" s="11">
        <f>IFERROR(S99/C99-1,"")</f>
        <v/>
      </c>
      <c r="Y99" s="11">
        <f>IFERROR(V99/C99-1,"")</f>
        <v/>
      </c>
      <c r="Z99" s="3">
        <f>IF(OR(W99="",ISTEXT(W99)),"sin dato",IF(W99&gt;='Léeme'!$B$19,"barato",IF(W99&lt;=-'Léeme'!$B$19,"caro","medio")))</f>
        <v/>
      </c>
      <c r="AA99" s="3">
        <f>IF(OR(X99="",ISTEXT(X99)),"sin dato",IF(X99&gt;='Léeme'!$B$19,"barato",IF(X99&lt;=-'Léeme'!$B$19,"caro","medio")))</f>
        <v/>
      </c>
      <c r="AB99" s="3">
        <f>IF(OR(U99="",ISTEXT(U99)),"sin dato",IF(U99&gt;='Léeme'!$B$20,"barato",IF(U99&lt;=-'Léeme'!$B$20,"caro","medio")))</f>
        <v/>
      </c>
      <c r="AC99" s="3">
        <f>IF(OR(Y99="",ISTEXT(Y99)),"sin dato",IF(Y99&gt;='Léeme'!$B$19,"barato",IF(Y99&lt;=-'Léeme'!$B$19,"caro","medio")))</f>
        <v/>
      </c>
      <c r="AD99" s="7" t="n">
        <v>0.3354700854700854</v>
      </c>
      <c r="AE99" s="7" t="n">
        <v>0.3799019607843137</v>
      </c>
      <c r="AF99" s="7" t="n">
        <v>0.5220588235294118</v>
      </c>
      <c r="AG99" s="7" t="n"/>
    </row>
    <row r="100">
      <c r="A100" s="3" t="inlineStr">
        <is>
          <t>2019-T2</t>
        </is>
      </c>
      <c r="B100" s="13" t="n">
        <v>43644</v>
      </c>
      <c r="C100" s="14" t="n">
        <v>68.97000300000001</v>
      </c>
      <c r="D100" s="14" t="n">
        <v>2.724</v>
      </c>
      <c r="E100" s="14" t="n">
        <v>3.12</v>
      </c>
      <c r="F100" s="5" t="n">
        <v>0.02</v>
      </c>
      <c r="G100" s="5" t="n">
        <v>0.04403474851839406</v>
      </c>
      <c r="H100" s="5" t="n">
        <v>0.05922384104881218</v>
      </c>
      <c r="I100" s="17" t="n">
        <v>1417460000</v>
      </c>
      <c r="J100" s="17" t="n">
        <v>7012430000</v>
      </c>
      <c r="K100" s="17" t="n">
        <v>0</v>
      </c>
      <c r="L100" s="17" t="n">
        <v>303807421</v>
      </c>
      <c r="M100" s="5" t="n">
        <v>0.064</v>
      </c>
      <c r="N100" s="9">
        <f>IF(F100="","",F100+'Léeme'!$B$10)</f>
        <v/>
      </c>
      <c r="O100" s="9">
        <f>IF(OR(G100="",N100=""),"",MIN(MAX(G100,'Léeme'!$B$11),'Léeme'!$B$12,N100-'Léeme'!$B$16))</f>
        <v/>
      </c>
      <c r="P100" s="16">
        <f>IF(OR(D100="",O100=""),"",IFERROR(IF(D100&lt;=0,"",D100*(1+O100)/(N100-O100)),""))</f>
        <v/>
      </c>
      <c r="Q100" s="9">
        <f>IF(H100="","",MIN(MAX(H100,'Léeme'!$B$13),'Léeme'!$B$14))</f>
        <v/>
      </c>
      <c r="R100" s="9">
        <f>IF(N100="","",MIN('Léeme'!$B$15,N100-'Léeme'!$B$16))</f>
        <v/>
      </c>
      <c r="S100" s="16">
        <f>IF(OR(E100="",Q100=""),"",IFERROR(IF(E100&lt;=0,"",E100*(((1+Q100)/(1+N100))+((1+Q100)/(1+N100))^2+((1+Q100)/(1+N100))^3+((1+Q100)/(1+N100))^4+((1+Q100)/(1+N100))^5)+E100*(1+Q100)^5*(1+R100)/((N100-R100)*(1+N100)^5)),""))</f>
        <v/>
      </c>
      <c r="T100" s="9">
        <f>IF(OR(E100="",N100=""),"",IFERROR((C100*N100-E100)/(C100+E100),""))</f>
        <v/>
      </c>
      <c r="U100" s="9">
        <f>IF(OR(H100="",T100=""),"",IFERROR(MIN(MAX(H100,'Léeme'!$B$17),'Léeme'!$B$18)-T100,""))</f>
        <v/>
      </c>
      <c r="V100" s="16">
        <f>IF(OR(I100="",M100="",L100=""),"",IFERROR((I100/M100-J100-K100)/L100,""))</f>
        <v/>
      </c>
      <c r="W100" s="11">
        <f>IFERROR(P100/C100-1,"")</f>
        <v/>
      </c>
      <c r="X100" s="11">
        <f>IFERROR(S100/C100-1,"")</f>
        <v/>
      </c>
      <c r="Y100" s="11">
        <f>IFERROR(V100/C100-1,"")</f>
        <v/>
      </c>
      <c r="Z100" s="3">
        <f>IF(OR(W100="",ISTEXT(W100)),"sin dato",IF(W100&gt;='Léeme'!$B$19,"barato",IF(W100&lt;=-'Léeme'!$B$19,"caro","medio")))</f>
        <v/>
      </c>
      <c r="AA100" s="3">
        <f>IF(OR(X100="",ISTEXT(X100)),"sin dato",IF(X100&gt;='Léeme'!$B$19,"barato",IF(X100&lt;=-'Léeme'!$B$19,"caro","medio")))</f>
        <v/>
      </c>
      <c r="AB100" s="3">
        <f>IF(OR(U100="",ISTEXT(U100)),"sin dato",IF(U100&gt;='Léeme'!$B$20,"barato",IF(U100&lt;=-'Léeme'!$B$20,"caro","medio")))</f>
        <v/>
      </c>
      <c r="AC100" s="3">
        <f>IF(OR(Y100="",ISTEXT(Y100)),"sin dato",IF(Y100&gt;='Léeme'!$B$19,"barato",IF(Y100&lt;=-'Léeme'!$B$19,"caro","medio")))</f>
        <v/>
      </c>
      <c r="AD100" s="7" t="n">
        <v>0.4113924050632912</v>
      </c>
      <c r="AE100" s="7" t="n">
        <v>0.6159420289855072</v>
      </c>
      <c r="AF100" s="7" t="n">
        <v>0.6352657004830918</v>
      </c>
      <c r="AG100" s="7" t="n">
        <v>0.5403225806451613</v>
      </c>
    </row>
    <row r="101">
      <c r="A101" s="3" t="inlineStr">
        <is>
          <t>2019-T3</t>
        </is>
      </c>
      <c r="B101" s="13" t="n">
        <v>43738</v>
      </c>
      <c r="C101" s="14" t="n">
        <v>76.679997</v>
      </c>
      <c r="D101" s="14" t="n">
        <v>2.724</v>
      </c>
      <c r="E101" s="14" t="n">
        <v>3.12</v>
      </c>
      <c r="F101" s="5" t="n">
        <v>0.0168</v>
      </c>
      <c r="G101" s="5" t="n">
        <v>0.04403474851839406</v>
      </c>
      <c r="H101" s="5" t="n">
        <v>0.05922384104881218</v>
      </c>
      <c r="I101" s="17" t="n">
        <v>1461800000</v>
      </c>
      <c r="J101" s="17" t="n">
        <v>7047152000</v>
      </c>
      <c r="K101" s="17" t="n">
        <v>0</v>
      </c>
      <c r="L101" s="17" t="n">
        <v>318218713</v>
      </c>
      <c r="M101" s="5" t="n">
        <v>0.064</v>
      </c>
      <c r="N101" s="9">
        <f>IF(F101="","",F101+'Léeme'!$B$10)</f>
        <v/>
      </c>
      <c r="O101" s="9">
        <f>IF(OR(G101="",N101=""),"",MIN(MAX(G101,'Léeme'!$B$11),'Léeme'!$B$12,N101-'Léeme'!$B$16))</f>
        <v/>
      </c>
      <c r="P101" s="16">
        <f>IF(OR(D101="",O101=""),"",IFERROR(IF(D101&lt;=0,"",D101*(1+O101)/(N101-O101)),""))</f>
        <v/>
      </c>
      <c r="Q101" s="9">
        <f>IF(H101="","",MIN(MAX(H101,'Léeme'!$B$13),'Léeme'!$B$14))</f>
        <v/>
      </c>
      <c r="R101" s="9">
        <f>IF(N101="","",MIN('Léeme'!$B$15,N101-'Léeme'!$B$16))</f>
        <v/>
      </c>
      <c r="S101" s="16">
        <f>IF(OR(E101="",Q101=""),"",IFERROR(IF(E101&lt;=0,"",E101*(((1+Q101)/(1+N101))+((1+Q101)/(1+N101))^2+((1+Q101)/(1+N101))^3+((1+Q101)/(1+N101))^4+((1+Q101)/(1+N101))^5)+E101*(1+Q101)^5*(1+R101)/((N101-R101)*(1+N101)^5)),""))</f>
        <v/>
      </c>
      <c r="T101" s="9">
        <f>IF(OR(E101="",N101=""),"",IFERROR((C101*N101-E101)/(C101+E101),""))</f>
        <v/>
      </c>
      <c r="U101" s="9">
        <f>IF(OR(H101="",T101=""),"",IFERROR(MIN(MAX(H101,'Léeme'!$B$17),'Léeme'!$B$18)-T101,""))</f>
        <v/>
      </c>
      <c r="V101" s="16">
        <f>IF(OR(I101="",M101="",L101=""),"",IFERROR((I101/M101-J101-K101)/L101,""))</f>
        <v/>
      </c>
      <c r="W101" s="11">
        <f>IFERROR(P101/C101-1,"")</f>
        <v/>
      </c>
      <c r="X101" s="11">
        <f>IFERROR(S101/C101-1,"")</f>
        <v/>
      </c>
      <c r="Y101" s="11">
        <f>IFERROR(V101/C101-1,"")</f>
        <v/>
      </c>
      <c r="Z101" s="3">
        <f>IF(OR(W101="",ISTEXT(W101)),"sin dato",IF(W101&gt;='Léeme'!$B$19,"barato",IF(W101&lt;=-'Léeme'!$B$19,"caro","medio")))</f>
        <v/>
      </c>
      <c r="AA101" s="3">
        <f>IF(OR(X101="",ISTEXT(X101)),"sin dato",IF(X101&gt;='Léeme'!$B$19,"barato",IF(X101&lt;=-'Léeme'!$B$19,"caro","medio")))</f>
        <v/>
      </c>
      <c r="AB101" s="3">
        <f>IF(OR(U101="",ISTEXT(U101)),"sin dato",IF(U101&gt;='Léeme'!$B$20,"barato",IF(U101&lt;=-'Léeme'!$B$20,"caro","medio")))</f>
        <v/>
      </c>
      <c r="AC101" s="3">
        <f>IF(OR(Y101="",ISTEXT(Y101)),"sin dato",IF(Y101&gt;='Léeme'!$B$19,"barato",IF(Y101&lt;=-'Léeme'!$B$19,"caro","medio")))</f>
        <v/>
      </c>
      <c r="AD101" s="7" t="n">
        <v>0.25625</v>
      </c>
      <c r="AE101" s="7" t="n">
        <v>0.6309523809523809</v>
      </c>
      <c r="AF101" s="7" t="n">
        <v>0.5976190476190476</v>
      </c>
      <c r="AG101" s="7" t="n">
        <v>0.2076923076923077</v>
      </c>
    </row>
    <row r="102">
      <c r="A102" s="3" t="inlineStr">
        <is>
          <t>2019-T4</t>
        </is>
      </c>
      <c r="B102" s="13" t="n">
        <v>43830</v>
      </c>
      <c r="C102" s="14" t="n">
        <v>73.630002</v>
      </c>
      <c r="D102" s="14" t="n">
        <v>2.736</v>
      </c>
      <c r="E102" s="14" t="n">
        <v>3.12</v>
      </c>
      <c r="F102" s="5" t="n">
        <v>0.0192</v>
      </c>
      <c r="G102" s="5" t="n">
        <v>0.04495298630467759</v>
      </c>
      <c r="H102" s="5" t="n">
        <v>0.05922384104881218</v>
      </c>
      <c r="I102" s="17" t="n">
        <v>1496988000</v>
      </c>
      <c r="J102" s="17" t="n">
        <v>6801325000</v>
      </c>
      <c r="K102" s="17" t="n">
        <v>0</v>
      </c>
      <c r="L102" s="17" t="n">
        <v>325910281</v>
      </c>
      <c r="M102" s="5" t="n">
        <v>0.064</v>
      </c>
      <c r="N102" s="9">
        <f>IF(F102="","",F102+'Léeme'!$B$10)</f>
        <v/>
      </c>
      <c r="O102" s="9">
        <f>IF(OR(G102="",N102=""),"",MIN(MAX(G102,'Léeme'!$B$11),'Léeme'!$B$12,N102-'Léeme'!$B$16))</f>
        <v/>
      </c>
      <c r="P102" s="16">
        <f>IF(OR(D102="",O102=""),"",IFERROR(IF(D102&lt;=0,"",D102*(1+O102)/(N102-O102)),""))</f>
        <v/>
      </c>
      <c r="Q102" s="9">
        <f>IF(H102="","",MIN(MAX(H102,'Léeme'!$B$13),'Léeme'!$B$14))</f>
        <v/>
      </c>
      <c r="R102" s="9">
        <f>IF(N102="","",MIN('Léeme'!$B$15,N102-'Léeme'!$B$16))</f>
        <v/>
      </c>
      <c r="S102" s="16">
        <f>IF(OR(E102="",Q102=""),"",IFERROR(IF(E102&lt;=0,"",E102*(((1+Q102)/(1+N102))+((1+Q102)/(1+N102))^2+((1+Q102)/(1+N102))^3+((1+Q102)/(1+N102))^4+((1+Q102)/(1+N102))^5)+E102*(1+Q102)^5*(1+R102)/((N102-R102)*(1+N102)^5)),""))</f>
        <v/>
      </c>
      <c r="T102" s="9">
        <f>IF(OR(E102="",N102=""),"",IFERROR((C102*N102-E102)/(C102+E102),""))</f>
        <v/>
      </c>
      <c r="U102" s="9">
        <f>IF(OR(H102="",T102=""),"",IFERROR(MIN(MAX(H102,'Léeme'!$B$17),'Léeme'!$B$18)-T102,""))</f>
        <v/>
      </c>
      <c r="V102" s="16">
        <f>IF(OR(I102="",M102="",L102=""),"",IFERROR((I102/M102-J102-K102)/L102,""))</f>
        <v/>
      </c>
      <c r="W102" s="11">
        <f>IFERROR(P102/C102-1,"")</f>
        <v/>
      </c>
      <c r="X102" s="11">
        <f>IFERROR(S102/C102-1,"")</f>
        <v/>
      </c>
      <c r="Y102" s="11">
        <f>IFERROR(V102/C102-1,"")</f>
        <v/>
      </c>
      <c r="Z102" s="3">
        <f>IF(OR(W102="",ISTEXT(W102)),"sin dato",IF(W102&gt;='Léeme'!$B$19,"barato",IF(W102&lt;=-'Léeme'!$B$19,"caro","medio")))</f>
        <v/>
      </c>
      <c r="AA102" s="3">
        <f>IF(OR(X102="",ISTEXT(X102)),"sin dato",IF(X102&gt;='Léeme'!$B$19,"barato",IF(X102&lt;=-'Léeme'!$B$19,"caro","medio")))</f>
        <v/>
      </c>
      <c r="AB102" s="3">
        <f>IF(OR(U102="",ISTEXT(U102)),"sin dato",IF(U102&gt;='Léeme'!$B$20,"barato",IF(U102&lt;=-'Léeme'!$B$20,"caro","medio")))</f>
        <v/>
      </c>
      <c r="AC102" s="3">
        <f>IF(OR(Y102="",ISTEXT(Y102)),"sin dato",IF(Y102&gt;='Léeme'!$B$19,"barato",IF(Y102&lt;=-'Léeme'!$B$19,"caro","medio")))</f>
        <v/>
      </c>
      <c r="AD102" s="7" t="n">
        <v>0.3436213991769547</v>
      </c>
      <c r="AE102" s="7" t="n">
        <v>0.5140845070422535</v>
      </c>
      <c r="AF102" s="7" t="n">
        <v>0.5892018779342723</v>
      </c>
      <c r="AG102" s="7" t="n">
        <v>0.3602941176470588</v>
      </c>
    </row>
    <row r="103">
      <c r="A103" s="3" t="inlineStr">
        <is>
          <t>2020-T1</t>
        </is>
      </c>
      <c r="B103" s="13" t="n">
        <v>43921</v>
      </c>
      <c r="C103" s="14" t="n">
        <v>49.86</v>
      </c>
      <c r="D103" s="14" t="n">
        <v>2.796</v>
      </c>
      <c r="E103" s="14" t="n">
        <v>3.12</v>
      </c>
      <c r="F103" s="5" t="n">
        <v>0.006999999999999999</v>
      </c>
      <c r="G103" s="5" t="n">
        <v>0.04164675202452095</v>
      </c>
      <c r="H103" s="5" t="n">
        <v>0.03874029125428868</v>
      </c>
      <c r="I103" s="17" t="n">
        <v>1590116000</v>
      </c>
      <c r="J103" s="17" t="n">
        <v>7847536000</v>
      </c>
      <c r="K103" s="17" t="n">
        <v>0</v>
      </c>
      <c r="L103" s="17" t="n">
        <v>333619106</v>
      </c>
      <c r="M103" s="5" t="n">
        <v>0.064</v>
      </c>
      <c r="N103" s="9">
        <f>IF(F103="","",F103+'Léeme'!$B$10)</f>
        <v/>
      </c>
      <c r="O103" s="9">
        <f>IF(OR(G103="",N103=""),"",MIN(MAX(G103,'Léeme'!$B$11),'Léeme'!$B$12,N103-'Léeme'!$B$16))</f>
        <v/>
      </c>
      <c r="P103" s="16">
        <f>IF(OR(D103="",O103=""),"",IFERROR(IF(D103&lt;=0,"",D103*(1+O103)/(N103-O103)),""))</f>
        <v/>
      </c>
      <c r="Q103" s="9">
        <f>IF(H103="","",MIN(MAX(H103,'Léeme'!$B$13),'Léeme'!$B$14))</f>
        <v/>
      </c>
      <c r="R103" s="9">
        <f>IF(N103="","",MIN('Léeme'!$B$15,N103-'Léeme'!$B$16))</f>
        <v/>
      </c>
      <c r="S103" s="16">
        <f>IF(OR(E103="",Q103=""),"",IFERROR(IF(E103&lt;=0,"",E103*(((1+Q103)/(1+N103))+((1+Q103)/(1+N103))^2+((1+Q103)/(1+N103))^3+((1+Q103)/(1+N103))^4+((1+Q103)/(1+N103))^5)+E103*(1+Q103)^5*(1+R103)/((N103-R103)*(1+N103)^5)),""))</f>
        <v/>
      </c>
      <c r="T103" s="9">
        <f>IF(OR(E103="",N103=""),"",IFERROR((C103*N103-E103)/(C103+E103),""))</f>
        <v/>
      </c>
      <c r="U103" s="9">
        <f>IF(OR(H103="",T103=""),"",IFERROR(MIN(MAX(H103,'Léeme'!$B$17),'Léeme'!$B$18)-T103,""))</f>
        <v/>
      </c>
      <c r="V103" s="16">
        <f>IF(OR(I103="",M103="",L103=""),"",IFERROR((I103/M103-J103-K103)/L103,""))</f>
        <v/>
      </c>
      <c r="W103" s="11">
        <f>IFERROR(P103/C103-1,"")</f>
        <v/>
      </c>
      <c r="X103" s="11">
        <f>IFERROR(S103/C103-1,"")</f>
        <v/>
      </c>
      <c r="Y103" s="11">
        <f>IFERROR(V103/C103-1,"")</f>
        <v/>
      </c>
      <c r="Z103" s="3">
        <f>IF(OR(W103="",ISTEXT(W103)),"sin dato",IF(W103&gt;='Léeme'!$B$19,"barato",IF(W103&lt;=-'Léeme'!$B$19,"caro","medio")))</f>
        <v/>
      </c>
      <c r="AA103" s="3">
        <f>IF(OR(X103="",ISTEXT(X103)),"sin dato",IF(X103&gt;='Léeme'!$B$19,"barato",IF(X103&lt;=-'Léeme'!$B$19,"caro","medio")))</f>
        <v/>
      </c>
      <c r="AB103" s="3">
        <f>IF(OR(U103="",ISTEXT(U103)),"sin dato",IF(U103&gt;='Léeme'!$B$20,"barato",IF(U103&lt;=-'Léeme'!$B$20,"caro","medio")))</f>
        <v/>
      </c>
      <c r="AC103" s="3">
        <f>IF(OR(Y103="",ISTEXT(Y103)),"sin dato",IF(Y103&gt;='Léeme'!$B$19,"barato",IF(Y103&lt;=-'Léeme'!$B$19,"caro","medio")))</f>
        <v/>
      </c>
      <c r="AD103" s="7" t="n">
        <v>0.9247967479674797</v>
      </c>
      <c r="AE103" s="7" t="n">
        <v>0.9976851851851852</v>
      </c>
      <c r="AF103" s="7" t="n">
        <v>0.7060185185185185</v>
      </c>
      <c r="AG103" s="7" t="n">
        <v>0.9929577464788732</v>
      </c>
    </row>
    <row r="104">
      <c r="A104" s="3" t="inlineStr">
        <is>
          <t>2020-T2</t>
        </is>
      </c>
      <c r="B104" s="13" t="n">
        <v>44012</v>
      </c>
      <c r="C104" s="14" t="n">
        <v>59.500002</v>
      </c>
      <c r="D104" s="14" t="n">
        <v>2.808</v>
      </c>
      <c r="E104" s="14" t="n">
        <v>3.12</v>
      </c>
      <c r="F104" s="5" t="n">
        <v>0.0066</v>
      </c>
      <c r="G104" s="5" t="n">
        <v>0.04253933838363166</v>
      </c>
      <c r="H104" s="5" t="n">
        <v>0.03874029125428868</v>
      </c>
      <c r="I104" s="17" t="n">
        <v>1657364000</v>
      </c>
      <c r="J104" s="17" t="n">
        <v>7493810000</v>
      </c>
      <c r="K104" s="17" t="n">
        <v>0</v>
      </c>
      <c r="L104" s="17" t="n">
        <v>343402030</v>
      </c>
      <c r="M104" s="5" t="n">
        <v>0.064</v>
      </c>
      <c r="N104" s="9">
        <f>IF(F104="","",F104+'Léeme'!$B$10)</f>
        <v/>
      </c>
      <c r="O104" s="9">
        <f>IF(OR(G104="",N104=""),"",MIN(MAX(G104,'Léeme'!$B$11),'Léeme'!$B$12,N104-'Léeme'!$B$16))</f>
        <v/>
      </c>
      <c r="P104" s="16">
        <f>IF(OR(D104="",O104=""),"",IFERROR(IF(D104&lt;=0,"",D104*(1+O104)/(N104-O104)),""))</f>
        <v/>
      </c>
      <c r="Q104" s="9">
        <f>IF(H104="","",MIN(MAX(H104,'Léeme'!$B$13),'Léeme'!$B$14))</f>
        <v/>
      </c>
      <c r="R104" s="9">
        <f>IF(N104="","",MIN('Léeme'!$B$15,N104-'Léeme'!$B$16))</f>
        <v/>
      </c>
      <c r="S104" s="16">
        <f>IF(OR(E104="",Q104=""),"",IFERROR(IF(E104&lt;=0,"",E104*(((1+Q104)/(1+N104))+((1+Q104)/(1+N104))^2+((1+Q104)/(1+N104))^3+((1+Q104)/(1+N104))^4+((1+Q104)/(1+N104))^5)+E104*(1+Q104)^5*(1+R104)/((N104-R104)*(1+N104)^5)),""))</f>
        <v/>
      </c>
      <c r="T104" s="9">
        <f>IF(OR(E104="",N104=""),"",IFERROR((C104*N104-E104)/(C104+E104),""))</f>
        <v/>
      </c>
      <c r="U104" s="9">
        <f>IF(OR(H104="",T104=""),"",IFERROR(MIN(MAX(H104,'Léeme'!$B$17),'Léeme'!$B$18)-T104,""))</f>
        <v/>
      </c>
      <c r="V104" s="16">
        <f>IF(OR(I104="",M104="",L104=""),"",IFERROR((I104/M104-J104-K104)/L104,""))</f>
        <v/>
      </c>
      <c r="W104" s="11">
        <f>IFERROR(P104/C104-1,"")</f>
        <v/>
      </c>
      <c r="X104" s="11">
        <f>IFERROR(S104/C104-1,"")</f>
        <v/>
      </c>
      <c r="Y104" s="11">
        <f>IFERROR(V104/C104-1,"")</f>
        <v/>
      </c>
      <c r="Z104" s="3">
        <f>IF(OR(W104="",ISTEXT(W104)),"sin dato",IF(W104&gt;='Léeme'!$B$19,"barato",IF(W104&lt;=-'Léeme'!$B$19,"caro","medio")))</f>
        <v/>
      </c>
      <c r="AA104" s="3">
        <f>IF(OR(X104="",ISTEXT(X104)),"sin dato",IF(X104&gt;='Léeme'!$B$19,"barato",IF(X104&lt;=-'Léeme'!$B$19,"caro","medio")))</f>
        <v/>
      </c>
      <c r="AB104" s="3">
        <f>IF(OR(U104="",ISTEXT(U104)),"sin dato",IF(U104&gt;='Léeme'!$B$20,"barato",IF(U104&lt;=-'Léeme'!$B$20,"caro","medio")))</f>
        <v/>
      </c>
      <c r="AC104" s="3">
        <f>IF(OR(Y104="",ISTEXT(Y104)),"sin dato",IF(Y104&gt;='Léeme'!$B$19,"barato",IF(Y104&lt;=-'Léeme'!$B$19,"caro","medio")))</f>
        <v/>
      </c>
      <c r="AD104" s="7" t="n">
        <v>0.6726907630522089</v>
      </c>
      <c r="AE104" s="7" t="n">
        <v>0.9611872146118722</v>
      </c>
      <c r="AF104" s="7" t="n">
        <v>0.6095890410958904</v>
      </c>
      <c r="AG104" s="7" t="n">
        <v>0.8851351351351351</v>
      </c>
    </row>
    <row r="105">
      <c r="A105" s="3" t="inlineStr">
        <is>
          <t>2020-T3</t>
        </is>
      </c>
      <c r="B105" s="13" t="n">
        <v>44104</v>
      </c>
      <c r="C105" s="14" t="n">
        <v>60.750001</v>
      </c>
      <c r="D105" s="14" t="n">
        <v>2.808</v>
      </c>
      <c r="E105" s="14" t="n">
        <v>3.12</v>
      </c>
      <c r="F105" s="5" t="n">
        <v>0.0069</v>
      </c>
      <c r="G105" s="5" t="n">
        <v>0.04144538073891857</v>
      </c>
      <c r="H105" s="5" t="n">
        <v>0.03874029125428868</v>
      </c>
      <c r="I105" s="17" t="n">
        <v>1658544000</v>
      </c>
      <c r="J105" s="17" t="n">
        <v>7839432000</v>
      </c>
      <c r="K105" s="17" t="n">
        <v>0</v>
      </c>
      <c r="L105" s="17" t="n">
        <v>345023421</v>
      </c>
      <c r="M105" s="5" t="n">
        <v>0.064</v>
      </c>
      <c r="N105" s="9">
        <f>IF(F105="","",F105+'Léeme'!$B$10)</f>
        <v/>
      </c>
      <c r="O105" s="9">
        <f>IF(OR(G105="",N105=""),"",MIN(MAX(G105,'Léeme'!$B$11),'Léeme'!$B$12,N105-'Léeme'!$B$16))</f>
        <v/>
      </c>
      <c r="P105" s="16">
        <f>IF(OR(D105="",O105=""),"",IFERROR(IF(D105&lt;=0,"",D105*(1+O105)/(N105-O105)),""))</f>
        <v/>
      </c>
      <c r="Q105" s="9">
        <f>IF(H105="","",MIN(MAX(H105,'Léeme'!$B$13),'Léeme'!$B$14))</f>
        <v/>
      </c>
      <c r="R105" s="9">
        <f>IF(N105="","",MIN('Léeme'!$B$15,N105-'Léeme'!$B$16))</f>
        <v/>
      </c>
      <c r="S105" s="16">
        <f>IF(OR(E105="",Q105=""),"",IFERROR(IF(E105&lt;=0,"",E105*(((1+Q105)/(1+N105))+((1+Q105)/(1+N105))^2+((1+Q105)/(1+N105))^3+((1+Q105)/(1+N105))^4+((1+Q105)/(1+N105))^5)+E105*(1+Q105)^5*(1+R105)/((N105-R105)*(1+N105)^5)),""))</f>
        <v/>
      </c>
      <c r="T105" s="9">
        <f>IF(OR(E105="",N105=""),"",IFERROR((C105*N105-E105)/(C105+E105),""))</f>
        <v/>
      </c>
      <c r="U105" s="9">
        <f>IF(OR(H105="",T105=""),"",IFERROR(MIN(MAX(H105,'Léeme'!$B$17),'Léeme'!$B$18)-T105,""))</f>
        <v/>
      </c>
      <c r="V105" s="16">
        <f>IF(OR(I105="",M105="",L105=""),"",IFERROR((I105/M105-J105-K105)/L105,""))</f>
        <v/>
      </c>
      <c r="W105" s="11">
        <f>IFERROR(P105/C105-1,"")</f>
        <v/>
      </c>
      <c r="X105" s="11">
        <f>IFERROR(S105/C105-1,"")</f>
        <v/>
      </c>
      <c r="Y105" s="11">
        <f>IFERROR(V105/C105-1,"")</f>
        <v/>
      </c>
      <c r="Z105" s="3">
        <f>IF(OR(W105="",ISTEXT(W105)),"sin dato",IF(W105&gt;='Léeme'!$B$19,"barato",IF(W105&lt;=-'Léeme'!$B$19,"caro","medio")))</f>
        <v/>
      </c>
      <c r="AA105" s="3">
        <f>IF(OR(X105="",ISTEXT(X105)),"sin dato",IF(X105&gt;='Léeme'!$B$19,"barato",IF(X105&lt;=-'Léeme'!$B$19,"caro","medio")))</f>
        <v/>
      </c>
      <c r="AB105" s="3">
        <f>IF(OR(U105="",ISTEXT(U105)),"sin dato",IF(U105&gt;='Léeme'!$B$20,"barato",IF(U105&lt;=-'Léeme'!$B$20,"caro","medio")))</f>
        <v/>
      </c>
      <c r="AC105" s="3">
        <f>IF(OR(Y105="",ISTEXT(Y105)),"sin dato",IF(Y105&gt;='Léeme'!$B$19,"barato",IF(Y105&lt;=-'Léeme'!$B$19,"caro","medio")))</f>
        <v/>
      </c>
      <c r="AD105" s="7" t="n">
        <v>0.6369047619047619</v>
      </c>
      <c r="AE105" s="7" t="n">
        <v>0.9527027027027027</v>
      </c>
      <c r="AF105" s="7" t="n">
        <v>0.5698198198198198</v>
      </c>
      <c r="AG105" s="7" t="n">
        <v>0.8376623376623377</v>
      </c>
    </row>
    <row r="106">
      <c r="A106" s="3" t="inlineStr">
        <is>
          <t>2020-T4</t>
        </is>
      </c>
      <c r="B106" s="13" t="n">
        <v>44196</v>
      </c>
      <c r="C106" s="14" t="n">
        <v>62.17</v>
      </c>
      <c r="D106" s="14" t="n">
        <v>2.82</v>
      </c>
      <c r="E106" s="14" t="n">
        <v>3.12</v>
      </c>
      <c r="F106" s="5" t="n">
        <v>0.009300000000000001</v>
      </c>
      <c r="G106" s="5" t="n">
        <v>0.04233398730588744</v>
      </c>
      <c r="H106" s="5" t="n">
        <v>0.03874029125428868</v>
      </c>
      <c r="I106" s="17" t="n">
        <v>1516648000</v>
      </c>
      <c r="J106" s="17" t="n">
        <v>6854969000</v>
      </c>
      <c r="K106" s="17" t="n">
        <v>0</v>
      </c>
      <c r="L106" s="17" t="n">
        <v>350595869</v>
      </c>
      <c r="M106" s="5" t="n">
        <v>0.064</v>
      </c>
      <c r="N106" s="9">
        <f>IF(F106="","",F106+'Léeme'!$B$10)</f>
        <v/>
      </c>
      <c r="O106" s="9">
        <f>IF(OR(G106="",N106=""),"",MIN(MAX(G106,'Léeme'!$B$11),'Léeme'!$B$12,N106-'Léeme'!$B$16))</f>
        <v/>
      </c>
      <c r="P106" s="16">
        <f>IF(OR(D106="",O106=""),"",IFERROR(IF(D106&lt;=0,"",D106*(1+O106)/(N106-O106)),""))</f>
        <v/>
      </c>
      <c r="Q106" s="9">
        <f>IF(H106="","",MIN(MAX(H106,'Léeme'!$B$13),'Léeme'!$B$14))</f>
        <v/>
      </c>
      <c r="R106" s="9">
        <f>IF(N106="","",MIN('Léeme'!$B$15,N106-'Léeme'!$B$16))</f>
        <v/>
      </c>
      <c r="S106" s="16">
        <f>IF(OR(E106="",Q106=""),"",IFERROR(IF(E106&lt;=0,"",E106*(((1+Q106)/(1+N106))+((1+Q106)/(1+N106))^2+((1+Q106)/(1+N106))^3+((1+Q106)/(1+N106))^4+((1+Q106)/(1+N106))^5)+E106*(1+Q106)^5*(1+R106)/((N106-R106)*(1+N106)^5)),""))</f>
        <v/>
      </c>
      <c r="T106" s="9">
        <f>IF(OR(E106="",N106=""),"",IFERROR((C106*N106-E106)/(C106+E106),""))</f>
        <v/>
      </c>
      <c r="U106" s="9">
        <f>IF(OR(H106="",T106=""),"",IFERROR(MIN(MAX(H106,'Léeme'!$B$17),'Léeme'!$B$18)-T106,""))</f>
        <v/>
      </c>
      <c r="V106" s="16">
        <f>IF(OR(I106="",M106="",L106=""),"",IFERROR((I106/M106-J106-K106)/L106,""))</f>
        <v/>
      </c>
      <c r="W106" s="11">
        <f>IFERROR(P106/C106-1,"")</f>
        <v/>
      </c>
      <c r="X106" s="11">
        <f>IFERROR(S106/C106-1,"")</f>
        <v/>
      </c>
      <c r="Y106" s="11">
        <f>IFERROR(V106/C106-1,"")</f>
        <v/>
      </c>
      <c r="Z106" s="3">
        <f>IF(OR(W106="",ISTEXT(W106)),"sin dato",IF(W106&gt;='Léeme'!$B$19,"barato",IF(W106&lt;=-'Léeme'!$B$19,"caro","medio")))</f>
        <v/>
      </c>
      <c r="AA106" s="3">
        <f>IF(OR(X106="",ISTEXT(X106)),"sin dato",IF(X106&gt;='Léeme'!$B$19,"barato",IF(X106&lt;=-'Léeme'!$B$19,"caro","medio")))</f>
        <v/>
      </c>
      <c r="AB106" s="3">
        <f>IF(OR(U106="",ISTEXT(U106)),"sin dato",IF(U106&gt;='Léeme'!$B$20,"barato",IF(U106&lt;=-'Léeme'!$B$20,"caro","medio")))</f>
        <v/>
      </c>
      <c r="AC106" s="3">
        <f>IF(OR(Y106="",ISTEXT(Y106)),"sin dato",IF(Y106&gt;='Léeme'!$B$19,"barato",IF(Y106&lt;=-'Léeme'!$B$19,"caro","medio")))</f>
        <v/>
      </c>
      <c r="AD106" s="7" t="n">
        <v>0.5941176470588235</v>
      </c>
      <c r="AE106" s="7" t="n">
        <v>0.9355555555555556</v>
      </c>
      <c r="AF106" s="7" t="n">
        <v>0.5088888888888888</v>
      </c>
      <c r="AG106" s="7" t="n">
        <v>0.61875</v>
      </c>
    </row>
    <row r="107">
      <c r="A107" s="3" t="inlineStr">
        <is>
          <t>2021-T1</t>
        </is>
      </c>
      <c r="B107" s="13" t="n">
        <v>44286</v>
      </c>
      <c r="C107" s="14" t="n">
        <v>63.500002</v>
      </c>
      <c r="D107" s="14" t="n">
        <v>2.82</v>
      </c>
      <c r="E107" s="14" t="n">
        <v>3.12</v>
      </c>
      <c r="F107" s="5" t="n">
        <v>0.0174</v>
      </c>
      <c r="G107" s="5" t="n">
        <v>0.03381530459613624</v>
      </c>
      <c r="H107" s="5" t="n">
        <v>0.02408254766711027</v>
      </c>
      <c r="I107" s="17" t="n">
        <v>1563764000</v>
      </c>
      <c r="J107" s="17" t="n">
        <v>7992991000</v>
      </c>
      <c r="K107" s="17" t="n">
        <v>0</v>
      </c>
      <c r="L107" s="17" t="n">
        <v>361303445</v>
      </c>
      <c r="M107" s="5" t="n">
        <v>0.059</v>
      </c>
      <c r="N107" s="9">
        <f>IF(F107="","",F107+'Léeme'!$B$10)</f>
        <v/>
      </c>
      <c r="O107" s="9">
        <f>IF(OR(G107="",N107=""),"",MIN(MAX(G107,'Léeme'!$B$11),'Léeme'!$B$12,N107-'Léeme'!$B$16))</f>
        <v/>
      </c>
      <c r="P107" s="16">
        <f>IF(OR(D107="",O107=""),"",IFERROR(IF(D107&lt;=0,"",D107*(1+O107)/(N107-O107)),""))</f>
        <v/>
      </c>
      <c r="Q107" s="9">
        <f>IF(H107="","",MIN(MAX(H107,'Léeme'!$B$13),'Léeme'!$B$14))</f>
        <v/>
      </c>
      <c r="R107" s="9">
        <f>IF(N107="","",MIN('Léeme'!$B$15,N107-'Léeme'!$B$16))</f>
        <v/>
      </c>
      <c r="S107" s="16">
        <f>IF(OR(E107="",Q107=""),"",IFERROR(IF(E107&lt;=0,"",E107*(((1+Q107)/(1+N107))+((1+Q107)/(1+N107))^2+((1+Q107)/(1+N107))^3+((1+Q107)/(1+N107))^4+((1+Q107)/(1+N107))^5)+E107*(1+Q107)^5*(1+R107)/((N107-R107)*(1+N107)^5)),""))</f>
        <v/>
      </c>
      <c r="T107" s="9">
        <f>IF(OR(E107="",N107=""),"",IFERROR((C107*N107-E107)/(C107+E107),""))</f>
        <v/>
      </c>
      <c r="U107" s="9">
        <f>IF(OR(H107="",T107=""),"",IFERROR(MIN(MAX(H107,'Léeme'!$B$17),'Léeme'!$B$18)-T107,""))</f>
        <v/>
      </c>
      <c r="V107" s="16">
        <f>IF(OR(I107="",M107="",L107=""),"",IFERROR((I107/M107-J107-K107)/L107,""))</f>
        <v/>
      </c>
      <c r="W107" s="11">
        <f>IFERROR(P107/C107-1,"")</f>
        <v/>
      </c>
      <c r="X107" s="11">
        <f>IFERROR(S107/C107-1,"")</f>
        <v/>
      </c>
      <c r="Y107" s="11">
        <f>IFERROR(V107/C107-1,"")</f>
        <v/>
      </c>
      <c r="Z107" s="3">
        <f>IF(OR(W107="",ISTEXT(W107)),"sin dato",IF(W107&gt;='Léeme'!$B$19,"barato",IF(W107&lt;=-'Léeme'!$B$19,"caro","medio")))</f>
        <v/>
      </c>
      <c r="AA107" s="3">
        <f>IF(OR(X107="",ISTEXT(X107)),"sin dato",IF(X107&gt;='Léeme'!$B$19,"barato",IF(X107&lt;=-'Léeme'!$B$19,"caro","medio")))</f>
        <v/>
      </c>
      <c r="AB107" s="3">
        <f>IF(OR(U107="",ISTEXT(U107)),"sin dato",IF(U107&gt;='Léeme'!$B$20,"barato",IF(U107&lt;=-'Léeme'!$B$20,"caro","medio")))</f>
        <v/>
      </c>
      <c r="AC107" s="3">
        <f>IF(OR(Y107="",ISTEXT(Y107)),"sin dato",IF(Y107&gt;='Léeme'!$B$19,"barato",IF(Y107&lt;=-'Léeme'!$B$19,"caro","medio")))</f>
        <v/>
      </c>
      <c r="AD107" s="7" t="n">
        <v>0.560077519379845</v>
      </c>
      <c r="AE107" s="7" t="n">
        <v>0.6030701754385965</v>
      </c>
      <c r="AF107" s="7" t="n">
        <v>0.08991228070175439</v>
      </c>
      <c r="AG107" s="7" t="n">
        <v>0.7168674698795181</v>
      </c>
    </row>
    <row r="108">
      <c r="A108" s="3" t="inlineStr">
        <is>
          <t>2021-T2</t>
        </is>
      </c>
      <c r="B108" s="13" t="n">
        <v>44377</v>
      </c>
      <c r="C108" s="14" t="n">
        <v>66.739997</v>
      </c>
      <c r="D108" s="14" t="n">
        <v>2.832</v>
      </c>
      <c r="E108" s="14" t="n">
        <v>3.12</v>
      </c>
      <c r="F108" s="5" t="n">
        <v>0.0145</v>
      </c>
      <c r="G108" s="5" t="n">
        <v>0.03365688434519343</v>
      </c>
      <c r="H108" s="5" t="n">
        <v>0.02408254766711027</v>
      </c>
      <c r="I108" s="17" t="n">
        <v>1657220000</v>
      </c>
      <c r="J108" s="17" t="n">
        <v>7673511000</v>
      </c>
      <c r="K108" s="17" t="n">
        <v>0</v>
      </c>
      <c r="L108" s="17" t="n">
        <v>373509822</v>
      </c>
      <c r="M108" s="5" t="n">
        <v>0.059</v>
      </c>
      <c r="N108" s="9">
        <f>IF(F108="","",F108+'Léeme'!$B$10)</f>
        <v/>
      </c>
      <c r="O108" s="9">
        <f>IF(OR(G108="",N108=""),"",MIN(MAX(G108,'Léeme'!$B$11),'Léeme'!$B$12,N108-'Léeme'!$B$16))</f>
        <v/>
      </c>
      <c r="P108" s="16">
        <f>IF(OR(D108="",O108=""),"",IFERROR(IF(D108&lt;=0,"",D108*(1+O108)/(N108-O108)),""))</f>
        <v/>
      </c>
      <c r="Q108" s="9">
        <f>IF(H108="","",MIN(MAX(H108,'Léeme'!$B$13),'Léeme'!$B$14))</f>
        <v/>
      </c>
      <c r="R108" s="9">
        <f>IF(N108="","",MIN('Léeme'!$B$15,N108-'Léeme'!$B$16))</f>
        <v/>
      </c>
      <c r="S108" s="16">
        <f>IF(OR(E108="",Q108=""),"",IFERROR(IF(E108&lt;=0,"",E108*(((1+Q108)/(1+N108))+((1+Q108)/(1+N108))^2+((1+Q108)/(1+N108))^3+((1+Q108)/(1+N108))^4+((1+Q108)/(1+N108))^5)+E108*(1+Q108)^5*(1+R108)/((N108-R108)*(1+N108)^5)),""))</f>
        <v/>
      </c>
      <c r="T108" s="9">
        <f>IF(OR(E108="",N108=""),"",IFERROR((C108*N108-E108)/(C108+E108),""))</f>
        <v/>
      </c>
      <c r="U108" s="9">
        <f>IF(OR(H108="",T108=""),"",IFERROR(MIN(MAX(H108,'Léeme'!$B$17),'Léeme'!$B$18)-T108,""))</f>
        <v/>
      </c>
      <c r="V108" s="16">
        <f>IF(OR(I108="",M108="",L108=""),"",IFERROR((I108/M108-J108-K108)/L108,""))</f>
        <v/>
      </c>
      <c r="W108" s="11">
        <f>IFERROR(P108/C108-1,"")</f>
        <v/>
      </c>
      <c r="X108" s="11">
        <f>IFERROR(S108/C108-1,"")</f>
        <v/>
      </c>
      <c r="Y108" s="11">
        <f>IFERROR(V108/C108-1,"")</f>
        <v/>
      </c>
      <c r="Z108" s="3">
        <f>IF(OR(W108="",ISTEXT(W108)),"sin dato",IF(W108&gt;='Léeme'!$B$19,"barato",IF(W108&lt;=-'Léeme'!$B$19,"caro","medio")))</f>
        <v/>
      </c>
      <c r="AA108" s="3">
        <f>IF(OR(X108="",ISTEXT(X108)),"sin dato",IF(X108&gt;='Léeme'!$B$19,"barato",IF(X108&lt;=-'Léeme'!$B$19,"caro","medio")))</f>
        <v/>
      </c>
      <c r="AB108" s="3">
        <f>IF(OR(U108="",ISTEXT(U108)),"sin dato",IF(U108&gt;='Léeme'!$B$20,"barato",IF(U108&lt;=-'Léeme'!$B$20,"caro","medio")))</f>
        <v/>
      </c>
      <c r="AC108" s="3">
        <f>IF(OR(Y108="",ISTEXT(Y108)),"sin dato",IF(Y108&gt;='Léeme'!$B$19,"barato",IF(Y108&lt;=-'Léeme'!$B$19,"caro","medio")))</f>
        <v/>
      </c>
      <c r="AD108" s="7" t="n">
        <v>0.496168582375479</v>
      </c>
      <c r="AE108" s="7" t="n">
        <v>0.7424242424242424</v>
      </c>
      <c r="AF108" s="7" t="n">
        <v>0.1017316017316017</v>
      </c>
      <c r="AG108" s="7" t="n">
        <v>0.75</v>
      </c>
    </row>
    <row r="109">
      <c r="A109" s="3" t="inlineStr">
        <is>
          <t>2021-T3</t>
        </is>
      </c>
      <c r="B109" s="13" t="n">
        <v>44469</v>
      </c>
      <c r="C109" s="14" t="n">
        <v>64.86000199999999</v>
      </c>
      <c r="D109" s="14" t="n">
        <v>2.832</v>
      </c>
      <c r="E109" s="14" t="n">
        <v>3.12</v>
      </c>
      <c r="F109" s="5" t="n">
        <v>0.0152</v>
      </c>
      <c r="G109" s="5" t="n">
        <v>0.03160188421894361</v>
      </c>
      <c r="H109" s="5" t="n">
        <v>0.02408254766711027</v>
      </c>
      <c r="I109" s="17" t="n">
        <v>1730192000</v>
      </c>
      <c r="J109" s="17" t="n">
        <v>7648917000</v>
      </c>
      <c r="K109" s="17" t="n">
        <v>0</v>
      </c>
      <c r="L109" s="17" t="n">
        <v>380174042</v>
      </c>
      <c r="M109" s="5" t="n">
        <v>0.059</v>
      </c>
      <c r="N109" s="9">
        <f>IF(F109="","",F109+'Léeme'!$B$10)</f>
        <v/>
      </c>
      <c r="O109" s="9">
        <f>IF(OR(G109="",N109=""),"",MIN(MAX(G109,'Léeme'!$B$11),'Léeme'!$B$12,N109-'Léeme'!$B$16))</f>
        <v/>
      </c>
      <c r="P109" s="16">
        <f>IF(OR(D109="",O109=""),"",IFERROR(IF(D109&lt;=0,"",D109*(1+O109)/(N109-O109)),""))</f>
        <v/>
      </c>
      <c r="Q109" s="9">
        <f>IF(H109="","",MIN(MAX(H109,'Léeme'!$B$13),'Léeme'!$B$14))</f>
        <v/>
      </c>
      <c r="R109" s="9">
        <f>IF(N109="","",MIN('Léeme'!$B$15,N109-'Léeme'!$B$16))</f>
        <v/>
      </c>
      <c r="S109" s="16">
        <f>IF(OR(E109="",Q109=""),"",IFERROR(IF(E109&lt;=0,"",E109*(((1+Q109)/(1+N109))+((1+Q109)/(1+N109))^2+((1+Q109)/(1+N109))^3+((1+Q109)/(1+N109))^4+((1+Q109)/(1+N109))^5)+E109*(1+Q109)^5*(1+R109)/((N109-R109)*(1+N109)^5)),""))</f>
        <v/>
      </c>
      <c r="T109" s="9">
        <f>IF(OR(E109="",N109=""),"",IFERROR((C109*N109-E109)/(C109+E109),""))</f>
        <v/>
      </c>
      <c r="U109" s="9">
        <f>IF(OR(H109="",T109=""),"",IFERROR(MIN(MAX(H109,'Léeme'!$B$17),'Léeme'!$B$18)-T109,""))</f>
        <v/>
      </c>
      <c r="V109" s="16">
        <f>IF(OR(I109="",M109="",L109=""),"",IFERROR((I109/M109-J109-K109)/L109,""))</f>
        <v/>
      </c>
      <c r="W109" s="11">
        <f>IFERROR(P109/C109-1,"")</f>
        <v/>
      </c>
      <c r="X109" s="11">
        <f>IFERROR(S109/C109-1,"")</f>
        <v/>
      </c>
      <c r="Y109" s="11">
        <f>IFERROR(V109/C109-1,"")</f>
        <v/>
      </c>
      <c r="Z109" s="3">
        <f>IF(OR(W109="",ISTEXT(W109)),"sin dato",IF(W109&gt;='Léeme'!$B$19,"barato",IF(W109&lt;=-'Léeme'!$B$19,"caro","medio")))</f>
        <v/>
      </c>
      <c r="AA109" s="3">
        <f>IF(OR(X109="",ISTEXT(X109)),"sin dato",IF(X109&gt;='Léeme'!$B$19,"barato",IF(X109&lt;=-'Léeme'!$B$19,"caro","medio")))</f>
        <v/>
      </c>
      <c r="AB109" s="3">
        <f>IF(OR(U109="",ISTEXT(U109)),"sin dato",IF(U109&gt;='Léeme'!$B$20,"barato",IF(U109&lt;=-'Léeme'!$B$20,"caro","medio")))</f>
        <v/>
      </c>
      <c r="AC109" s="3">
        <f>IF(OR(Y109="",ISTEXT(Y109)),"sin dato",IF(Y109&gt;='Léeme'!$B$19,"barato",IF(Y109&lt;=-'Léeme'!$B$19,"caro","medio")))</f>
        <v/>
      </c>
      <c r="AD109" s="7" t="n">
        <v>0.5359848484848485</v>
      </c>
      <c r="AE109" s="7" t="n">
        <v>0.7414529914529915</v>
      </c>
      <c r="AF109" s="7" t="n">
        <v>0.1217948717948718</v>
      </c>
      <c r="AG109" s="7" t="n">
        <v>0.8595505617977528</v>
      </c>
    </row>
    <row r="110">
      <c r="A110" s="3" t="inlineStr">
        <is>
          <t>2021-T4</t>
        </is>
      </c>
      <c r="B110" s="13" t="n">
        <v>44561</v>
      </c>
      <c r="C110" s="14" t="n">
        <v>71.589996</v>
      </c>
      <c r="D110" s="14" t="n">
        <v>2.964</v>
      </c>
      <c r="E110" s="14" t="n">
        <v>3.12</v>
      </c>
      <c r="F110" s="5" t="n">
        <v>0.0152</v>
      </c>
      <c r="G110" s="5" t="n">
        <v>0.04001638882764524</v>
      </c>
      <c r="H110" s="5" t="n">
        <v>0.02408254766711027</v>
      </c>
      <c r="I110" s="17" t="n">
        <v>1848852000</v>
      </c>
      <c r="J110" s="17" t="n">
        <v>8327379000</v>
      </c>
      <c r="K110" s="17" t="n">
        <v>0</v>
      </c>
      <c r="L110" s="17" t="n">
        <v>404206076</v>
      </c>
      <c r="M110" s="5" t="n">
        <v>0.059</v>
      </c>
      <c r="N110" s="9">
        <f>IF(F110="","",F110+'Léeme'!$B$10)</f>
        <v/>
      </c>
      <c r="O110" s="9">
        <f>IF(OR(G110="",N110=""),"",MIN(MAX(G110,'Léeme'!$B$11),'Léeme'!$B$12,N110-'Léeme'!$B$16))</f>
        <v/>
      </c>
      <c r="P110" s="16">
        <f>IF(OR(D110="",O110=""),"",IFERROR(IF(D110&lt;=0,"",D110*(1+O110)/(N110-O110)),""))</f>
        <v/>
      </c>
      <c r="Q110" s="9">
        <f>IF(H110="","",MIN(MAX(H110,'Léeme'!$B$13),'Léeme'!$B$14))</f>
        <v/>
      </c>
      <c r="R110" s="9">
        <f>IF(N110="","",MIN('Léeme'!$B$15,N110-'Léeme'!$B$16))</f>
        <v/>
      </c>
      <c r="S110" s="16">
        <f>IF(OR(E110="",Q110=""),"",IFERROR(IF(E110&lt;=0,"",E110*(((1+Q110)/(1+N110))+((1+Q110)/(1+N110))^2+((1+Q110)/(1+N110))^3+((1+Q110)/(1+N110))^4+((1+Q110)/(1+N110))^5)+E110*(1+Q110)^5*(1+R110)/((N110-R110)*(1+N110)^5)),""))</f>
        <v/>
      </c>
      <c r="T110" s="9">
        <f>IF(OR(E110="",N110=""),"",IFERROR((C110*N110-E110)/(C110+E110),""))</f>
        <v/>
      </c>
      <c r="U110" s="9">
        <f>IF(OR(H110="",T110=""),"",IFERROR(MIN(MAX(H110,'Léeme'!$B$17),'Léeme'!$B$18)-T110,""))</f>
        <v/>
      </c>
      <c r="V110" s="16">
        <f>IF(OR(I110="",M110="",L110=""),"",IFERROR((I110/M110-J110-K110)/L110,""))</f>
        <v/>
      </c>
      <c r="W110" s="11">
        <f>IFERROR(P110/C110-1,"")</f>
        <v/>
      </c>
      <c r="X110" s="11">
        <f>IFERROR(S110/C110-1,"")</f>
        <v/>
      </c>
      <c r="Y110" s="11">
        <f>IFERROR(V110/C110-1,"")</f>
        <v/>
      </c>
      <c r="Z110" s="3">
        <f>IF(OR(W110="",ISTEXT(W110)),"sin dato",IF(W110&gt;='Léeme'!$B$19,"barato",IF(W110&lt;=-'Léeme'!$B$19,"caro","medio")))</f>
        <v/>
      </c>
      <c r="AA110" s="3">
        <f>IF(OR(X110="",ISTEXT(X110)),"sin dato",IF(X110&gt;='Léeme'!$B$19,"barato",IF(X110&lt;=-'Léeme'!$B$19,"caro","medio")))</f>
        <v/>
      </c>
      <c r="AB110" s="3">
        <f>IF(OR(U110="",ISTEXT(U110)),"sin dato",IF(U110&gt;='Léeme'!$B$20,"barato",IF(U110&lt;=-'Léeme'!$B$20,"caro","medio")))</f>
        <v/>
      </c>
      <c r="AC110" s="3">
        <f>IF(OR(Y110="",ISTEXT(Y110)),"sin dato",IF(Y110&gt;='Léeme'!$B$19,"barato",IF(Y110&lt;=-'Léeme'!$B$19,"caro","medio")))</f>
        <v/>
      </c>
      <c r="AD110" s="7" t="n">
        <v>0.4737827715355805</v>
      </c>
      <c r="AE110" s="7" t="n">
        <v>0.5042194092827004</v>
      </c>
      <c r="AF110" s="7" t="n">
        <v>0.07805907172995781</v>
      </c>
      <c r="AG110" s="7" t="n">
        <v>0.6467391304347826</v>
      </c>
    </row>
    <row r="111">
      <c r="A111" s="3" t="inlineStr">
        <is>
          <t>2022-T1</t>
        </is>
      </c>
      <c r="B111" s="13" t="n">
        <v>44651</v>
      </c>
      <c r="C111" s="14" t="n">
        <v>69.300003</v>
      </c>
      <c r="D111" s="14" t="n">
        <v>2.964</v>
      </c>
      <c r="E111" s="14" t="n">
        <v>3.12</v>
      </c>
      <c r="F111" s="5" t="n">
        <v>0.0232</v>
      </c>
      <c r="G111" s="5" t="n">
        <v>0.03200760955333815</v>
      </c>
      <c r="H111" s="5" t="n">
        <v>0.01613736474159566</v>
      </c>
      <c r="I111" s="17" t="n">
        <v>2551168000</v>
      </c>
      <c r="J111" s="17" t="n">
        <v>13632682000</v>
      </c>
      <c r="K111" s="17" t="n">
        <v>0</v>
      </c>
      <c r="L111" s="17" t="n">
        <v>591261991</v>
      </c>
      <c r="M111" s="5" t="n">
        <v>0.055</v>
      </c>
      <c r="N111" s="9">
        <f>IF(F111="","",F111+'Léeme'!$B$10)</f>
        <v/>
      </c>
      <c r="O111" s="9">
        <f>IF(OR(G111="",N111=""),"",MIN(MAX(G111,'Léeme'!$B$11),'Léeme'!$B$12,N111-'Léeme'!$B$16))</f>
        <v/>
      </c>
      <c r="P111" s="16">
        <f>IF(OR(D111="",O111=""),"",IFERROR(IF(D111&lt;=0,"",D111*(1+O111)/(N111-O111)),""))</f>
        <v/>
      </c>
      <c r="Q111" s="9">
        <f>IF(H111="","",MIN(MAX(H111,'Léeme'!$B$13),'Léeme'!$B$14))</f>
        <v/>
      </c>
      <c r="R111" s="9">
        <f>IF(N111="","",MIN('Léeme'!$B$15,N111-'Léeme'!$B$16))</f>
        <v/>
      </c>
      <c r="S111" s="16">
        <f>IF(OR(E111="",Q111=""),"",IFERROR(IF(E111&lt;=0,"",E111*(((1+Q111)/(1+N111))+((1+Q111)/(1+N111))^2+((1+Q111)/(1+N111))^3+((1+Q111)/(1+N111))^4+((1+Q111)/(1+N111))^5)+E111*(1+Q111)^5*(1+R111)/((N111-R111)*(1+N111)^5)),""))</f>
        <v/>
      </c>
      <c r="T111" s="9">
        <f>IF(OR(E111="",N111=""),"",IFERROR((C111*N111-E111)/(C111+E111),""))</f>
        <v/>
      </c>
      <c r="U111" s="9">
        <f>IF(OR(H111="",T111=""),"",IFERROR(MIN(MAX(H111,'Léeme'!$B$17),'Léeme'!$B$18)-T111,""))</f>
        <v/>
      </c>
      <c r="V111" s="16">
        <f>IF(OR(I111="",M111="",L111=""),"",IFERROR((I111/M111-J111-K111)/L111,""))</f>
        <v/>
      </c>
      <c r="W111" s="11">
        <f>IFERROR(P111/C111-1,"")</f>
        <v/>
      </c>
      <c r="X111" s="11">
        <f>IFERROR(S111/C111-1,"")</f>
        <v/>
      </c>
      <c r="Y111" s="11">
        <f>IFERROR(V111/C111-1,"")</f>
        <v/>
      </c>
      <c r="Z111" s="3">
        <f>IF(OR(W111="",ISTEXT(W111)),"sin dato",IF(W111&gt;='Léeme'!$B$19,"barato",IF(W111&lt;=-'Léeme'!$B$19,"caro","medio")))</f>
        <v/>
      </c>
      <c r="AA111" s="3">
        <f>IF(OR(X111="",ISTEXT(X111)),"sin dato",IF(X111&gt;='Léeme'!$B$19,"barato",IF(X111&lt;=-'Léeme'!$B$19,"caro","medio")))</f>
        <v/>
      </c>
      <c r="AB111" s="3">
        <f>IF(OR(U111="",ISTEXT(U111)),"sin dato",IF(U111&gt;='Léeme'!$B$20,"barato",IF(U111&lt;=-'Léeme'!$B$20,"caro","medio")))</f>
        <v/>
      </c>
      <c r="AC111" s="3">
        <f>IF(OR(Y111="",ISTEXT(Y111)),"sin dato",IF(Y111&gt;='Léeme'!$B$19,"barato",IF(Y111&lt;=-'Léeme'!$B$19,"caro","medio")))</f>
        <v/>
      </c>
      <c r="AD111" s="7" t="n">
        <v>0.4351851851851852</v>
      </c>
      <c r="AE111" s="7" t="n">
        <v>0.1520833333333333</v>
      </c>
      <c r="AF111" s="7" t="n">
        <v>0.05208333333333334</v>
      </c>
      <c r="AG111" s="7" t="n">
        <v>0.6684210526315789</v>
      </c>
    </row>
    <row r="112">
      <c r="A112" s="3" t="inlineStr">
        <is>
          <t>2022-T2</t>
        </is>
      </c>
      <c r="B112" s="13" t="n">
        <v>44742</v>
      </c>
      <c r="C112" s="14" t="n">
        <v>68.260002</v>
      </c>
      <c r="D112" s="14" t="n">
        <v>2.976</v>
      </c>
      <c r="E112" s="14" t="n">
        <v>3.12</v>
      </c>
      <c r="F112" s="5" t="n">
        <v>0.0298</v>
      </c>
      <c r="G112" s="5" t="n">
        <v>0.03186567045409161</v>
      </c>
      <c r="H112" s="5" t="n">
        <v>0.01613736474159566</v>
      </c>
      <c r="I112" s="17" t="n">
        <v>3020004000</v>
      </c>
      <c r="J112" s="17" t="n">
        <v>14260246000</v>
      </c>
      <c r="K112" s="17" t="n">
        <v>0</v>
      </c>
      <c r="L112" s="17" t="n">
        <v>601566581</v>
      </c>
      <c r="M112" s="5" t="n">
        <v>0.055</v>
      </c>
      <c r="N112" s="9">
        <f>IF(F112="","",F112+'Léeme'!$B$10)</f>
        <v/>
      </c>
      <c r="O112" s="9">
        <f>IF(OR(G112="",N112=""),"",MIN(MAX(G112,'Léeme'!$B$11),'Léeme'!$B$12,N112-'Léeme'!$B$16))</f>
        <v/>
      </c>
      <c r="P112" s="16">
        <f>IF(OR(D112="",O112=""),"",IFERROR(IF(D112&lt;=0,"",D112*(1+O112)/(N112-O112)),""))</f>
        <v/>
      </c>
      <c r="Q112" s="9">
        <f>IF(H112="","",MIN(MAX(H112,'Léeme'!$B$13),'Léeme'!$B$14))</f>
        <v/>
      </c>
      <c r="R112" s="9">
        <f>IF(N112="","",MIN('Léeme'!$B$15,N112-'Léeme'!$B$16))</f>
        <v/>
      </c>
      <c r="S112" s="16">
        <f>IF(OR(E112="",Q112=""),"",IFERROR(IF(E112&lt;=0,"",E112*(((1+Q112)/(1+N112))+((1+Q112)/(1+N112))^2+((1+Q112)/(1+N112))^3+((1+Q112)/(1+N112))^4+((1+Q112)/(1+N112))^5)+E112*(1+Q112)^5*(1+R112)/((N112-R112)*(1+N112)^5)),""))</f>
        <v/>
      </c>
      <c r="T112" s="9">
        <f>IF(OR(E112="",N112=""),"",IFERROR((C112*N112-E112)/(C112+E112),""))</f>
        <v/>
      </c>
      <c r="U112" s="9">
        <f>IF(OR(H112="",T112=""),"",IFERROR(MIN(MAX(H112,'Léeme'!$B$17),'Léeme'!$B$18)-T112,""))</f>
        <v/>
      </c>
      <c r="V112" s="16">
        <f>IF(OR(I112="",M112="",L112=""),"",IFERROR((I112/M112-J112-K112)/L112,""))</f>
        <v/>
      </c>
      <c r="W112" s="11">
        <f>IFERROR(P112/C112-1,"")</f>
        <v/>
      </c>
      <c r="X112" s="11">
        <f>IFERROR(S112/C112-1,"")</f>
        <v/>
      </c>
      <c r="Y112" s="11">
        <f>IFERROR(V112/C112-1,"")</f>
        <v/>
      </c>
      <c r="Z112" s="3">
        <f>IF(OR(W112="",ISTEXT(W112)),"sin dato",IF(W112&gt;='Léeme'!$B$19,"barato",IF(W112&lt;=-'Léeme'!$B$19,"caro","medio")))</f>
        <v/>
      </c>
      <c r="AA112" s="3">
        <f>IF(OR(X112="",ISTEXT(X112)),"sin dato",IF(X112&gt;='Léeme'!$B$19,"barato",IF(X112&lt;=-'Léeme'!$B$19,"caro","medio")))</f>
        <v/>
      </c>
      <c r="AB112" s="3">
        <f>IF(OR(U112="",ISTEXT(U112)),"sin dato",IF(U112&gt;='Léeme'!$B$20,"barato",IF(U112&lt;=-'Léeme'!$B$20,"caro","medio")))</f>
        <v/>
      </c>
      <c r="AC112" s="3">
        <f>IF(OR(Y112="",ISTEXT(Y112)),"sin dato",IF(Y112&gt;='Léeme'!$B$19,"barato",IF(Y112&lt;=-'Léeme'!$B$19,"caro","medio")))</f>
        <v/>
      </c>
      <c r="AD112" s="7" t="n">
        <v>0.07875457875457875</v>
      </c>
      <c r="AE112" s="7" t="n">
        <v>0.006172839506172839</v>
      </c>
      <c r="AF112" s="7" t="n">
        <v>0.051440329218107</v>
      </c>
      <c r="AG112" s="7" t="n">
        <v>0.9642857142857143</v>
      </c>
    </row>
    <row r="113">
      <c r="A113" s="3" t="inlineStr">
        <is>
          <t>2022-T3</t>
        </is>
      </c>
      <c r="B113" s="13" t="n">
        <v>44834</v>
      </c>
      <c r="C113" s="14" t="n">
        <v>58.200001</v>
      </c>
      <c r="D113" s="14" t="n">
        <v>2.976</v>
      </c>
      <c r="E113" s="14" t="n">
        <v>3.12</v>
      </c>
      <c r="F113" s="5" t="n">
        <v>0.0383</v>
      </c>
      <c r="G113" s="5" t="n">
        <v>0.03186567045409161</v>
      </c>
      <c r="H113" s="5" t="n">
        <v>0.01613736474159566</v>
      </c>
      <c r="I113" s="17" t="n">
        <v>3032956000</v>
      </c>
      <c r="J113" s="17" t="n">
        <v>14612525000</v>
      </c>
      <c r="K113" s="17" t="n">
        <v>0</v>
      </c>
      <c r="L113" s="17" t="n">
        <v>617564272</v>
      </c>
      <c r="M113" s="5" t="n">
        <v>0.055</v>
      </c>
      <c r="N113" s="9">
        <f>IF(F113="","",F113+'Léeme'!$B$10)</f>
        <v/>
      </c>
      <c r="O113" s="9">
        <f>IF(OR(G113="",N113=""),"",MIN(MAX(G113,'Léeme'!$B$11),'Léeme'!$B$12,N113-'Léeme'!$B$16))</f>
        <v/>
      </c>
      <c r="P113" s="16">
        <f>IF(OR(D113="",O113=""),"",IFERROR(IF(D113&lt;=0,"",D113*(1+O113)/(N113-O113)),""))</f>
        <v/>
      </c>
      <c r="Q113" s="9">
        <f>IF(H113="","",MIN(MAX(H113,'Léeme'!$B$13),'Léeme'!$B$14))</f>
        <v/>
      </c>
      <c r="R113" s="9">
        <f>IF(N113="","",MIN('Léeme'!$B$15,N113-'Léeme'!$B$16))</f>
        <v/>
      </c>
      <c r="S113" s="16">
        <f>IF(OR(E113="",Q113=""),"",IFERROR(IF(E113&lt;=0,"",E113*(((1+Q113)/(1+N113))+((1+Q113)/(1+N113))^2+((1+Q113)/(1+N113))^3+((1+Q113)/(1+N113))^4+((1+Q113)/(1+N113))^5)+E113*(1+Q113)^5*(1+R113)/((N113-R113)*(1+N113)^5)),""))</f>
        <v/>
      </c>
      <c r="T113" s="9">
        <f>IF(OR(E113="",N113=""),"",IFERROR((C113*N113-E113)/(C113+E113),""))</f>
        <v/>
      </c>
      <c r="U113" s="9">
        <f>IF(OR(H113="",T113=""),"",IFERROR(MIN(MAX(H113,'Léeme'!$B$17),'Léeme'!$B$18)-T113,""))</f>
        <v/>
      </c>
      <c r="V113" s="16">
        <f>IF(OR(I113="",M113="",L113=""),"",IFERROR((I113/M113-J113-K113)/L113,""))</f>
        <v/>
      </c>
      <c r="W113" s="11">
        <f>IFERROR(P113/C113-1,"")</f>
        <v/>
      </c>
      <c r="X113" s="11">
        <f>IFERROR(S113/C113-1,"")</f>
        <v/>
      </c>
      <c r="Y113" s="11">
        <f>IFERROR(V113/C113-1,"")</f>
        <v/>
      </c>
      <c r="Z113" s="3">
        <f>IF(OR(W113="",ISTEXT(W113)),"sin dato",IF(W113&gt;='Léeme'!$B$19,"barato",IF(W113&lt;=-'Léeme'!$B$19,"caro","medio")))</f>
        <v/>
      </c>
      <c r="AA113" s="3">
        <f>IF(OR(X113="",ISTEXT(X113)),"sin dato",IF(X113&gt;='Léeme'!$B$19,"barato",IF(X113&lt;=-'Léeme'!$B$19,"caro","medio")))</f>
        <v/>
      </c>
      <c r="AB113" s="3">
        <f>IF(OR(U113="",ISTEXT(U113)),"sin dato",IF(U113&gt;='Léeme'!$B$20,"barato",IF(U113&lt;=-'Léeme'!$B$20,"caro","medio")))</f>
        <v/>
      </c>
      <c r="AC113" s="3">
        <f>IF(OR(Y113="",ISTEXT(Y113)),"sin dato",IF(Y113&gt;='Léeme'!$B$19,"barato",IF(Y113&lt;=-'Léeme'!$B$19,"caro","medio")))</f>
        <v/>
      </c>
      <c r="AD113" s="7" t="n">
        <v>0.01992753623188406</v>
      </c>
      <c r="AE113" s="7" t="n">
        <v>0.006097560975609756</v>
      </c>
      <c r="AF113" s="7" t="n">
        <v>0.05487804878048781</v>
      </c>
      <c r="AG113" s="7" t="n">
        <v>0.995049504950495</v>
      </c>
    </row>
    <row r="114">
      <c r="A114" s="3" t="inlineStr">
        <is>
          <t>2022-T4</t>
        </is>
      </c>
      <c r="B114" s="13" t="n">
        <v>44925</v>
      </c>
      <c r="C114" s="14" t="n">
        <v>63.43</v>
      </c>
      <c r="D114" s="14" t="n">
        <v>2.988</v>
      </c>
      <c r="E114" s="14" t="n">
        <v>3.12</v>
      </c>
      <c r="F114" s="5" t="n">
        <v>0.0388</v>
      </c>
      <c r="G114" s="5" t="n">
        <v>0.03172498707259486</v>
      </c>
      <c r="H114" s="5" t="n">
        <v>0.01613736474159566</v>
      </c>
      <c r="I114" s="17" t="n">
        <v>3138200000</v>
      </c>
      <c r="J114" s="17" t="n">
        <v>14233778000</v>
      </c>
      <c r="K114" s="17" t="n">
        <v>0</v>
      </c>
      <c r="L114" s="17" t="n">
        <v>627145827</v>
      </c>
      <c r="M114" s="5" t="n">
        <v>0.055</v>
      </c>
      <c r="N114" s="9">
        <f>IF(F114="","",F114+'Léeme'!$B$10)</f>
        <v/>
      </c>
      <c r="O114" s="9">
        <f>IF(OR(G114="",N114=""),"",MIN(MAX(G114,'Léeme'!$B$11),'Léeme'!$B$12,N114-'Léeme'!$B$16))</f>
        <v/>
      </c>
      <c r="P114" s="16">
        <f>IF(OR(D114="",O114=""),"",IFERROR(IF(D114&lt;=0,"",D114*(1+O114)/(N114-O114)),""))</f>
        <v/>
      </c>
      <c r="Q114" s="9">
        <f>IF(H114="","",MIN(MAX(H114,'Léeme'!$B$13),'Léeme'!$B$14))</f>
        <v/>
      </c>
      <c r="R114" s="9">
        <f>IF(N114="","",MIN('Léeme'!$B$15,N114-'Léeme'!$B$16))</f>
        <v/>
      </c>
      <c r="S114" s="16">
        <f>IF(OR(E114="",Q114=""),"",IFERROR(IF(E114&lt;=0,"",E114*(((1+Q114)/(1+N114))+((1+Q114)/(1+N114))^2+((1+Q114)/(1+N114))^3+((1+Q114)/(1+N114))^4+((1+Q114)/(1+N114))^5)+E114*(1+Q114)^5*(1+R114)/((N114-R114)*(1+N114)^5)),""))</f>
        <v/>
      </c>
      <c r="T114" s="9">
        <f>IF(OR(E114="",N114=""),"",IFERROR((C114*N114-E114)/(C114+E114),""))</f>
        <v/>
      </c>
      <c r="U114" s="9">
        <f>IF(OR(H114="",T114=""),"",IFERROR(MIN(MAX(H114,'Léeme'!$B$17),'Léeme'!$B$18)-T114,""))</f>
        <v/>
      </c>
      <c r="V114" s="16">
        <f>IF(OR(I114="",M114="",L114=""),"",IFERROR((I114/M114-J114-K114)/L114,""))</f>
        <v/>
      </c>
      <c r="W114" s="11">
        <f>IFERROR(P114/C114-1,"")</f>
        <v/>
      </c>
      <c r="X114" s="11">
        <f>IFERROR(S114/C114-1,"")</f>
        <v/>
      </c>
      <c r="Y114" s="11">
        <f>IFERROR(V114/C114-1,"")</f>
        <v/>
      </c>
      <c r="Z114" s="3">
        <f>IF(OR(W114="",ISTEXT(W114)),"sin dato",IF(W114&gt;='Léeme'!$B$19,"barato",IF(W114&lt;=-'Léeme'!$B$19,"caro","medio")))</f>
        <v/>
      </c>
      <c r="AA114" s="3">
        <f>IF(OR(X114="",ISTEXT(X114)),"sin dato",IF(X114&gt;='Léeme'!$B$19,"barato",IF(X114&lt;=-'Léeme'!$B$19,"caro","medio")))</f>
        <v/>
      </c>
      <c r="AB114" s="3">
        <f>IF(OR(U114="",ISTEXT(U114)),"sin dato",IF(U114&gt;='Léeme'!$B$20,"barato",IF(U114&lt;=-'Léeme'!$B$20,"caro","medio")))</f>
        <v/>
      </c>
      <c r="AC114" s="3">
        <f>IF(OR(Y114="",ISTEXT(Y114)),"sin dato",IF(Y114&gt;='Léeme'!$B$19,"barato",IF(Y114&lt;=-'Léeme'!$B$19,"caro","medio")))</f>
        <v/>
      </c>
      <c r="AD114" s="7" t="n">
        <v>0.008960573476702509</v>
      </c>
      <c r="AE114" s="7" t="n">
        <v>0.006024096385542169</v>
      </c>
      <c r="AF114" s="7" t="n">
        <v>0.01004016064257028</v>
      </c>
      <c r="AG114" s="7" t="n">
        <v>0.9759615384615384</v>
      </c>
    </row>
    <row r="115">
      <c r="A115" s="3" t="inlineStr">
        <is>
          <t>2023-T1</t>
        </is>
      </c>
      <c r="B115" s="13" t="n">
        <v>45016</v>
      </c>
      <c r="C115" s="14" t="n">
        <v>63.32</v>
      </c>
      <c r="D115" s="14" t="n">
        <v>3.06</v>
      </c>
      <c r="E115" s="14" t="n">
        <v>3.12</v>
      </c>
      <c r="F115" s="5" t="n">
        <v>0.0348</v>
      </c>
      <c r="G115" s="5" t="n">
        <v>0.02996744995959233</v>
      </c>
      <c r="H115" s="5" t="n">
        <v>0.0204250165236175</v>
      </c>
      <c r="I115" s="17" t="n">
        <v>3278244000</v>
      </c>
      <c r="J115" s="17" t="n">
        <v>15210591000</v>
      </c>
      <c r="K115" s="17" t="n">
        <v>0</v>
      </c>
      <c r="L115" s="17" t="n">
        <v>660300195</v>
      </c>
      <c r="M115" s="5" t="n">
        <v>0.059</v>
      </c>
      <c r="N115" s="9">
        <f>IF(F115="","",F115+'Léeme'!$B$10)</f>
        <v/>
      </c>
      <c r="O115" s="9">
        <f>IF(OR(G115="",N115=""),"",MIN(MAX(G115,'Léeme'!$B$11),'Léeme'!$B$12,N115-'Léeme'!$B$16))</f>
        <v/>
      </c>
      <c r="P115" s="16">
        <f>IF(OR(D115="",O115=""),"",IFERROR(IF(D115&lt;=0,"",D115*(1+O115)/(N115-O115)),""))</f>
        <v/>
      </c>
      <c r="Q115" s="9">
        <f>IF(H115="","",MIN(MAX(H115,'Léeme'!$B$13),'Léeme'!$B$14))</f>
        <v/>
      </c>
      <c r="R115" s="9">
        <f>IF(N115="","",MIN('Léeme'!$B$15,N115-'Léeme'!$B$16))</f>
        <v/>
      </c>
      <c r="S115" s="16">
        <f>IF(OR(E115="",Q115=""),"",IFERROR(IF(E115&lt;=0,"",E115*(((1+Q115)/(1+N115))+((1+Q115)/(1+N115))^2+((1+Q115)/(1+N115))^3+((1+Q115)/(1+N115))^4+((1+Q115)/(1+N115))^5)+E115*(1+Q115)^5*(1+R115)/((N115-R115)*(1+N115)^5)),""))</f>
        <v/>
      </c>
      <c r="T115" s="9">
        <f>IF(OR(E115="",N115=""),"",IFERROR((C115*N115-E115)/(C115+E115),""))</f>
        <v/>
      </c>
      <c r="U115" s="9">
        <f>IF(OR(H115="",T115=""),"",IFERROR(MIN(MAX(H115,'Léeme'!$B$17),'Léeme'!$B$18)-T115,""))</f>
        <v/>
      </c>
      <c r="V115" s="16">
        <f>IF(OR(I115="",M115="",L115=""),"",IFERROR((I115/M115-J115-K115)/L115,""))</f>
        <v/>
      </c>
      <c r="W115" s="11">
        <f>IFERROR(P115/C115-1,"")</f>
        <v/>
      </c>
      <c r="X115" s="11">
        <f>IFERROR(S115/C115-1,"")</f>
        <v/>
      </c>
      <c r="Y115" s="11">
        <f>IFERROR(V115/C115-1,"")</f>
        <v/>
      </c>
      <c r="Z115" s="3">
        <f>IF(OR(W115="",ISTEXT(W115)),"sin dato",IF(W115&gt;='Léeme'!$B$19,"barato",IF(W115&lt;=-'Léeme'!$B$19,"caro","medio")))</f>
        <v/>
      </c>
      <c r="AA115" s="3">
        <f>IF(OR(X115="",ISTEXT(X115)),"sin dato",IF(X115&gt;='Léeme'!$B$19,"barato",IF(X115&lt;=-'Léeme'!$B$19,"caro","medio")))</f>
        <v/>
      </c>
      <c r="AB115" s="3">
        <f>IF(OR(U115="",ISTEXT(U115)),"sin dato",IF(U115&gt;='Léeme'!$B$20,"barato",IF(U115&lt;=-'Léeme'!$B$20,"caro","medio")))</f>
        <v/>
      </c>
      <c r="AC115" s="3">
        <f>IF(OR(Y115="",ISTEXT(Y115)),"sin dato",IF(Y115&gt;='Léeme'!$B$19,"barato",IF(Y115&lt;=-'Léeme'!$B$19,"caro","medio")))</f>
        <v/>
      </c>
      <c r="AD115" s="7" t="n">
        <v>0.03368794326241135</v>
      </c>
      <c r="AE115" s="7" t="n">
        <v>0.02976190476190476</v>
      </c>
      <c r="AF115" s="7" t="n">
        <v>0.09325396825396826</v>
      </c>
      <c r="AG115" s="7" t="n">
        <v>0.9018691588785047</v>
      </c>
    </row>
    <row r="116">
      <c r="A116" s="3" t="inlineStr">
        <is>
          <t>2023-T2</t>
        </is>
      </c>
      <c r="B116" s="13" t="n">
        <v>45107</v>
      </c>
      <c r="C116" s="14" t="n">
        <v>59.790001</v>
      </c>
      <c r="D116" s="14" t="n">
        <v>3.072</v>
      </c>
      <c r="E116" s="14" t="n">
        <v>3.12</v>
      </c>
      <c r="F116" s="5" t="n">
        <v>0.0381</v>
      </c>
      <c r="G116" s="5" t="n">
        <v>0.03077400337593272</v>
      </c>
      <c r="H116" s="5" t="n">
        <v>0.0204250165236175</v>
      </c>
      <c r="I116" s="17" t="n">
        <v>3500008000</v>
      </c>
      <c r="J116" s="17" t="n">
        <v>17414042000</v>
      </c>
      <c r="K116" s="17" t="n">
        <v>0</v>
      </c>
      <c r="L116" s="17" t="n">
        <v>673206775</v>
      </c>
      <c r="M116" s="5" t="n">
        <v>0.059</v>
      </c>
      <c r="N116" s="9">
        <f>IF(F116="","",F116+'Léeme'!$B$10)</f>
        <v/>
      </c>
      <c r="O116" s="9">
        <f>IF(OR(G116="",N116=""),"",MIN(MAX(G116,'Léeme'!$B$11),'Léeme'!$B$12,N116-'Léeme'!$B$16))</f>
        <v/>
      </c>
      <c r="P116" s="16">
        <f>IF(OR(D116="",O116=""),"",IFERROR(IF(D116&lt;=0,"",D116*(1+O116)/(N116-O116)),""))</f>
        <v/>
      </c>
      <c r="Q116" s="9">
        <f>IF(H116="","",MIN(MAX(H116,'Léeme'!$B$13),'Léeme'!$B$14))</f>
        <v/>
      </c>
      <c r="R116" s="9">
        <f>IF(N116="","",MIN('Léeme'!$B$15,N116-'Léeme'!$B$16))</f>
        <v/>
      </c>
      <c r="S116" s="16">
        <f>IF(OR(E116="",Q116=""),"",IFERROR(IF(E116&lt;=0,"",E116*(((1+Q116)/(1+N116))+((1+Q116)/(1+N116))^2+((1+Q116)/(1+N116))^3+((1+Q116)/(1+N116))^4+((1+Q116)/(1+N116))^5)+E116*(1+Q116)^5*(1+R116)/((N116-R116)*(1+N116)^5)),""))</f>
        <v/>
      </c>
      <c r="T116" s="9">
        <f>IF(OR(E116="",N116=""),"",IFERROR((C116*N116-E116)/(C116+E116),""))</f>
        <v/>
      </c>
      <c r="U116" s="9">
        <f>IF(OR(H116="",T116=""),"",IFERROR(MIN(MAX(H116,'Léeme'!$B$17),'Léeme'!$B$18)-T116,""))</f>
        <v/>
      </c>
      <c r="V116" s="16">
        <f>IF(OR(I116="",M116="",L116=""),"",IFERROR((I116/M116-J116-K116)/L116,""))</f>
        <v/>
      </c>
      <c r="W116" s="11">
        <f>IFERROR(P116/C116-1,"")</f>
        <v/>
      </c>
      <c r="X116" s="11">
        <f>IFERROR(S116/C116-1,"")</f>
        <v/>
      </c>
      <c r="Y116" s="11">
        <f>IFERROR(V116/C116-1,"")</f>
        <v/>
      </c>
      <c r="Z116" s="3">
        <f>IF(OR(W116="",ISTEXT(W116)),"sin dato",IF(W116&gt;='Léeme'!$B$19,"barato",IF(W116&lt;=-'Léeme'!$B$19,"caro","medio")))</f>
        <v/>
      </c>
      <c r="AA116" s="3">
        <f>IF(OR(X116="",ISTEXT(X116)),"sin dato",IF(X116&gt;='Léeme'!$B$19,"barato",IF(X116&lt;=-'Léeme'!$B$19,"caro","medio")))</f>
        <v/>
      </c>
      <c r="AB116" s="3">
        <f>IF(OR(U116="",ISTEXT(U116)),"sin dato",IF(U116&gt;='Léeme'!$B$20,"barato",IF(U116&lt;=-'Léeme'!$B$20,"caro","medio")))</f>
        <v/>
      </c>
      <c r="AC116" s="3">
        <f>IF(OR(Y116="",ISTEXT(Y116)),"sin dato",IF(Y116&gt;='Léeme'!$B$19,"barato",IF(Y116&lt;=-'Léeme'!$B$19,"caro","medio")))</f>
        <v/>
      </c>
      <c r="AD116" s="7" t="n">
        <v>0.02982456140350877</v>
      </c>
      <c r="AE116" s="7" t="n">
        <v>0.02549019607843137</v>
      </c>
      <c r="AF116" s="7" t="n">
        <v>0.09215686274509804</v>
      </c>
      <c r="AG116" s="7" t="n">
        <v>0.95</v>
      </c>
    </row>
    <row r="117">
      <c r="A117" s="3" t="inlineStr">
        <is>
          <t>2023-T3</t>
        </is>
      </c>
      <c r="B117" s="13" t="n">
        <v>45198</v>
      </c>
      <c r="C117" s="14" t="n">
        <v>49.939999</v>
      </c>
      <c r="D117" s="14" t="n">
        <v>3.072</v>
      </c>
      <c r="E117" s="14" t="n">
        <v>3.12</v>
      </c>
      <c r="F117" s="5" t="n">
        <v>0.0459</v>
      </c>
      <c r="G117" s="5" t="n">
        <v>0.02983948325022756</v>
      </c>
      <c r="H117" s="5" t="n">
        <v>0.0204250165236175</v>
      </c>
      <c r="I117" s="17" t="n">
        <v>3698008000</v>
      </c>
      <c r="J117" s="17" t="n">
        <v>18387871000</v>
      </c>
      <c r="K117" s="17" t="n">
        <v>0</v>
      </c>
      <c r="L117" s="17" t="n">
        <v>708773000</v>
      </c>
      <c r="M117" s="5" t="n">
        <v>0.059</v>
      </c>
      <c r="N117" s="9">
        <f>IF(F117="","",F117+'Léeme'!$B$10)</f>
        <v/>
      </c>
      <c r="O117" s="9">
        <f>IF(OR(G117="",N117=""),"",MIN(MAX(G117,'Léeme'!$B$11),'Léeme'!$B$12,N117-'Léeme'!$B$16))</f>
        <v/>
      </c>
      <c r="P117" s="16">
        <f>IF(OR(D117="",O117=""),"",IFERROR(IF(D117&lt;=0,"",D117*(1+O117)/(N117-O117)),""))</f>
        <v/>
      </c>
      <c r="Q117" s="9">
        <f>IF(H117="","",MIN(MAX(H117,'Léeme'!$B$13),'Léeme'!$B$14))</f>
        <v/>
      </c>
      <c r="R117" s="9">
        <f>IF(N117="","",MIN('Léeme'!$B$15,N117-'Léeme'!$B$16))</f>
        <v/>
      </c>
      <c r="S117" s="16">
        <f>IF(OR(E117="",Q117=""),"",IFERROR(IF(E117&lt;=0,"",E117*(((1+Q117)/(1+N117))+((1+Q117)/(1+N117))^2+((1+Q117)/(1+N117))^3+((1+Q117)/(1+N117))^4+((1+Q117)/(1+N117))^5)+E117*(1+Q117)^5*(1+R117)/((N117-R117)*(1+N117)^5)),""))</f>
        <v/>
      </c>
      <c r="T117" s="9">
        <f>IF(OR(E117="",N117=""),"",IFERROR((C117*N117-E117)/(C117+E117),""))</f>
        <v/>
      </c>
      <c r="U117" s="9">
        <f>IF(OR(H117="",T117=""),"",IFERROR(MIN(MAX(H117,'Léeme'!$B$17),'Léeme'!$B$18)-T117,""))</f>
        <v/>
      </c>
      <c r="V117" s="16">
        <f>IF(OR(I117="",M117="",L117=""),"",IFERROR((I117/M117-J117-K117)/L117,""))</f>
        <v/>
      </c>
      <c r="W117" s="11">
        <f>IFERROR(P117/C117-1,"")</f>
        <v/>
      </c>
      <c r="X117" s="11">
        <f>IFERROR(S117/C117-1,"")</f>
        <v/>
      </c>
      <c r="Y117" s="11">
        <f>IFERROR(V117/C117-1,"")</f>
        <v/>
      </c>
      <c r="Z117" s="3">
        <f>IF(OR(W117="",ISTEXT(W117)),"sin dato",IF(W117&gt;='Léeme'!$B$19,"barato",IF(W117&lt;=-'Léeme'!$B$19,"caro","medio")))</f>
        <v/>
      </c>
      <c r="AA117" s="3">
        <f>IF(OR(X117="",ISTEXT(X117)),"sin dato",IF(X117&gt;='Léeme'!$B$19,"barato",IF(X117&lt;=-'Léeme'!$B$19,"caro","medio")))</f>
        <v/>
      </c>
      <c r="AB117" s="3">
        <f>IF(OR(U117="",ISTEXT(U117)),"sin dato",IF(U117&gt;='Léeme'!$B$20,"barato",IF(U117&lt;=-'Léeme'!$B$20,"caro","medio")))</f>
        <v/>
      </c>
      <c r="AC117" s="3">
        <f>IF(OR(Y117="",ISTEXT(Y117)),"sin dato",IF(Y117&gt;='Léeme'!$B$19,"barato",IF(Y117&lt;=-'Léeme'!$B$19,"caro","medio")))</f>
        <v/>
      </c>
      <c r="AD117" s="7" t="n">
        <v>0.02604166666666667</v>
      </c>
      <c r="AE117" s="7" t="n">
        <v>0.04844961240310078</v>
      </c>
      <c r="AF117" s="7" t="n">
        <v>0.1143410852713178</v>
      </c>
      <c r="AG117" s="7" t="n">
        <v>0.995575221238938</v>
      </c>
    </row>
    <row r="118">
      <c r="A118" s="3" t="inlineStr">
        <is>
          <t>2023-T4</t>
        </is>
      </c>
      <c r="B118" s="13" t="n">
        <v>45289</v>
      </c>
      <c r="C118" s="14" t="n">
        <v>57.419998</v>
      </c>
      <c r="D118" s="14" t="n">
        <v>3.084</v>
      </c>
      <c r="E118" s="14" t="n">
        <v>3.12</v>
      </c>
      <c r="F118" s="5" t="n">
        <v>0.0388</v>
      </c>
      <c r="G118" s="5" t="n">
        <v>0.03064279115660296</v>
      </c>
      <c r="H118" s="5" t="n">
        <v>0.0204250165236175</v>
      </c>
      <c r="I118" s="17" t="n">
        <v>3872492000</v>
      </c>
      <c r="J118" s="17" t="n">
        <v>19250758000</v>
      </c>
      <c r="K118" s="17" t="n">
        <v>0</v>
      </c>
      <c r="L118" s="17" t="n">
        <v>723894000</v>
      </c>
      <c r="M118" s="5" t="n">
        <v>0.059</v>
      </c>
      <c r="N118" s="9">
        <f>IF(F118="","",F118+'Léeme'!$B$10)</f>
        <v/>
      </c>
      <c r="O118" s="9">
        <f>IF(OR(G118="",N118=""),"",MIN(MAX(G118,'Léeme'!$B$11),'Léeme'!$B$12,N118-'Léeme'!$B$16))</f>
        <v/>
      </c>
      <c r="P118" s="16">
        <f>IF(OR(D118="",O118=""),"",IFERROR(IF(D118&lt;=0,"",D118*(1+O118)/(N118-O118)),""))</f>
        <v/>
      </c>
      <c r="Q118" s="9">
        <f>IF(H118="","",MIN(MAX(H118,'Léeme'!$B$13),'Léeme'!$B$14))</f>
        <v/>
      </c>
      <c r="R118" s="9">
        <f>IF(N118="","",MIN('Léeme'!$B$15,N118-'Léeme'!$B$16))</f>
        <v/>
      </c>
      <c r="S118" s="16">
        <f>IF(OR(E118="",Q118=""),"",IFERROR(IF(E118&lt;=0,"",E118*(((1+Q118)/(1+N118))+((1+Q118)/(1+N118))^2+((1+Q118)/(1+N118))^3+((1+Q118)/(1+N118))^4+((1+Q118)/(1+N118))^5)+E118*(1+Q118)^5*(1+R118)/((N118-R118)*(1+N118)^5)),""))</f>
        <v/>
      </c>
      <c r="T118" s="9">
        <f>IF(OR(E118="",N118=""),"",IFERROR((C118*N118-E118)/(C118+E118),""))</f>
        <v/>
      </c>
      <c r="U118" s="9">
        <f>IF(OR(H118="",T118=""),"",IFERROR(MIN(MAX(H118,'Léeme'!$B$17),'Léeme'!$B$18)-T118,""))</f>
        <v/>
      </c>
      <c r="V118" s="16">
        <f>IF(OR(I118="",M118="",L118=""),"",IFERROR((I118/M118-J118-K118)/L118,""))</f>
        <v/>
      </c>
      <c r="W118" s="11">
        <f>IFERROR(P118/C118-1,"")</f>
        <v/>
      </c>
      <c r="X118" s="11">
        <f>IFERROR(S118/C118-1,"")</f>
        <v/>
      </c>
      <c r="Y118" s="11">
        <f>IFERROR(V118/C118-1,"")</f>
        <v/>
      </c>
      <c r="Z118" s="3">
        <f>IF(OR(W118="",ISTEXT(W118)),"sin dato",IF(W118&gt;='Léeme'!$B$19,"barato",IF(W118&lt;=-'Léeme'!$B$19,"caro","medio")))</f>
        <v/>
      </c>
      <c r="AA118" s="3">
        <f>IF(OR(X118="",ISTEXT(X118)),"sin dato",IF(X118&gt;='Léeme'!$B$19,"barato",IF(X118&lt;=-'Léeme'!$B$19,"caro","medio")))</f>
        <v/>
      </c>
      <c r="AB118" s="3">
        <f>IF(OR(U118="",ISTEXT(U118)),"sin dato",IF(U118&gt;='Léeme'!$B$20,"barato",IF(U118&lt;=-'Léeme'!$B$20,"caro","medio")))</f>
        <v/>
      </c>
      <c r="AC118" s="3">
        <f>IF(OR(Y118="",ISTEXT(Y118)),"sin dato",IF(Y118&gt;='Léeme'!$B$19,"barato",IF(Y118&lt;=-'Léeme'!$B$19,"caro","medio")))</f>
        <v/>
      </c>
      <c r="AD118" s="7" t="n">
        <v>0.06357388316151202</v>
      </c>
      <c r="AE118" s="7" t="n">
        <v>0.05172413793103448</v>
      </c>
      <c r="AF118" s="7" t="n">
        <v>0.1130268199233716</v>
      </c>
      <c r="AG118" s="7" t="n">
        <v>0.9612068965517241</v>
      </c>
    </row>
    <row r="119">
      <c r="A119" s="3" t="inlineStr">
        <is>
          <t>2024-T1</t>
        </is>
      </c>
      <c r="B119" s="13" t="n">
        <v>45379</v>
      </c>
      <c r="C119" s="14" t="n">
        <v>54.099998</v>
      </c>
      <c r="D119" s="14" t="n">
        <v>3.084</v>
      </c>
      <c r="E119" s="14" t="n">
        <v>3.12</v>
      </c>
      <c r="F119" s="5" t="n">
        <v>0.042</v>
      </c>
      <c r="G119" s="5" t="n">
        <v>0.02604152344601429</v>
      </c>
      <c r="H119" s="5" t="n">
        <v>0</v>
      </c>
      <c r="I119" s="17" t="n">
        <v>3977608000</v>
      </c>
      <c r="J119" s="17" t="n">
        <v>20522824000</v>
      </c>
      <c r="K119" s="17" t="n">
        <v>0</v>
      </c>
      <c r="L119" s="17" t="n">
        <v>752460000</v>
      </c>
      <c r="M119" s="5" t="n">
        <v>0.07099999999999999</v>
      </c>
      <c r="N119" s="9">
        <f>IF(F119="","",F119+'Léeme'!$B$10)</f>
        <v/>
      </c>
      <c r="O119" s="9">
        <f>IF(OR(G119="",N119=""),"",MIN(MAX(G119,'Léeme'!$B$11),'Léeme'!$B$12,N119-'Léeme'!$B$16))</f>
        <v/>
      </c>
      <c r="P119" s="16">
        <f>IF(OR(D119="",O119=""),"",IFERROR(IF(D119&lt;=0,"",D119*(1+O119)/(N119-O119)),""))</f>
        <v/>
      </c>
      <c r="Q119" s="9">
        <f>IF(H119="","",MIN(MAX(H119,'Léeme'!$B$13),'Léeme'!$B$14))</f>
        <v/>
      </c>
      <c r="R119" s="9">
        <f>IF(N119="","",MIN('Léeme'!$B$15,N119-'Léeme'!$B$16))</f>
        <v/>
      </c>
      <c r="S119" s="16">
        <f>IF(OR(E119="",Q119=""),"",IFERROR(IF(E119&lt;=0,"",E119*(((1+Q119)/(1+N119))+((1+Q119)/(1+N119))^2+((1+Q119)/(1+N119))^3+((1+Q119)/(1+N119))^4+((1+Q119)/(1+N119))^5)+E119*(1+Q119)^5*(1+R119)/((N119-R119)*(1+N119)^5)),""))</f>
        <v/>
      </c>
      <c r="T119" s="9">
        <f>IF(OR(E119="",N119=""),"",IFERROR((C119*N119-E119)/(C119+E119),""))</f>
        <v/>
      </c>
      <c r="U119" s="9">
        <f>IF(OR(H119="",T119=""),"",IFERROR(MIN(MAX(H119,'Léeme'!$B$17),'Léeme'!$B$18)-T119,""))</f>
        <v/>
      </c>
      <c r="V119" s="16">
        <f>IF(OR(I119="",M119="",L119=""),"",IFERROR((I119/M119-J119-K119)/L119,""))</f>
        <v/>
      </c>
      <c r="W119" s="11">
        <f>IFERROR(P119/C119-1,"")</f>
        <v/>
      </c>
      <c r="X119" s="11">
        <f>IFERROR(S119/C119-1,"")</f>
        <v/>
      </c>
      <c r="Y119" s="11">
        <f>IFERROR(V119/C119-1,"")</f>
        <v/>
      </c>
      <c r="Z119" s="3">
        <f>IF(OR(W119="",ISTEXT(W119)),"sin dato",IF(W119&gt;='Léeme'!$B$19,"barato",IF(W119&lt;=-'Léeme'!$B$19,"caro","medio")))</f>
        <v/>
      </c>
      <c r="AA119" s="3">
        <f>IF(OR(X119="",ISTEXT(X119)),"sin dato",IF(X119&gt;='Léeme'!$B$19,"barato",IF(X119&lt;=-'Léeme'!$B$19,"caro","medio")))</f>
        <v/>
      </c>
      <c r="AB119" s="3">
        <f>IF(OR(U119="",ISTEXT(U119)),"sin dato",IF(U119&gt;='Léeme'!$B$20,"barato",IF(U119&lt;=-'Léeme'!$B$20,"caro","medio")))</f>
        <v/>
      </c>
      <c r="AC119" s="3">
        <f>IF(OR(Y119="",ISTEXT(Y119)),"sin dato",IF(Y119&gt;='Léeme'!$B$19,"barato",IF(Y119&lt;=-'Léeme'!$B$19,"caro","medio")))</f>
        <v/>
      </c>
      <c r="AD119" s="7" t="n">
        <v>0.008503401360544218</v>
      </c>
      <c r="AE119" s="7" t="n">
        <v>0.01704545454545454</v>
      </c>
      <c r="AF119" s="7" t="n">
        <v>0.001893939393939394</v>
      </c>
      <c r="AG119" s="7" t="n">
        <v>0.6932773109243697</v>
      </c>
    </row>
    <row r="120">
      <c r="A120" s="3" t="inlineStr">
        <is>
          <t>2024-T2</t>
        </is>
      </c>
      <c r="B120" s="13" t="n">
        <v>45471</v>
      </c>
      <c r="C120" s="14" t="n">
        <v>52.82</v>
      </c>
      <c r="D120" s="14" t="n">
        <v>3.156</v>
      </c>
      <c r="E120" s="14" t="n">
        <v>3.12</v>
      </c>
      <c r="F120" s="5" t="n">
        <v>0.0436</v>
      </c>
      <c r="G120" s="5" t="n">
        <v>0.02987846788915305</v>
      </c>
      <c r="H120" s="5" t="n">
        <v>0</v>
      </c>
      <c r="I120" s="17" t="n">
        <v>4684496000</v>
      </c>
      <c r="J120" s="17" t="n">
        <v>23638375000</v>
      </c>
      <c r="K120" s="17" t="n">
        <v>0</v>
      </c>
      <c r="L120" s="17" t="n">
        <v>870756000</v>
      </c>
      <c r="M120" s="5" t="n">
        <v>0.07099999999999999</v>
      </c>
      <c r="N120" s="9">
        <f>IF(F120="","",F120+'Léeme'!$B$10)</f>
        <v/>
      </c>
      <c r="O120" s="9">
        <f>IF(OR(G120="",N120=""),"",MIN(MAX(G120,'Léeme'!$B$11),'Léeme'!$B$12,N120-'Léeme'!$B$16))</f>
        <v/>
      </c>
      <c r="P120" s="16">
        <f>IF(OR(D120="",O120=""),"",IFERROR(IF(D120&lt;=0,"",D120*(1+O120)/(N120-O120)),""))</f>
        <v/>
      </c>
      <c r="Q120" s="9">
        <f>IF(H120="","",MIN(MAX(H120,'Léeme'!$B$13),'Léeme'!$B$14))</f>
        <v/>
      </c>
      <c r="R120" s="9">
        <f>IF(N120="","",MIN('Léeme'!$B$15,N120-'Léeme'!$B$16))</f>
        <v/>
      </c>
      <c r="S120" s="16">
        <f>IF(OR(E120="",Q120=""),"",IFERROR(IF(E120&lt;=0,"",E120*(((1+Q120)/(1+N120))+((1+Q120)/(1+N120))^2+((1+Q120)/(1+N120))^3+((1+Q120)/(1+N120))^4+((1+Q120)/(1+N120))^5)+E120*(1+Q120)^5*(1+R120)/((N120-R120)*(1+N120)^5)),""))</f>
        <v/>
      </c>
      <c r="T120" s="9">
        <f>IF(OR(E120="",N120=""),"",IFERROR((C120*N120-E120)/(C120+E120),""))</f>
        <v/>
      </c>
      <c r="U120" s="9">
        <f>IF(OR(H120="",T120=""),"",IFERROR(MIN(MAX(H120,'Léeme'!$B$17),'Léeme'!$B$18)-T120,""))</f>
        <v/>
      </c>
      <c r="V120" s="16">
        <f>IF(OR(I120="",M120="",L120=""),"",IFERROR((I120/M120-J120-K120)/L120,""))</f>
        <v/>
      </c>
      <c r="W120" s="11">
        <f>IFERROR(P120/C120-1,"")</f>
        <v/>
      </c>
      <c r="X120" s="11">
        <f>IFERROR(S120/C120-1,"")</f>
        <v/>
      </c>
      <c r="Y120" s="11">
        <f>IFERROR(V120/C120-1,"")</f>
        <v/>
      </c>
      <c r="Z120" s="3">
        <f>IF(OR(W120="",ISTEXT(W120)),"sin dato",IF(W120&gt;='Léeme'!$B$19,"barato",IF(W120&lt;=-'Léeme'!$B$19,"caro","medio")))</f>
        <v/>
      </c>
      <c r="AA120" s="3">
        <f>IF(OR(X120="",ISTEXT(X120)),"sin dato",IF(X120&gt;='Léeme'!$B$19,"barato",IF(X120&lt;=-'Léeme'!$B$19,"caro","medio")))</f>
        <v/>
      </c>
      <c r="AB120" s="3">
        <f>IF(OR(U120="",ISTEXT(U120)),"sin dato",IF(U120&gt;='Léeme'!$B$20,"barato",IF(U120&lt;=-'Léeme'!$B$20,"caro","medio")))</f>
        <v/>
      </c>
      <c r="AC120" s="3">
        <f>IF(OR(Y120="",ISTEXT(Y120)),"sin dato",IF(Y120&gt;='Léeme'!$B$19,"barato",IF(Y120&lt;=-'Léeme'!$B$19,"caro","medio")))</f>
        <v/>
      </c>
      <c r="AD120" s="7" t="n">
        <v>0.05892255892255892</v>
      </c>
      <c r="AE120" s="7" t="n">
        <v>0.02434456928838951</v>
      </c>
      <c r="AF120" s="7" t="n">
        <v>0.009363295880149813</v>
      </c>
      <c r="AG120" s="7" t="n">
        <v>0.7745901639344263</v>
      </c>
    </row>
    <row r="121">
      <c r="A121" s="3" t="inlineStr">
        <is>
          <t>2024-T3</t>
        </is>
      </c>
      <c r="B121" s="13" t="n">
        <v>45565</v>
      </c>
      <c r="C121" s="14" t="n">
        <v>63.419998</v>
      </c>
      <c r="D121" s="14" t="n">
        <v>3.156</v>
      </c>
      <c r="E121" s="14" t="n">
        <v>3.12</v>
      </c>
      <c r="F121" s="5" t="n">
        <v>0.0381</v>
      </c>
      <c r="G121" s="5" t="n">
        <v>0.02987846788915305</v>
      </c>
      <c r="H121" s="5" t="n">
        <v>0</v>
      </c>
      <c r="I121" s="17" t="n">
        <v>4958368000</v>
      </c>
      <c r="J121" s="17" t="n">
        <v>23867874000</v>
      </c>
      <c r="K121" s="17" t="n">
        <v>0</v>
      </c>
      <c r="L121" s="17" t="n">
        <v>870848000</v>
      </c>
      <c r="M121" s="5" t="n">
        <v>0.07099999999999999</v>
      </c>
      <c r="N121" s="9">
        <f>IF(F121="","",F121+'Léeme'!$B$10)</f>
        <v/>
      </c>
      <c r="O121" s="9">
        <f>IF(OR(G121="",N121=""),"",MIN(MAX(G121,'Léeme'!$B$11),'Léeme'!$B$12,N121-'Léeme'!$B$16))</f>
        <v/>
      </c>
      <c r="P121" s="16">
        <f>IF(OR(D121="",O121=""),"",IFERROR(IF(D121&lt;=0,"",D121*(1+O121)/(N121-O121)),""))</f>
        <v/>
      </c>
      <c r="Q121" s="9">
        <f>IF(H121="","",MIN(MAX(H121,'Léeme'!$B$13),'Léeme'!$B$14))</f>
        <v/>
      </c>
      <c r="R121" s="9">
        <f>IF(N121="","",MIN('Léeme'!$B$15,N121-'Léeme'!$B$16))</f>
        <v/>
      </c>
      <c r="S121" s="16">
        <f>IF(OR(E121="",Q121=""),"",IFERROR(IF(E121&lt;=0,"",E121*(((1+Q121)/(1+N121))+((1+Q121)/(1+N121))^2+((1+Q121)/(1+N121))^3+((1+Q121)/(1+N121))^4+((1+Q121)/(1+N121))^5)+E121*(1+Q121)^5*(1+R121)/((N121-R121)*(1+N121)^5)),""))</f>
        <v/>
      </c>
      <c r="T121" s="9">
        <f>IF(OR(E121="",N121=""),"",IFERROR((C121*N121-E121)/(C121+E121),""))</f>
        <v/>
      </c>
      <c r="U121" s="9">
        <f>IF(OR(H121="",T121=""),"",IFERROR(MIN(MAX(H121,'Léeme'!$B$17),'Léeme'!$B$18)-T121,""))</f>
        <v/>
      </c>
      <c r="V121" s="16">
        <f>IF(OR(I121="",M121="",L121=""),"",IFERROR((I121/M121-J121-K121)/L121,""))</f>
        <v/>
      </c>
      <c r="W121" s="11">
        <f>IFERROR(P121/C121-1,"")</f>
        <v/>
      </c>
      <c r="X121" s="11">
        <f>IFERROR(S121/C121-1,"")</f>
        <v/>
      </c>
      <c r="Y121" s="11">
        <f>IFERROR(V121/C121-1,"")</f>
        <v/>
      </c>
      <c r="Z121" s="3">
        <f>IF(OR(W121="",ISTEXT(W121)),"sin dato",IF(W121&gt;='Léeme'!$B$19,"barato",IF(W121&lt;=-'Léeme'!$B$19,"caro","medio")))</f>
        <v/>
      </c>
      <c r="AA121" s="3">
        <f>IF(OR(X121="",ISTEXT(X121)),"sin dato",IF(X121&gt;='Léeme'!$B$19,"barato",IF(X121&lt;=-'Léeme'!$B$19,"caro","medio")))</f>
        <v/>
      </c>
      <c r="AB121" s="3">
        <f>IF(OR(U121="",ISTEXT(U121)),"sin dato",IF(U121&gt;='Léeme'!$B$20,"barato",IF(U121&lt;=-'Léeme'!$B$20,"caro","medio")))</f>
        <v/>
      </c>
      <c r="AC121" s="3">
        <f>IF(OR(Y121="",ISTEXT(Y121)),"sin dato",IF(Y121&gt;='Léeme'!$B$19,"barato",IF(Y121&lt;=-'Léeme'!$B$19,"caro","medio")))</f>
        <v/>
      </c>
      <c r="AD121" s="7" t="n">
        <v>0.045</v>
      </c>
      <c r="AE121" s="7" t="n">
        <v>0.001851851851851852</v>
      </c>
      <c r="AF121" s="7" t="n">
        <v>0.001851851851851852</v>
      </c>
      <c r="AG121" s="7" t="n">
        <v>0.604</v>
      </c>
    </row>
    <row r="122">
      <c r="A122" s="3" t="inlineStr">
        <is>
          <t>2024-T4</t>
        </is>
      </c>
      <c r="B122" s="13" t="n">
        <v>45657</v>
      </c>
      <c r="C122" s="14" t="n">
        <v>53.41</v>
      </c>
      <c r="D122" s="14" t="n">
        <v>3.168</v>
      </c>
      <c r="E122" s="14" t="n">
        <v>3.12</v>
      </c>
      <c r="F122" s="5" t="n">
        <v>0.0458</v>
      </c>
      <c r="G122" s="5" t="n">
        <v>0.02975477857041309</v>
      </c>
      <c r="H122" s="5" t="n">
        <v>0</v>
      </c>
      <c r="I122" s="17" t="n">
        <v>4955044000</v>
      </c>
      <c r="J122" s="17" t="n">
        <v>25321061000</v>
      </c>
      <c r="K122" s="17" t="n">
        <v>0</v>
      </c>
      <c r="L122" s="17" t="n">
        <v>875197000</v>
      </c>
      <c r="M122" s="5" t="n">
        <v>0.07099999999999999</v>
      </c>
      <c r="N122" s="9">
        <f>IF(F122="","",F122+'Léeme'!$B$10)</f>
        <v/>
      </c>
      <c r="O122" s="9">
        <f>IF(OR(G122="",N122=""),"",MIN(MAX(G122,'Léeme'!$B$11),'Léeme'!$B$12,N122-'Léeme'!$B$16))</f>
        <v/>
      </c>
      <c r="P122" s="16">
        <f>IF(OR(D122="",O122=""),"",IFERROR(IF(D122&lt;=0,"",D122*(1+O122)/(N122-O122)),""))</f>
        <v/>
      </c>
      <c r="Q122" s="9">
        <f>IF(H122="","",MIN(MAX(H122,'Léeme'!$B$13),'Léeme'!$B$14))</f>
        <v/>
      </c>
      <c r="R122" s="9">
        <f>IF(N122="","",MIN('Léeme'!$B$15,N122-'Léeme'!$B$16))</f>
        <v/>
      </c>
      <c r="S122" s="16">
        <f>IF(OR(E122="",Q122=""),"",IFERROR(IF(E122&lt;=0,"",E122*(((1+Q122)/(1+N122))+((1+Q122)/(1+N122))^2+((1+Q122)/(1+N122))^3+((1+Q122)/(1+N122))^4+((1+Q122)/(1+N122))^5)+E122*(1+Q122)^5*(1+R122)/((N122-R122)*(1+N122)^5)),""))</f>
        <v/>
      </c>
      <c r="T122" s="9">
        <f>IF(OR(E122="",N122=""),"",IFERROR((C122*N122-E122)/(C122+E122),""))</f>
        <v/>
      </c>
      <c r="U122" s="9">
        <f>IF(OR(H122="",T122=""),"",IFERROR(MIN(MAX(H122,'Léeme'!$B$17),'Léeme'!$B$18)-T122,""))</f>
        <v/>
      </c>
      <c r="V122" s="16">
        <f>IF(OR(I122="",M122="",L122=""),"",IFERROR((I122/M122-J122-K122)/L122,""))</f>
        <v/>
      </c>
      <c r="W122" s="11">
        <f>IFERROR(P122/C122-1,"")</f>
        <v/>
      </c>
      <c r="X122" s="11">
        <f>IFERROR(S122/C122-1,"")</f>
        <v/>
      </c>
      <c r="Y122" s="11">
        <f>IFERROR(V122/C122-1,"")</f>
        <v/>
      </c>
      <c r="Z122" s="3">
        <f>IF(OR(W122="",ISTEXT(W122)),"sin dato",IF(W122&gt;='Léeme'!$B$19,"barato",IF(W122&lt;=-'Léeme'!$B$19,"caro","medio")))</f>
        <v/>
      </c>
      <c r="AA122" s="3">
        <f>IF(OR(X122="",ISTEXT(X122)),"sin dato",IF(X122&gt;='Léeme'!$B$19,"barato",IF(X122&lt;=-'Léeme'!$B$19,"caro","medio")))</f>
        <v/>
      </c>
      <c r="AB122" s="3">
        <f>IF(OR(U122="",ISTEXT(U122)),"sin dato",IF(U122&gt;='Léeme'!$B$20,"barato",IF(U122&lt;=-'Léeme'!$B$20,"caro","medio")))</f>
        <v/>
      </c>
      <c r="AC122" s="3">
        <f>IF(OR(Y122="",ISTEXT(Y122)),"sin dato",IF(Y122&gt;='Léeme'!$B$19,"barato",IF(Y122&lt;=-'Léeme'!$B$19,"caro","medio")))</f>
        <v/>
      </c>
      <c r="AD122" s="7" t="n">
        <v>0.03795379537953796</v>
      </c>
      <c r="AE122" s="7" t="n">
        <v>0.02014652014652015</v>
      </c>
      <c r="AF122" s="7" t="n">
        <v>0.02014652014652015</v>
      </c>
      <c r="AG122" s="7" t="n">
        <v>0.80859375</v>
      </c>
    </row>
    <row r="123">
      <c r="A123" s="3" t="inlineStr">
        <is>
          <t>2025-T1</t>
        </is>
      </c>
      <c r="B123" s="13" t="n">
        <v>45747</v>
      </c>
      <c r="C123" s="14" t="n">
        <v>58.009998</v>
      </c>
      <c r="D123" s="14" t="n">
        <v>3.216</v>
      </c>
      <c r="E123" s="14" t="n">
        <v>3.12</v>
      </c>
      <c r="F123" s="5" t="n">
        <v>0.0423</v>
      </c>
      <c r="G123" s="5" t="n">
        <v>0.02838509754242602</v>
      </c>
      <c r="H123" s="5" t="n">
        <v>0</v>
      </c>
      <c r="I123" s="17" t="n">
        <v>4975960000</v>
      </c>
      <c r="J123" s="17" t="n">
        <v>24651831000</v>
      </c>
      <c r="K123" s="17" t="n">
        <v>0</v>
      </c>
      <c r="L123" s="17" t="n">
        <v>891511000</v>
      </c>
      <c r="M123" s="5" t="n">
        <v>0.07099999999999999</v>
      </c>
      <c r="N123" s="9">
        <f>IF(F123="","",F123+'Léeme'!$B$10)</f>
        <v/>
      </c>
      <c r="O123" s="9">
        <f>IF(OR(G123="",N123=""),"",MIN(MAX(G123,'Léeme'!$B$11),'Léeme'!$B$12,N123-'Léeme'!$B$16))</f>
        <v/>
      </c>
      <c r="P123" s="16">
        <f>IF(OR(D123="",O123=""),"",IFERROR(IF(D123&lt;=0,"",D123*(1+O123)/(N123-O123)),""))</f>
        <v/>
      </c>
      <c r="Q123" s="9">
        <f>IF(H123="","",MIN(MAX(H123,'Léeme'!$B$13),'Léeme'!$B$14))</f>
        <v/>
      </c>
      <c r="R123" s="9">
        <f>IF(N123="","",MIN('Léeme'!$B$15,N123-'Léeme'!$B$16))</f>
        <v/>
      </c>
      <c r="S123" s="16">
        <f>IF(OR(E123="",Q123=""),"",IFERROR(IF(E123&lt;=0,"",E123*(((1+Q123)/(1+N123))+((1+Q123)/(1+N123))^2+((1+Q123)/(1+N123))^3+((1+Q123)/(1+N123))^4+((1+Q123)/(1+N123))^5)+E123*(1+Q123)^5*(1+R123)/((N123-R123)*(1+N123)^5)),""))</f>
        <v/>
      </c>
      <c r="T123" s="9">
        <f>IF(OR(E123="",N123=""),"",IFERROR((C123*N123-E123)/(C123+E123),""))</f>
        <v/>
      </c>
      <c r="U123" s="9">
        <f>IF(OR(H123="",T123=""),"",IFERROR(MIN(MAX(H123,'Léeme'!$B$17),'Léeme'!$B$18)-T123,""))</f>
        <v/>
      </c>
      <c r="V123" s="16">
        <f>IF(OR(I123="",M123="",L123=""),"",IFERROR((I123/M123-J123-K123)/L123,""))</f>
        <v/>
      </c>
      <c r="W123" s="11">
        <f>IFERROR(P123/C123-1,"")</f>
        <v/>
      </c>
      <c r="X123" s="11">
        <f>IFERROR(S123/C123-1,"")</f>
        <v/>
      </c>
      <c r="Y123" s="11">
        <f>IFERROR(V123/C123-1,"")</f>
        <v/>
      </c>
      <c r="Z123" s="3">
        <f>IF(OR(W123="",ISTEXT(W123)),"sin dato",IF(W123&gt;='Léeme'!$B$19,"barato",IF(W123&lt;=-'Léeme'!$B$19,"caro","medio")))</f>
        <v/>
      </c>
      <c r="AA123" s="3">
        <f>IF(OR(X123="",ISTEXT(X123)),"sin dato",IF(X123&gt;='Léeme'!$B$19,"barato",IF(X123&lt;=-'Léeme'!$B$19,"caro","medio")))</f>
        <v/>
      </c>
      <c r="AB123" s="3">
        <f>IF(OR(U123="",ISTEXT(U123)),"sin dato",IF(U123&gt;='Léeme'!$B$20,"barato",IF(U123&lt;=-'Léeme'!$B$20,"caro","medio")))</f>
        <v/>
      </c>
      <c r="AC123" s="3">
        <f>IF(OR(Y123="",ISTEXT(Y123)),"sin dato",IF(Y123&gt;='Léeme'!$B$19,"barato",IF(Y123&lt;=-'Léeme'!$B$19,"caro","medio")))</f>
        <v/>
      </c>
      <c r="AD123" s="7" t="n">
        <v>0.02777777777777778</v>
      </c>
      <c r="AE123" s="7" t="n">
        <v>0.01992753623188406</v>
      </c>
      <c r="AF123" s="7" t="n">
        <v>0.01992753623188406</v>
      </c>
      <c r="AG123" s="7" t="n">
        <v>0.6755725190839694</v>
      </c>
    </row>
    <row r="124">
      <c r="A124" s="3" t="inlineStr">
        <is>
          <t>2025-T2</t>
        </is>
      </c>
      <c r="B124" s="13" t="n">
        <v>45838</v>
      </c>
      <c r="C124" s="14" t="n">
        <v>57.610001</v>
      </c>
      <c r="D124" s="14" t="n">
        <v>3.228</v>
      </c>
      <c r="E124" s="14" t="n">
        <v>3.12</v>
      </c>
      <c r="F124" s="5" t="n">
        <v>0.0424</v>
      </c>
      <c r="G124" s="5" t="n">
        <v>0.02827028214381255</v>
      </c>
      <c r="H124" s="5" t="n">
        <v>0</v>
      </c>
      <c r="I124" s="17" t="n">
        <v>5095296000</v>
      </c>
      <c r="J124" s="17" t="n">
        <v>26696819000</v>
      </c>
      <c r="K124" s="17" t="n">
        <v>0</v>
      </c>
      <c r="L124" s="17" t="n">
        <v>903062000</v>
      </c>
      <c r="M124" s="5" t="n">
        <v>0.07099999999999999</v>
      </c>
      <c r="N124" s="9">
        <f>IF(F124="","",F124+'Léeme'!$B$10)</f>
        <v/>
      </c>
      <c r="O124" s="9">
        <f>IF(OR(G124="",N124=""),"",MIN(MAX(G124,'Léeme'!$B$11),'Léeme'!$B$12,N124-'Léeme'!$B$16))</f>
        <v/>
      </c>
      <c r="P124" s="16">
        <f>IF(OR(D124="",O124=""),"",IFERROR(IF(D124&lt;=0,"",D124*(1+O124)/(N124-O124)),""))</f>
        <v/>
      </c>
      <c r="Q124" s="9">
        <f>IF(H124="","",MIN(MAX(H124,'Léeme'!$B$13),'Léeme'!$B$14))</f>
        <v/>
      </c>
      <c r="R124" s="9">
        <f>IF(N124="","",MIN('Léeme'!$B$15,N124-'Léeme'!$B$16))</f>
        <v/>
      </c>
      <c r="S124" s="16">
        <f>IF(OR(E124="",Q124=""),"",IFERROR(IF(E124&lt;=0,"",E124*(((1+Q124)/(1+N124))+((1+Q124)/(1+N124))^2+((1+Q124)/(1+N124))^3+((1+Q124)/(1+N124))^4+((1+Q124)/(1+N124))^5)+E124*(1+Q124)^5*(1+R124)/((N124-R124)*(1+N124)^5)),""))</f>
        <v/>
      </c>
      <c r="T124" s="9">
        <f>IF(OR(E124="",N124=""),"",IFERROR((C124*N124-E124)/(C124+E124),""))</f>
        <v/>
      </c>
      <c r="U124" s="9">
        <f>IF(OR(H124="",T124=""),"",IFERROR(MIN(MAX(H124,'Léeme'!$B$17),'Léeme'!$B$18)-T124,""))</f>
        <v/>
      </c>
      <c r="V124" s="16">
        <f>IF(OR(I124="",M124="",L124=""),"",IFERROR((I124/M124-J124-K124)/L124,""))</f>
        <v/>
      </c>
      <c r="W124" s="11">
        <f>IFERROR(P124/C124-1,"")</f>
        <v/>
      </c>
      <c r="X124" s="11">
        <f>IFERROR(S124/C124-1,"")</f>
        <v/>
      </c>
      <c r="Y124" s="11">
        <f>IFERROR(V124/C124-1,"")</f>
        <v/>
      </c>
      <c r="Z124" s="3">
        <f>IF(OR(W124="",ISTEXT(W124)),"sin dato",IF(W124&gt;='Léeme'!$B$19,"barato",IF(W124&lt;=-'Léeme'!$B$19,"caro","medio")))</f>
        <v/>
      </c>
      <c r="AA124" s="3">
        <f>IF(OR(X124="",ISTEXT(X124)),"sin dato",IF(X124&gt;='Léeme'!$B$19,"barato",IF(X124&lt;=-'Léeme'!$B$19,"caro","medio")))</f>
        <v/>
      </c>
      <c r="AB124" s="3">
        <f>IF(OR(U124="",ISTEXT(U124)),"sin dato",IF(U124&gt;='Léeme'!$B$20,"barato",IF(U124&lt;=-'Léeme'!$B$20,"caro","medio")))</f>
        <v/>
      </c>
      <c r="AC124" s="3">
        <f>IF(OR(Y124="",ISTEXT(Y124)),"sin dato",IF(Y124&gt;='Léeme'!$B$19,"barato",IF(Y124&lt;=-'Léeme'!$B$19,"caro","medio")))</f>
        <v/>
      </c>
      <c r="AD124" s="7" t="n">
        <v>0.04045307443365696</v>
      </c>
      <c r="AE124" s="7" t="n">
        <v>0.02688172043010753</v>
      </c>
      <c r="AF124" s="7" t="n">
        <v>0.02688172043010753</v>
      </c>
      <c r="AG124" s="7" t="n">
        <v>0.6380597014925373</v>
      </c>
    </row>
    <row r="125">
      <c r="A125" s="3" t="inlineStr">
        <is>
          <t>2025-T3</t>
        </is>
      </c>
      <c r="B125" s="13" t="n">
        <v>45930</v>
      </c>
      <c r="C125" s="14" t="n">
        <v>60.790001</v>
      </c>
      <c r="D125" s="14" t="n">
        <v>3.228</v>
      </c>
      <c r="E125" s="14" t="n">
        <v>3.12</v>
      </c>
      <c r="F125" s="5" t="n">
        <v>0.0416</v>
      </c>
      <c r="G125" s="5" t="n">
        <v>0.02827028214381255</v>
      </c>
      <c r="H125" s="5" t="n">
        <v>0</v>
      </c>
      <c r="I125" s="17" t="n">
        <v>5211824000</v>
      </c>
      <c r="J125" s="17" t="n">
        <v>27551584000</v>
      </c>
      <c r="K125" s="17" t="n">
        <v>0</v>
      </c>
      <c r="L125" s="17" t="n">
        <v>914285000</v>
      </c>
      <c r="M125" s="5" t="n">
        <v>0.07099999999999999</v>
      </c>
      <c r="N125" s="9">
        <f>IF(F125="","",F125+'Léeme'!$B$10)</f>
        <v/>
      </c>
      <c r="O125" s="9">
        <f>IF(OR(G125="",N125=""),"",MIN(MAX(G125,'Léeme'!$B$11),'Léeme'!$B$12,N125-'Léeme'!$B$16))</f>
        <v/>
      </c>
      <c r="P125" s="16">
        <f>IF(OR(D125="",O125=""),"",IFERROR(IF(D125&lt;=0,"",D125*(1+O125)/(N125-O125)),""))</f>
        <v/>
      </c>
      <c r="Q125" s="9">
        <f>IF(H125="","",MIN(MAX(H125,'Léeme'!$B$13),'Léeme'!$B$14))</f>
        <v/>
      </c>
      <c r="R125" s="9">
        <f>IF(N125="","",MIN('Léeme'!$B$15,N125-'Léeme'!$B$16))</f>
        <v/>
      </c>
      <c r="S125" s="16">
        <f>IF(OR(E125="",Q125=""),"",IFERROR(IF(E125&lt;=0,"",E125*(((1+Q125)/(1+N125))+((1+Q125)/(1+N125))^2+((1+Q125)/(1+N125))^3+((1+Q125)/(1+N125))^4+((1+Q125)/(1+N125))^5)+E125*(1+Q125)^5*(1+R125)/((N125-R125)*(1+N125)^5)),""))</f>
        <v/>
      </c>
      <c r="T125" s="9">
        <f>IF(OR(E125="",N125=""),"",IFERROR((C125*N125-E125)/(C125+E125),""))</f>
        <v/>
      </c>
      <c r="U125" s="9">
        <f>IF(OR(H125="",T125=""),"",IFERROR(MIN(MAX(H125,'Léeme'!$B$17),'Léeme'!$B$18)-T125,""))</f>
        <v/>
      </c>
      <c r="V125" s="16">
        <f>IF(OR(I125="",M125="",L125=""),"",IFERROR((I125/M125-J125-K125)/L125,""))</f>
        <v/>
      </c>
      <c r="W125" s="11">
        <f>IFERROR(P125/C125-1,"")</f>
        <v/>
      </c>
      <c r="X125" s="11">
        <f>IFERROR(S125/C125-1,"")</f>
        <v/>
      </c>
      <c r="Y125" s="11">
        <f>IFERROR(V125/C125-1,"")</f>
        <v/>
      </c>
      <c r="Z125" s="3">
        <f>IF(OR(W125="",ISTEXT(W125)),"sin dato",IF(W125&gt;='Léeme'!$B$19,"barato",IF(W125&lt;=-'Léeme'!$B$19,"caro","medio")))</f>
        <v/>
      </c>
      <c r="AA125" s="3">
        <f>IF(OR(X125="",ISTEXT(X125)),"sin dato",IF(X125&gt;='Léeme'!$B$19,"barato",IF(X125&lt;=-'Léeme'!$B$19,"caro","medio")))</f>
        <v/>
      </c>
      <c r="AB125" s="3">
        <f>IF(OR(U125="",ISTEXT(U125)),"sin dato",IF(U125&gt;='Léeme'!$B$20,"barato",IF(U125&lt;=-'Léeme'!$B$20,"caro","medio")))</f>
        <v/>
      </c>
      <c r="AC125" s="3">
        <f>IF(OR(Y125="",ISTEXT(Y125)),"sin dato",IF(Y125&gt;='Léeme'!$B$19,"barato",IF(Y125&lt;=-'Léeme'!$B$19,"caro","medio")))</f>
        <v/>
      </c>
      <c r="AD125" s="7" t="n">
        <v>0.02083333333333333</v>
      </c>
      <c r="AE125" s="7" t="n">
        <v>0.001773049645390071</v>
      </c>
      <c r="AF125" s="7" t="n">
        <v>0.001773049645390071</v>
      </c>
      <c r="AG125" s="7" t="n">
        <v>0.5437956204379562</v>
      </c>
    </row>
    <row r="126">
      <c r="A126" s="3" t="inlineStr">
        <is>
          <t>2025-T4</t>
        </is>
      </c>
      <c r="B126" s="13" t="n">
        <v>46022</v>
      </c>
      <c r="C126" s="14" t="n">
        <v>56.369999</v>
      </c>
      <c r="D126" s="14" t="n">
        <v>3.24</v>
      </c>
      <c r="E126" s="14" t="n">
        <v>3.12</v>
      </c>
      <c r="F126" s="5" t="n">
        <v>0.0418</v>
      </c>
      <c r="G126" s="5" t="n">
        <v>0.02815639324725039</v>
      </c>
      <c r="H126" s="5" t="n">
        <v>0</v>
      </c>
      <c r="I126" s="17" t="n">
        <v>5455724000</v>
      </c>
      <c r="J126" s="17" t="n">
        <v>27954584000</v>
      </c>
      <c r="K126" s="17" t="n">
        <v>0</v>
      </c>
      <c r="L126" s="17" t="n">
        <v>919893000</v>
      </c>
      <c r="M126" s="5" t="n">
        <v>0.07099999999999999</v>
      </c>
      <c r="N126" s="9">
        <f>IF(F126="","",F126+'Léeme'!$B$10)</f>
        <v/>
      </c>
      <c r="O126" s="9">
        <f>IF(OR(G126="",N126=""),"",MIN(MAX(G126,'Léeme'!$B$11),'Léeme'!$B$12,N126-'Léeme'!$B$16))</f>
        <v/>
      </c>
      <c r="P126" s="16">
        <f>IF(OR(D126="",O126=""),"",IFERROR(IF(D126&lt;=0,"",D126*(1+O126)/(N126-O126)),""))</f>
        <v/>
      </c>
      <c r="Q126" s="9">
        <f>IF(H126="","",MIN(MAX(H126,'Léeme'!$B$13),'Léeme'!$B$14))</f>
        <v/>
      </c>
      <c r="R126" s="9">
        <f>IF(N126="","",MIN('Léeme'!$B$15,N126-'Léeme'!$B$16))</f>
        <v/>
      </c>
      <c r="S126" s="16">
        <f>IF(OR(E126="",Q126=""),"",IFERROR(IF(E126&lt;=0,"",E126*(((1+Q126)/(1+N126))+((1+Q126)/(1+N126))^2+((1+Q126)/(1+N126))^3+((1+Q126)/(1+N126))^4+((1+Q126)/(1+N126))^5)+E126*(1+Q126)^5*(1+R126)/((N126-R126)*(1+N126)^5)),""))</f>
        <v/>
      </c>
      <c r="T126" s="9">
        <f>IF(OR(E126="",N126=""),"",IFERROR((C126*N126-E126)/(C126+E126),""))</f>
        <v/>
      </c>
      <c r="U126" s="9">
        <f>IF(OR(H126="",T126=""),"",IFERROR(MIN(MAX(H126,'Léeme'!$B$17),'Léeme'!$B$18)-T126,""))</f>
        <v/>
      </c>
      <c r="V126" s="16">
        <f>IF(OR(I126="",M126="",L126=""),"",IFERROR((I126/M126-J126-K126)/L126,""))</f>
        <v/>
      </c>
      <c r="W126" s="11">
        <f>IFERROR(P126/C126-1,"")</f>
        <v/>
      </c>
      <c r="X126" s="11">
        <f>IFERROR(S126/C126-1,"")</f>
        <v/>
      </c>
      <c r="Y126" s="11">
        <f>IFERROR(V126/C126-1,"")</f>
        <v/>
      </c>
      <c r="Z126" s="3">
        <f>IF(OR(W126="",ISTEXT(W126)),"sin dato",IF(W126&gt;='Léeme'!$B$19,"barato",IF(W126&lt;=-'Léeme'!$B$19,"caro","medio")))</f>
        <v/>
      </c>
      <c r="AA126" s="3">
        <f>IF(OR(X126="",ISTEXT(X126)),"sin dato",IF(X126&gt;='Léeme'!$B$19,"barato",IF(X126&lt;=-'Léeme'!$B$19,"caro","medio")))</f>
        <v/>
      </c>
      <c r="AB126" s="3">
        <f>IF(OR(U126="",ISTEXT(U126)),"sin dato",IF(U126&gt;='Léeme'!$B$20,"barato",IF(U126&lt;=-'Léeme'!$B$20,"caro","medio")))</f>
        <v/>
      </c>
      <c r="AC126" s="3">
        <f>IF(OR(Y126="",ISTEXT(Y126)),"sin dato",IF(Y126&gt;='Léeme'!$B$19,"barato",IF(Y126&lt;=-'Léeme'!$B$19,"caro","medio")))</f>
        <v/>
      </c>
      <c r="AD126" s="7" t="n">
        <v>0.08412698412698413</v>
      </c>
      <c r="AE126" s="7" t="n">
        <v>0.06842105263157895</v>
      </c>
      <c r="AF126" s="7" t="n">
        <v>0.06140350877192982</v>
      </c>
      <c r="AG126" s="7" t="n">
        <v>0.8178571428571428</v>
      </c>
    </row>
    <row r="127">
      <c r="A127" s="3" t="inlineStr">
        <is>
          <t>2026-T1</t>
        </is>
      </c>
      <c r="B127" s="13" t="n">
        <v>46112</v>
      </c>
      <c r="C127" s="14" t="n">
        <v>61.18</v>
      </c>
      <c r="D127" s="14" t="n">
        <v>3.252</v>
      </c>
      <c r="E127" s="14" t="n">
        <v>4.25</v>
      </c>
      <c r="F127" s="5" t="n">
        <v>0.043</v>
      </c>
      <c r="G127" s="5" t="n">
        <v>0.02891686478407762</v>
      </c>
      <c r="H127" s="5" t="n">
        <v>0.06376786616906682</v>
      </c>
      <c r="I127" s="17" t="n">
        <v>5519464000</v>
      </c>
      <c r="J127" s="17" t="n">
        <v>28359895000</v>
      </c>
      <c r="K127" s="17" t="n">
        <v>0</v>
      </c>
      <c r="L127" s="17" t="n">
        <v>933975000</v>
      </c>
      <c r="M127" s="5" t="n">
        <v>0.073</v>
      </c>
      <c r="N127" s="9">
        <f>IF(F127="","",F127+'Léeme'!$B$10)</f>
        <v/>
      </c>
      <c r="O127" s="9">
        <f>IF(OR(G127="",N127=""),"",MIN(MAX(G127,'Léeme'!$B$11),'Léeme'!$B$12,N127-'Léeme'!$B$16))</f>
        <v/>
      </c>
      <c r="P127" s="16">
        <f>IF(OR(D127="",O127=""),"",IFERROR(IF(D127&lt;=0,"",D127*(1+O127)/(N127-O127)),""))</f>
        <v/>
      </c>
      <c r="Q127" s="9">
        <f>IF(H127="","",MIN(MAX(H127,'Léeme'!$B$13),'Léeme'!$B$14))</f>
        <v/>
      </c>
      <c r="R127" s="9">
        <f>IF(N127="","",MIN('Léeme'!$B$15,N127-'Léeme'!$B$16))</f>
        <v/>
      </c>
      <c r="S127" s="16">
        <f>IF(OR(E127="",Q127=""),"",IFERROR(IF(E127&lt;=0,"",E127*(((1+Q127)/(1+N127))+((1+Q127)/(1+N127))^2+((1+Q127)/(1+N127))^3+((1+Q127)/(1+N127))^4+((1+Q127)/(1+N127))^5)+E127*(1+Q127)^5*(1+R127)/((N127-R127)*(1+N127)^5)),""))</f>
        <v/>
      </c>
      <c r="T127" s="9">
        <f>IF(OR(E127="",N127=""),"",IFERROR((C127*N127-E127)/(C127+E127),""))</f>
        <v/>
      </c>
      <c r="U127" s="9">
        <f>IF(OR(H127="",T127=""),"",IFERROR(MIN(MAX(H127,'Léeme'!$B$17),'Léeme'!$B$18)-T127,""))</f>
        <v/>
      </c>
      <c r="V127" s="16">
        <f>IF(OR(I127="",M127="",L127=""),"",IFERROR((I127/M127-J127-K127)/L127,""))</f>
        <v/>
      </c>
      <c r="W127" s="11">
        <f>IFERROR(P127/C127-1,"")</f>
        <v/>
      </c>
      <c r="X127" s="11">
        <f>IFERROR(S127/C127-1,"")</f>
        <v/>
      </c>
      <c r="Y127" s="11">
        <f>IFERROR(V127/C127-1,"")</f>
        <v/>
      </c>
      <c r="Z127" s="3">
        <f>IF(OR(W127="",ISTEXT(W127)),"sin dato",IF(W127&gt;='Léeme'!$B$19,"barato",IF(W127&lt;=-'Léeme'!$B$19,"caro","medio")))</f>
        <v/>
      </c>
      <c r="AA127" s="3">
        <f>IF(OR(X127="",ISTEXT(X127)),"sin dato",IF(X127&gt;='Léeme'!$B$19,"barato",IF(X127&lt;=-'Léeme'!$B$19,"caro","medio")))</f>
        <v/>
      </c>
      <c r="AB127" s="3">
        <f>IF(OR(U127="",ISTEXT(U127)),"sin dato",IF(U127&gt;='Léeme'!$B$20,"barato",IF(U127&lt;=-'Léeme'!$B$20,"caro","medio")))</f>
        <v/>
      </c>
      <c r="AC127" s="3">
        <f>IF(OR(Y127="",ISTEXT(Y127)),"sin dato",IF(Y127&gt;='Léeme'!$B$19,"barato",IF(Y127&lt;=-'Léeme'!$B$19,"caro","medio")))</f>
        <v/>
      </c>
      <c r="AD127" s="7" t="n">
        <v>0.02358490566037736</v>
      </c>
      <c r="AE127" s="7" t="n">
        <v>0.484375</v>
      </c>
      <c r="AF127" s="7" t="n">
        <v>0.765625</v>
      </c>
      <c r="AG127" s="7" t="n">
        <v>0.534965034965035</v>
      </c>
    </row>
    <row r="128">
      <c r="A128" s="3" t="inlineStr">
        <is>
          <t>2026-T2</t>
        </is>
      </c>
      <c r="B128" s="13" t="n">
        <v>46203</v>
      </c>
      <c r="C128" s="14" t="n">
        <v>61.959999</v>
      </c>
      <c r="D128" s="14" t="n">
        <v>3.252</v>
      </c>
      <c r="E128" s="14" t="n">
        <v>4.25</v>
      </c>
      <c r="F128" s="5" t="n">
        <v>0.0444</v>
      </c>
      <c r="G128" s="5" t="n">
        <v>0.02804341966663748</v>
      </c>
      <c r="H128" s="5" t="n">
        <v>0.06376786616906682</v>
      </c>
      <c r="I128" s="17" t="n">
        <v>5727536000</v>
      </c>
      <c r="J128" s="17" t="n">
        <v>29255396000</v>
      </c>
      <c r="K128" s="17" t="n">
        <v>0</v>
      </c>
      <c r="L128" s="17" t="n">
        <v>932474000</v>
      </c>
      <c r="M128" s="5" t="n">
        <v>0.073</v>
      </c>
      <c r="N128" s="9">
        <f>IF(F128="","",F128+'Léeme'!$B$10)</f>
        <v/>
      </c>
      <c r="O128" s="9">
        <f>IF(OR(G128="",N128=""),"",MIN(MAX(G128,'Léeme'!$B$11),'Léeme'!$B$12,N128-'Léeme'!$B$16))</f>
        <v/>
      </c>
      <c r="P128" s="16">
        <f>IF(OR(D128="",O128=""),"",IFERROR(IF(D128&lt;=0,"",D128*(1+O128)/(N128-O128)),""))</f>
        <v/>
      </c>
      <c r="Q128" s="9">
        <f>IF(H128="","",MIN(MAX(H128,'Léeme'!$B$13),'Léeme'!$B$14))</f>
        <v/>
      </c>
      <c r="R128" s="9">
        <f>IF(N128="","",MIN('Léeme'!$B$15,N128-'Léeme'!$B$16))</f>
        <v/>
      </c>
      <c r="S128" s="16">
        <f>IF(OR(E128="",Q128=""),"",IFERROR(IF(E128&lt;=0,"",E128*(((1+Q128)/(1+N128))+((1+Q128)/(1+N128))^2+((1+Q128)/(1+N128))^3+((1+Q128)/(1+N128))^4+((1+Q128)/(1+N128))^5)+E128*(1+Q128)^5*(1+R128)/((N128-R128)*(1+N128)^5)),""))</f>
        <v/>
      </c>
      <c r="T128" s="9">
        <f>IF(OR(E128="",N128=""),"",IFERROR((C128*N128-E128)/(C128+E128),""))</f>
        <v/>
      </c>
      <c r="U128" s="9">
        <f>IF(OR(H128="",T128=""),"",IFERROR(MIN(MAX(H128,'Léeme'!$B$17),'Léeme'!$B$18)-T128,""))</f>
        <v/>
      </c>
      <c r="V128" s="16">
        <f>IF(OR(I128="",M128="",L128=""),"",IFERROR((I128/M128-J128-K128)/L128,""))</f>
        <v/>
      </c>
      <c r="W128" s="11">
        <f>IFERROR(P128/C128-1,"")</f>
        <v/>
      </c>
      <c r="X128" s="11">
        <f>IFERROR(S128/C128-1,"")</f>
        <v/>
      </c>
      <c r="Y128" s="11">
        <f>IFERROR(V128/C128-1,"")</f>
        <v/>
      </c>
      <c r="Z128" s="3">
        <f>IF(OR(W128="",ISTEXT(W128)),"sin dato",IF(W128&gt;='Léeme'!$B$19,"barato",IF(W128&lt;=-'Léeme'!$B$19,"caro","medio")))</f>
        <v/>
      </c>
      <c r="AA128" s="3">
        <f>IF(OR(X128="",ISTEXT(X128)),"sin dato",IF(X128&gt;='Léeme'!$B$19,"barato",IF(X128&lt;=-'Léeme'!$B$19,"caro","medio")))</f>
        <v/>
      </c>
      <c r="AB128" s="3">
        <f>IF(OR(U128="",ISTEXT(U128)),"sin dato",IF(U128&gt;='Léeme'!$B$20,"barato",IF(U128&lt;=-'Léeme'!$B$20,"caro","medio")))</f>
        <v/>
      </c>
      <c r="AC128" s="3">
        <f>IF(OR(Y128="",ISTEXT(Y128)),"sin dato",IF(Y128&gt;='Léeme'!$B$19,"barato",IF(Y128&lt;=-'Léeme'!$B$19,"caro","medio")))</f>
        <v/>
      </c>
      <c r="AD128" s="7" t="n">
        <v>0.01090342679127726</v>
      </c>
      <c r="AE128" s="7" t="n">
        <v>0.4518900343642612</v>
      </c>
      <c r="AF128" s="7" t="n">
        <v>0.7474226804123711</v>
      </c>
      <c r="AG128" s="7" t="n">
        <v>0.5993150684931506</v>
      </c>
    </row>
    <row r="129">
      <c r="A129" s="3" t="inlineStr">
        <is>
          <t>2026-T3</t>
        </is>
      </c>
      <c r="B129" s="13" t="n">
        <v>46293</v>
      </c>
      <c r="C129" s="14" t="n">
        <v>55.330002</v>
      </c>
      <c r="D129" s="14" t="n">
        <v>3.252</v>
      </c>
      <c r="E129" s="14" t="n">
        <v>4.25</v>
      </c>
      <c r="F129" s="5" t="n">
        <v>0.0524</v>
      </c>
      <c r="G129" s="5" t="n">
        <v>0.02804341966663748</v>
      </c>
      <c r="H129" s="5" t="n">
        <v>0.06376786616906682</v>
      </c>
      <c r="I129" s="17" t="n">
        <v>5741088000</v>
      </c>
      <c r="J129" s="17" t="n">
        <v>30099005000</v>
      </c>
      <c r="K129" s="17" t="n">
        <v>0</v>
      </c>
      <c r="L129" s="17" t="n">
        <v>946202000</v>
      </c>
      <c r="M129" s="5" t="n">
        <v>0.073</v>
      </c>
      <c r="N129" s="9">
        <f>IF(F129="","",F129+'Léeme'!$B$10)</f>
        <v/>
      </c>
      <c r="O129" s="9">
        <f>IF(OR(G129="",N129=""),"",MIN(MAX(G129,'Léeme'!$B$11),'Léeme'!$B$12,N129-'Léeme'!$B$16))</f>
        <v/>
      </c>
      <c r="P129" s="16">
        <f>IF(OR(D129="",O129=""),"",IFERROR(IF(D129&lt;=0,"",D129*(1+O129)/(N129-O129)),""))</f>
        <v/>
      </c>
      <c r="Q129" s="9">
        <f>IF(H129="","",MIN(MAX(H129,'Léeme'!$B$13),'Léeme'!$B$14))</f>
        <v/>
      </c>
      <c r="R129" s="9">
        <f>IF(N129="","",MIN('Léeme'!$B$15,N129-'Léeme'!$B$16))</f>
        <v/>
      </c>
      <c r="S129" s="16">
        <f>IF(OR(E129="",Q129=""),"",IFERROR(IF(E129&lt;=0,"",E129*(((1+Q129)/(1+N129))+((1+Q129)/(1+N129))^2+((1+Q129)/(1+N129))^3+((1+Q129)/(1+N129))^4+((1+Q129)/(1+N129))^5)+E129*(1+Q129)^5*(1+R129)/((N129-R129)*(1+N129)^5)),""))</f>
        <v/>
      </c>
      <c r="T129" s="9">
        <f>IF(OR(E129="",N129=""),"",IFERROR((C129*N129-E129)/(C129+E129),""))</f>
        <v/>
      </c>
      <c r="U129" s="9">
        <f>IF(OR(H129="",T129=""),"",IFERROR(MIN(MAX(H129,'Léeme'!$B$17),'Léeme'!$B$18)-T129,""))</f>
        <v/>
      </c>
      <c r="V129" s="16">
        <f>IF(OR(I129="",M129="",L129=""),"",IFERROR((I129/M129-J129-K129)/L129,""))</f>
        <v/>
      </c>
      <c r="W129" s="11">
        <f>IFERROR(P129/C129-1,"")</f>
        <v/>
      </c>
      <c r="X129" s="11">
        <f>IFERROR(S129/C129-1,"")</f>
        <v/>
      </c>
      <c r="Y129" s="11">
        <f>IFERROR(V129/C129-1,"")</f>
        <v/>
      </c>
      <c r="Z129" s="3">
        <f>IF(OR(W129="",ISTEXT(W129)),"sin dato",IF(W129&gt;='Léeme'!$B$19,"barato",IF(W129&lt;=-'Léeme'!$B$19,"caro","medio")))</f>
        <v/>
      </c>
      <c r="AA129" s="3">
        <f>IF(OR(X129="",ISTEXT(X129)),"sin dato",IF(X129&gt;='Léeme'!$B$19,"barato",IF(X129&lt;=-'Léeme'!$B$19,"caro","medio")))</f>
        <v/>
      </c>
      <c r="AB129" s="3">
        <f>IF(OR(U129="",ISTEXT(U129)),"sin dato",IF(U129&gt;='Léeme'!$B$20,"barato",IF(U129&lt;=-'Léeme'!$B$20,"caro","medio")))</f>
        <v/>
      </c>
      <c r="AC129" s="3">
        <f>IF(OR(Y129="",ISTEXT(Y129)),"sin dato",IF(Y129&gt;='Léeme'!$B$19,"barato",IF(Y129&lt;=-'Léeme'!$B$19,"caro","medio")))</f>
        <v/>
      </c>
      <c r="AD129" s="7" t="n">
        <v>0.007716049382716049</v>
      </c>
      <c r="AE129" s="7" t="n">
        <v>0.4370748299319728</v>
      </c>
      <c r="AF129" s="7" t="n">
        <v>0.7534013605442177</v>
      </c>
      <c r="AG129" s="7" t="n">
        <v>0.7953020134228188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2" t="inlineStr">
        <is>
          <t>Trimestre</t>
        </is>
      </c>
      <c r="B1" s="2" t="inlineStr">
        <is>
          <t>Fecha</t>
        </is>
      </c>
      <c r="C1" s="2" t="inlineStr">
        <is>
          <t>Precio</t>
        </is>
      </c>
      <c r="D1" s="2" t="inlineStr">
        <is>
          <t>Dividendo anualizado</t>
        </is>
      </c>
      <c r="E1" s="2" t="inlineStr">
        <is>
          <t>Flujo por acción, 12 meses</t>
        </is>
      </c>
      <c r="F1" s="2" t="inlineStr">
        <is>
          <t>Treasury 10 años</t>
        </is>
      </c>
      <c r="G1" s="2" t="inlineStr">
        <is>
          <t>Crecimiento del dividendo, 5 años</t>
        </is>
      </c>
      <c r="H1" s="2" t="inlineStr">
        <is>
          <t>Crecimiento del flujo, 5 años (sin acotar)</t>
        </is>
      </c>
      <c r="I1" s="2" t="inlineStr">
        <is>
          <t>NOI anualizado (USD)</t>
        </is>
      </c>
      <c r="J1" s="2" t="inlineStr">
        <is>
          <t>Deuda neta (USD)</t>
        </is>
      </c>
      <c r="K1" s="2" t="inlineStr">
        <is>
          <t>Preferentes (USD)</t>
        </is>
      </c>
      <c r="L1" s="2" t="inlineStr">
        <is>
          <t>Acciones</t>
        </is>
      </c>
      <c r="M1" s="2" t="inlineStr">
        <is>
          <t>Cap rate de compras</t>
        </is>
      </c>
      <c r="N1" s="2" t="inlineStr">
        <is>
          <t>Tasa de descuento r</t>
        </is>
      </c>
      <c r="O1" s="2" t="inlineStr">
        <is>
          <t>g del DDM</t>
        </is>
      </c>
      <c r="P1" s="2" t="inlineStr">
        <is>
          <t>Valor DDM</t>
        </is>
      </c>
      <c r="Q1" s="2" t="inlineStr">
        <is>
          <t>g de los 5 años del DCF</t>
        </is>
      </c>
      <c r="R1" s="2" t="inlineStr">
        <is>
          <t>g perpetuo del DCF</t>
        </is>
      </c>
      <c r="S1" s="2" t="inlineStr">
        <is>
          <t>Valor DCF</t>
        </is>
      </c>
      <c r="T1" s="2" t="inlineStr">
        <is>
          <t>g implícito en el precio</t>
        </is>
      </c>
      <c r="U1" s="2" t="inlineStr">
        <is>
          <t>Entregado − implícito</t>
        </is>
      </c>
      <c r="V1" s="2" t="inlineStr">
        <is>
          <t>NAV por acción</t>
        </is>
      </c>
      <c r="W1" s="2" t="inlineStr">
        <is>
          <t>DDM ÷ precio − 1</t>
        </is>
      </c>
      <c r="X1" s="2" t="inlineStr">
        <is>
          <t>DCF ÷ precio − 1</t>
        </is>
      </c>
      <c r="Y1" s="2" t="inlineStr">
        <is>
          <t>NAV ÷ precio − 1</t>
        </is>
      </c>
      <c r="Z1" s="2" t="inlineStr">
        <is>
          <t>Señal DDM</t>
        </is>
      </c>
      <c r="AA1" s="2" t="inlineStr">
        <is>
          <t>Señal DCF</t>
        </is>
      </c>
      <c r="AB1" s="2" t="inlineStr">
        <is>
          <t>Señal crecimiento</t>
        </is>
      </c>
      <c r="AC1" s="2" t="inlineStr">
        <is>
          <t>Señal NAV</t>
        </is>
      </c>
      <c r="AD1" s="2" t="inlineStr">
        <is>
          <t>Percentil: DDM (Gordon sobre el dividendo)</t>
        </is>
      </c>
      <c r="AE1" s="2" t="inlineStr">
        <is>
          <t>Percentil: DCF del flujo en dos etapas</t>
        </is>
      </c>
      <c r="AF1" s="2" t="inlineStr">
        <is>
          <t>Percentil: Crecimiento entregado contra implícito</t>
        </is>
      </c>
      <c r="AG1" s="2" t="inlineStr">
        <is>
          <t>Percentil: NAV aproximado</t>
        </is>
      </c>
    </row>
    <row r="2">
      <c r="A2" s="3" t="inlineStr">
        <is>
          <t>1998-T1</t>
        </is>
      </c>
      <c r="B2" s="13" t="n">
        <v>35885</v>
      </c>
      <c r="C2" s="14" t="n">
        <v>20.125</v>
      </c>
      <c r="D2" s="14" t="n">
        <v>1.648</v>
      </c>
      <c r="F2" s="5" t="n">
        <v>0.0567</v>
      </c>
      <c r="N2" s="9">
        <f>IF(F2="","",F2+'Léeme'!$B$10)</f>
        <v/>
      </c>
      <c r="O2" s="9">
        <f>IF(OR(G2="",N2=""),"",MIN(MAX(G2,'Léeme'!$B$11),'Léeme'!$B$12,N2-'Léeme'!$B$16))</f>
        <v/>
      </c>
      <c r="P2" s="16">
        <f>IF(OR(D2="",O2=""),"",IFERROR(IF(D2&lt;=0,"",D2*(1+O2)/(N2-O2)),""))</f>
        <v/>
      </c>
      <c r="Q2" s="9">
        <f>IF(H2="","",MIN(MAX(H2,'Léeme'!$B$13),'Léeme'!$B$14))</f>
        <v/>
      </c>
      <c r="R2" s="9">
        <f>IF(N2="","",MIN('Léeme'!$B$15,N2-'Léeme'!$B$16))</f>
        <v/>
      </c>
      <c r="S2" s="16">
        <f>IF(OR(E2="",Q2=""),"",IFERROR(IF(E2&lt;=0,"",E2*(((1+Q2)/(1+N2))+((1+Q2)/(1+N2))^2+((1+Q2)/(1+N2))^3+((1+Q2)/(1+N2))^4+((1+Q2)/(1+N2))^5)+E2*(1+Q2)^5*(1+R2)/((N2-R2)*(1+N2)^5)),""))</f>
        <v/>
      </c>
      <c r="T2" s="9">
        <f>IF(OR(E2="",N2=""),"",IFERROR((C2*N2-E2)/(C2+E2),""))</f>
        <v/>
      </c>
      <c r="U2" s="9">
        <f>IF(OR(H2="",T2=""),"",IFERROR(MIN(MAX(H2,'Léeme'!$B$17),'Léeme'!$B$18)-T2,""))</f>
        <v/>
      </c>
      <c r="V2" s="16">
        <f>IF(OR(I2="",M2="",L2=""),"",IFERROR((I2/M2-J2-K2)/L2,""))</f>
        <v/>
      </c>
      <c r="W2" s="11">
        <f>IFERROR(P2/C2-1,"")</f>
        <v/>
      </c>
      <c r="X2" s="11">
        <f>IFERROR(S2/C2-1,"")</f>
        <v/>
      </c>
      <c r="Y2" s="11">
        <f>IFERROR(V2/C2-1,"")</f>
        <v/>
      </c>
      <c r="Z2" s="3">
        <f>IF(OR(W2="",ISTEXT(W2)),"sin dato",IF(W2&gt;='Léeme'!$B$19,"barato",IF(W2&lt;=-'Léeme'!$B$19,"caro","medio")))</f>
        <v/>
      </c>
      <c r="AA2" s="3">
        <f>IF(OR(X2="",ISTEXT(X2)),"sin dato",IF(X2&gt;='Léeme'!$B$19,"barato",IF(X2&lt;=-'Léeme'!$B$19,"caro","medio")))</f>
        <v/>
      </c>
      <c r="AB2" s="3">
        <f>IF(OR(U2="",ISTEXT(U2)),"sin dato",IF(U2&gt;='Léeme'!$B$20,"barato",IF(U2&lt;=-'Léeme'!$B$20,"caro","medio")))</f>
        <v/>
      </c>
      <c r="AC2" s="3">
        <f>IF(OR(Y2="",ISTEXT(Y2)),"sin dato",IF(Y2&gt;='Léeme'!$B$19,"barato",IF(Y2&lt;=-'Léeme'!$B$19,"caro","medio")))</f>
        <v/>
      </c>
      <c r="AD2" s="7" t="n"/>
      <c r="AE2" s="7" t="n"/>
      <c r="AF2" s="7" t="n"/>
      <c r="AG2" s="7" t="n"/>
    </row>
    <row r="3">
      <c r="A3" s="3" t="inlineStr">
        <is>
          <t>1998-T2</t>
        </is>
      </c>
      <c r="B3" s="13" t="n">
        <v>35976</v>
      </c>
      <c r="C3" s="14" t="n">
        <v>19.75</v>
      </c>
      <c r="D3" s="14" t="n">
        <v>1.648</v>
      </c>
      <c r="F3" s="5" t="n">
        <v>0.0544</v>
      </c>
      <c r="N3" s="9">
        <f>IF(F3="","",F3+'Léeme'!$B$10)</f>
        <v/>
      </c>
      <c r="O3" s="9">
        <f>IF(OR(G3="",N3=""),"",MIN(MAX(G3,'Léeme'!$B$11),'Léeme'!$B$12,N3-'Léeme'!$B$16))</f>
        <v/>
      </c>
      <c r="P3" s="16">
        <f>IF(OR(D3="",O3=""),"",IFERROR(IF(D3&lt;=0,"",D3*(1+O3)/(N3-O3)),""))</f>
        <v/>
      </c>
      <c r="Q3" s="9">
        <f>IF(H3="","",MIN(MAX(H3,'Léeme'!$B$13),'Léeme'!$B$14))</f>
        <v/>
      </c>
      <c r="R3" s="9">
        <f>IF(N3="","",MIN('Léeme'!$B$15,N3-'Léeme'!$B$16))</f>
        <v/>
      </c>
      <c r="S3" s="16">
        <f>IF(OR(E3="",Q3=""),"",IFERROR(IF(E3&lt;=0,"",E3*(((1+Q3)/(1+N3))+((1+Q3)/(1+N3))^2+((1+Q3)/(1+N3))^3+((1+Q3)/(1+N3))^4+((1+Q3)/(1+N3))^5)+E3*(1+Q3)^5*(1+R3)/((N3-R3)*(1+N3)^5)),""))</f>
        <v/>
      </c>
      <c r="T3" s="9">
        <f>IF(OR(E3="",N3=""),"",IFERROR((C3*N3-E3)/(C3+E3),""))</f>
        <v/>
      </c>
      <c r="U3" s="9">
        <f>IF(OR(H3="",T3=""),"",IFERROR(MIN(MAX(H3,'Léeme'!$B$17),'Léeme'!$B$18)-T3,""))</f>
        <v/>
      </c>
      <c r="V3" s="16">
        <f>IF(OR(I3="",M3="",L3=""),"",IFERROR((I3/M3-J3-K3)/L3,""))</f>
        <v/>
      </c>
      <c r="W3" s="11">
        <f>IFERROR(P3/C3-1,"")</f>
        <v/>
      </c>
      <c r="X3" s="11">
        <f>IFERROR(S3/C3-1,"")</f>
        <v/>
      </c>
      <c r="Y3" s="11">
        <f>IFERROR(V3/C3-1,"")</f>
        <v/>
      </c>
      <c r="Z3" s="3">
        <f>IF(OR(W3="",ISTEXT(W3)),"sin dato",IF(W3&gt;='Léeme'!$B$19,"barato",IF(W3&lt;=-'Léeme'!$B$19,"caro","medio")))</f>
        <v/>
      </c>
      <c r="AA3" s="3">
        <f>IF(OR(X3="",ISTEXT(X3)),"sin dato",IF(X3&gt;='Léeme'!$B$19,"barato",IF(X3&lt;=-'Léeme'!$B$19,"caro","medio")))</f>
        <v/>
      </c>
      <c r="AB3" s="3">
        <f>IF(OR(U3="",ISTEXT(U3)),"sin dato",IF(U3&gt;='Léeme'!$B$20,"barato",IF(U3&lt;=-'Léeme'!$B$20,"caro","medio")))</f>
        <v/>
      </c>
      <c r="AC3" s="3">
        <f>IF(OR(Y3="",ISTEXT(Y3)),"sin dato",IF(Y3&gt;='Léeme'!$B$19,"barato",IF(Y3&lt;=-'Léeme'!$B$19,"caro","medio")))</f>
        <v/>
      </c>
      <c r="AD3" s="7" t="n"/>
      <c r="AE3" s="7" t="n"/>
      <c r="AF3" s="7" t="n"/>
      <c r="AG3" s="7" t="n"/>
    </row>
    <row r="4">
      <c r="A4" s="3" t="inlineStr">
        <is>
          <t>1998-T3</t>
        </is>
      </c>
      <c r="B4" s="13" t="n">
        <v>36068</v>
      </c>
      <c r="C4" s="14" t="n">
        <v>19.75</v>
      </c>
      <c r="D4" s="14" t="n">
        <v>1.648</v>
      </c>
      <c r="F4" s="5" t="n">
        <v>0.0444</v>
      </c>
      <c r="N4" s="9">
        <f>IF(F4="","",F4+'Léeme'!$B$10)</f>
        <v/>
      </c>
      <c r="O4" s="9">
        <f>IF(OR(G4="",N4=""),"",MIN(MAX(G4,'Léeme'!$B$11),'Léeme'!$B$12,N4-'Léeme'!$B$16))</f>
        <v/>
      </c>
      <c r="P4" s="16">
        <f>IF(OR(D4="",O4=""),"",IFERROR(IF(D4&lt;=0,"",D4*(1+O4)/(N4-O4)),""))</f>
        <v/>
      </c>
      <c r="Q4" s="9">
        <f>IF(H4="","",MIN(MAX(H4,'Léeme'!$B$13),'Léeme'!$B$14))</f>
        <v/>
      </c>
      <c r="R4" s="9">
        <f>IF(N4="","",MIN('Léeme'!$B$15,N4-'Léeme'!$B$16))</f>
        <v/>
      </c>
      <c r="S4" s="16">
        <f>IF(OR(E4="",Q4=""),"",IFERROR(IF(E4&lt;=0,"",E4*(((1+Q4)/(1+N4))+((1+Q4)/(1+N4))^2+((1+Q4)/(1+N4))^3+((1+Q4)/(1+N4))^4+((1+Q4)/(1+N4))^5)+E4*(1+Q4)^5*(1+R4)/((N4-R4)*(1+N4)^5)),""))</f>
        <v/>
      </c>
      <c r="T4" s="9">
        <f>IF(OR(E4="",N4=""),"",IFERROR((C4*N4-E4)/(C4+E4),""))</f>
        <v/>
      </c>
      <c r="U4" s="9">
        <f>IF(OR(H4="",T4=""),"",IFERROR(MIN(MAX(H4,'Léeme'!$B$17),'Léeme'!$B$18)-T4,""))</f>
        <v/>
      </c>
      <c r="V4" s="16">
        <f>IF(OR(I4="",M4="",L4=""),"",IFERROR((I4/M4-J4-K4)/L4,""))</f>
        <v/>
      </c>
      <c r="W4" s="11">
        <f>IFERROR(P4/C4-1,"")</f>
        <v/>
      </c>
      <c r="X4" s="11">
        <f>IFERROR(S4/C4-1,"")</f>
        <v/>
      </c>
      <c r="Y4" s="11">
        <f>IFERROR(V4/C4-1,"")</f>
        <v/>
      </c>
      <c r="Z4" s="3">
        <f>IF(OR(W4="",ISTEXT(W4)),"sin dato",IF(W4&gt;='Léeme'!$B$19,"barato",IF(W4&lt;=-'Léeme'!$B$19,"caro","medio")))</f>
        <v/>
      </c>
      <c r="AA4" s="3">
        <f>IF(OR(X4="",ISTEXT(X4)),"sin dato",IF(X4&gt;='Léeme'!$B$19,"barato",IF(X4&lt;=-'Léeme'!$B$19,"caro","medio")))</f>
        <v/>
      </c>
      <c r="AB4" s="3">
        <f>IF(OR(U4="",ISTEXT(U4)),"sin dato",IF(U4&gt;='Léeme'!$B$20,"barato",IF(U4&lt;=-'Léeme'!$B$20,"caro","medio")))</f>
        <v/>
      </c>
      <c r="AC4" s="3">
        <f>IF(OR(Y4="",ISTEXT(Y4)),"sin dato",IF(Y4&gt;='Léeme'!$B$19,"barato",IF(Y4&lt;=-'Léeme'!$B$19,"caro","medio")))</f>
        <v/>
      </c>
      <c r="AD4" s="7" t="n"/>
      <c r="AE4" s="7" t="n"/>
      <c r="AF4" s="7" t="n"/>
      <c r="AG4" s="7" t="n"/>
    </row>
    <row r="5">
      <c r="A5" s="3" t="inlineStr">
        <is>
          <t>1998-T4</t>
        </is>
      </c>
      <c r="B5" s="13" t="n">
        <v>36160</v>
      </c>
      <c r="C5" s="14" t="n">
        <v>19.6875</v>
      </c>
      <c r="D5" s="14" t="n">
        <v>1.648</v>
      </c>
      <c r="F5" s="5" t="n">
        <v>0.04650000000000001</v>
      </c>
      <c r="N5" s="9">
        <f>IF(F5="","",F5+'Léeme'!$B$10)</f>
        <v/>
      </c>
      <c r="O5" s="9">
        <f>IF(OR(G5="",N5=""),"",MIN(MAX(G5,'Léeme'!$B$11),'Léeme'!$B$12,N5-'Léeme'!$B$16))</f>
        <v/>
      </c>
      <c r="P5" s="16">
        <f>IF(OR(D5="",O5=""),"",IFERROR(IF(D5&lt;=0,"",D5*(1+O5)/(N5-O5)),""))</f>
        <v/>
      </c>
      <c r="Q5" s="9">
        <f>IF(H5="","",MIN(MAX(H5,'Léeme'!$B$13),'Léeme'!$B$14))</f>
        <v/>
      </c>
      <c r="R5" s="9">
        <f>IF(N5="","",MIN('Léeme'!$B$15,N5-'Léeme'!$B$16))</f>
        <v/>
      </c>
      <c r="S5" s="16">
        <f>IF(OR(E5="",Q5=""),"",IFERROR(IF(E5&lt;=0,"",E5*(((1+Q5)/(1+N5))+((1+Q5)/(1+N5))^2+((1+Q5)/(1+N5))^3+((1+Q5)/(1+N5))^4+((1+Q5)/(1+N5))^5)+E5*(1+Q5)^5*(1+R5)/((N5-R5)*(1+N5)^5)),""))</f>
        <v/>
      </c>
      <c r="T5" s="9">
        <f>IF(OR(E5="",N5=""),"",IFERROR((C5*N5-E5)/(C5+E5),""))</f>
        <v/>
      </c>
      <c r="U5" s="9">
        <f>IF(OR(H5="",T5=""),"",IFERROR(MIN(MAX(H5,'Léeme'!$B$17),'Léeme'!$B$18)-T5,""))</f>
        <v/>
      </c>
      <c r="V5" s="16">
        <f>IF(OR(I5="",M5="",L5=""),"",IFERROR((I5/M5-J5-K5)/L5,""))</f>
        <v/>
      </c>
      <c r="W5" s="11">
        <f>IFERROR(P5/C5-1,"")</f>
        <v/>
      </c>
      <c r="X5" s="11">
        <f>IFERROR(S5/C5-1,"")</f>
        <v/>
      </c>
      <c r="Y5" s="11">
        <f>IFERROR(V5/C5-1,"")</f>
        <v/>
      </c>
      <c r="Z5" s="3">
        <f>IF(OR(W5="",ISTEXT(W5)),"sin dato",IF(W5&gt;='Léeme'!$B$19,"barato",IF(W5&lt;=-'Léeme'!$B$19,"caro","medio")))</f>
        <v/>
      </c>
      <c r="AA5" s="3">
        <f>IF(OR(X5="",ISTEXT(X5)),"sin dato",IF(X5&gt;='Léeme'!$B$19,"barato",IF(X5&lt;=-'Léeme'!$B$19,"caro","medio")))</f>
        <v/>
      </c>
      <c r="AB5" s="3">
        <f>IF(OR(U5="",ISTEXT(U5)),"sin dato",IF(U5&gt;='Léeme'!$B$20,"barato",IF(U5&lt;=-'Léeme'!$B$20,"caro","medio")))</f>
        <v/>
      </c>
      <c r="AC5" s="3">
        <f>IF(OR(Y5="",ISTEXT(Y5)),"sin dato",IF(Y5&gt;='Léeme'!$B$19,"barato",IF(Y5&lt;=-'Léeme'!$B$19,"caro","medio")))</f>
        <v/>
      </c>
      <c r="AD5" s="7" t="n"/>
      <c r="AE5" s="7" t="n"/>
      <c r="AF5" s="7" t="n"/>
      <c r="AG5" s="7" t="n"/>
    </row>
    <row r="6">
      <c r="A6" s="3" t="inlineStr">
        <is>
          <t>1999-T1</t>
        </is>
      </c>
      <c r="B6" s="13" t="n">
        <v>36250</v>
      </c>
      <c r="C6" s="14" t="n">
        <v>17.6875</v>
      </c>
      <c r="D6" s="14" t="n">
        <v>1.672</v>
      </c>
      <c r="F6" s="5" t="n">
        <v>0.0525</v>
      </c>
      <c r="N6" s="9">
        <f>IF(F6="","",F6+'Léeme'!$B$10)</f>
        <v/>
      </c>
      <c r="O6" s="9">
        <f>IF(OR(G6="",N6=""),"",MIN(MAX(G6,'Léeme'!$B$11),'Léeme'!$B$12,N6-'Léeme'!$B$16))</f>
        <v/>
      </c>
      <c r="P6" s="16">
        <f>IF(OR(D6="",O6=""),"",IFERROR(IF(D6&lt;=0,"",D6*(1+O6)/(N6-O6)),""))</f>
        <v/>
      </c>
      <c r="Q6" s="9">
        <f>IF(H6="","",MIN(MAX(H6,'Léeme'!$B$13),'Léeme'!$B$14))</f>
        <v/>
      </c>
      <c r="R6" s="9">
        <f>IF(N6="","",MIN('Léeme'!$B$15,N6-'Léeme'!$B$16))</f>
        <v/>
      </c>
      <c r="S6" s="16">
        <f>IF(OR(E6="",Q6=""),"",IFERROR(IF(E6&lt;=0,"",E6*(((1+Q6)/(1+N6))+((1+Q6)/(1+N6))^2+((1+Q6)/(1+N6))^3+((1+Q6)/(1+N6))^4+((1+Q6)/(1+N6))^5)+E6*(1+Q6)^5*(1+R6)/((N6-R6)*(1+N6)^5)),""))</f>
        <v/>
      </c>
      <c r="T6" s="9">
        <f>IF(OR(E6="",N6=""),"",IFERROR((C6*N6-E6)/(C6+E6),""))</f>
        <v/>
      </c>
      <c r="U6" s="9">
        <f>IF(OR(H6="",T6=""),"",IFERROR(MIN(MAX(H6,'Léeme'!$B$17),'Léeme'!$B$18)-T6,""))</f>
        <v/>
      </c>
      <c r="V6" s="16">
        <f>IF(OR(I6="",M6="",L6=""),"",IFERROR((I6/M6-J6-K6)/L6,""))</f>
        <v/>
      </c>
      <c r="W6" s="11">
        <f>IFERROR(P6/C6-1,"")</f>
        <v/>
      </c>
      <c r="X6" s="11">
        <f>IFERROR(S6/C6-1,"")</f>
        <v/>
      </c>
      <c r="Y6" s="11">
        <f>IFERROR(V6/C6-1,"")</f>
        <v/>
      </c>
      <c r="Z6" s="3">
        <f>IF(OR(W6="",ISTEXT(W6)),"sin dato",IF(W6&gt;='Léeme'!$B$19,"barato",IF(W6&lt;=-'Léeme'!$B$19,"caro","medio")))</f>
        <v/>
      </c>
      <c r="AA6" s="3">
        <f>IF(OR(X6="",ISTEXT(X6)),"sin dato",IF(X6&gt;='Léeme'!$B$19,"barato",IF(X6&lt;=-'Léeme'!$B$19,"caro","medio")))</f>
        <v/>
      </c>
      <c r="AB6" s="3">
        <f>IF(OR(U6="",ISTEXT(U6)),"sin dato",IF(U6&gt;='Léeme'!$B$20,"barato",IF(U6&lt;=-'Léeme'!$B$20,"caro","medio")))</f>
        <v/>
      </c>
      <c r="AC6" s="3">
        <f>IF(OR(Y6="",ISTEXT(Y6)),"sin dato",IF(Y6&gt;='Léeme'!$B$19,"barato",IF(Y6&lt;=-'Léeme'!$B$19,"caro","medio")))</f>
        <v/>
      </c>
      <c r="AD6" s="7" t="n"/>
      <c r="AE6" s="7" t="n"/>
      <c r="AF6" s="7" t="n"/>
      <c r="AG6" s="7" t="n"/>
    </row>
    <row r="7">
      <c r="A7" s="3" t="inlineStr">
        <is>
          <t>1999-T2</t>
        </is>
      </c>
      <c r="B7" s="13" t="n">
        <v>36341</v>
      </c>
      <c r="C7" s="14" t="n">
        <v>17.25</v>
      </c>
      <c r="D7" s="14" t="n">
        <v>1.672</v>
      </c>
      <c r="F7" s="5" t="n">
        <v>0.0581</v>
      </c>
      <c r="N7" s="9">
        <f>IF(F7="","",F7+'Léeme'!$B$10)</f>
        <v/>
      </c>
      <c r="O7" s="9">
        <f>IF(OR(G7="",N7=""),"",MIN(MAX(G7,'Léeme'!$B$11),'Léeme'!$B$12,N7-'Léeme'!$B$16))</f>
        <v/>
      </c>
      <c r="P7" s="16">
        <f>IF(OR(D7="",O7=""),"",IFERROR(IF(D7&lt;=0,"",D7*(1+O7)/(N7-O7)),""))</f>
        <v/>
      </c>
      <c r="Q7" s="9">
        <f>IF(H7="","",MIN(MAX(H7,'Léeme'!$B$13),'Léeme'!$B$14))</f>
        <v/>
      </c>
      <c r="R7" s="9">
        <f>IF(N7="","",MIN('Léeme'!$B$15,N7-'Léeme'!$B$16))</f>
        <v/>
      </c>
      <c r="S7" s="16">
        <f>IF(OR(E7="",Q7=""),"",IFERROR(IF(E7&lt;=0,"",E7*(((1+Q7)/(1+N7))+((1+Q7)/(1+N7))^2+((1+Q7)/(1+N7))^3+((1+Q7)/(1+N7))^4+((1+Q7)/(1+N7))^5)+E7*(1+Q7)^5*(1+R7)/((N7-R7)*(1+N7)^5)),""))</f>
        <v/>
      </c>
      <c r="T7" s="9">
        <f>IF(OR(E7="",N7=""),"",IFERROR((C7*N7-E7)/(C7+E7),""))</f>
        <v/>
      </c>
      <c r="U7" s="9">
        <f>IF(OR(H7="",T7=""),"",IFERROR(MIN(MAX(H7,'Léeme'!$B$17),'Léeme'!$B$18)-T7,""))</f>
        <v/>
      </c>
      <c r="V7" s="16">
        <f>IF(OR(I7="",M7="",L7=""),"",IFERROR((I7/M7-J7-K7)/L7,""))</f>
        <v/>
      </c>
      <c r="W7" s="11">
        <f>IFERROR(P7/C7-1,"")</f>
        <v/>
      </c>
      <c r="X7" s="11">
        <f>IFERROR(S7/C7-1,"")</f>
        <v/>
      </c>
      <c r="Y7" s="11">
        <f>IFERROR(V7/C7-1,"")</f>
        <v/>
      </c>
      <c r="Z7" s="3">
        <f>IF(OR(W7="",ISTEXT(W7)),"sin dato",IF(W7&gt;='Léeme'!$B$19,"barato",IF(W7&lt;=-'Léeme'!$B$19,"caro","medio")))</f>
        <v/>
      </c>
      <c r="AA7" s="3">
        <f>IF(OR(X7="",ISTEXT(X7)),"sin dato",IF(X7&gt;='Léeme'!$B$19,"barato",IF(X7&lt;=-'Léeme'!$B$19,"caro","medio")))</f>
        <v/>
      </c>
      <c r="AB7" s="3">
        <f>IF(OR(U7="",ISTEXT(U7)),"sin dato",IF(U7&gt;='Léeme'!$B$20,"barato",IF(U7&lt;=-'Léeme'!$B$20,"caro","medio")))</f>
        <v/>
      </c>
      <c r="AC7" s="3">
        <f>IF(OR(Y7="",ISTEXT(Y7)),"sin dato",IF(Y7&gt;='Léeme'!$B$19,"barato",IF(Y7&lt;=-'Léeme'!$B$19,"caro","medio")))</f>
        <v/>
      </c>
      <c r="AD7" s="7" t="n"/>
      <c r="AE7" s="7" t="n"/>
      <c r="AF7" s="7" t="n"/>
      <c r="AG7" s="7" t="n"/>
    </row>
    <row r="8">
      <c r="A8" s="3" t="inlineStr">
        <is>
          <t>1999-T3</t>
        </is>
      </c>
      <c r="B8" s="13" t="n">
        <v>36433</v>
      </c>
      <c r="C8" s="14" t="n">
        <v>20</v>
      </c>
      <c r="D8" s="14" t="n">
        <v>1.672</v>
      </c>
      <c r="F8" s="5" t="n">
        <v>0.059</v>
      </c>
      <c r="N8" s="9">
        <f>IF(F8="","",F8+'Léeme'!$B$10)</f>
        <v/>
      </c>
      <c r="O8" s="9">
        <f>IF(OR(G8="",N8=""),"",MIN(MAX(G8,'Léeme'!$B$11),'Léeme'!$B$12,N8-'Léeme'!$B$16))</f>
        <v/>
      </c>
      <c r="P8" s="16">
        <f>IF(OR(D8="",O8=""),"",IFERROR(IF(D8&lt;=0,"",D8*(1+O8)/(N8-O8)),""))</f>
        <v/>
      </c>
      <c r="Q8" s="9">
        <f>IF(H8="","",MIN(MAX(H8,'Léeme'!$B$13),'Léeme'!$B$14))</f>
        <v/>
      </c>
      <c r="R8" s="9">
        <f>IF(N8="","",MIN('Léeme'!$B$15,N8-'Léeme'!$B$16))</f>
        <v/>
      </c>
      <c r="S8" s="16">
        <f>IF(OR(E8="",Q8=""),"",IFERROR(IF(E8&lt;=0,"",E8*(((1+Q8)/(1+N8))+((1+Q8)/(1+N8))^2+((1+Q8)/(1+N8))^3+((1+Q8)/(1+N8))^4+((1+Q8)/(1+N8))^5)+E8*(1+Q8)^5*(1+R8)/((N8-R8)*(1+N8)^5)),""))</f>
        <v/>
      </c>
      <c r="T8" s="9">
        <f>IF(OR(E8="",N8=""),"",IFERROR((C8*N8-E8)/(C8+E8),""))</f>
        <v/>
      </c>
      <c r="U8" s="9">
        <f>IF(OR(H8="",T8=""),"",IFERROR(MIN(MAX(H8,'Léeme'!$B$17),'Léeme'!$B$18)-T8,""))</f>
        <v/>
      </c>
      <c r="V8" s="16">
        <f>IF(OR(I8="",M8="",L8=""),"",IFERROR((I8/M8-J8-K8)/L8,""))</f>
        <v/>
      </c>
      <c r="W8" s="11">
        <f>IFERROR(P8/C8-1,"")</f>
        <v/>
      </c>
      <c r="X8" s="11">
        <f>IFERROR(S8/C8-1,"")</f>
        <v/>
      </c>
      <c r="Y8" s="11">
        <f>IFERROR(V8/C8-1,"")</f>
        <v/>
      </c>
      <c r="Z8" s="3">
        <f>IF(OR(W8="",ISTEXT(W8)),"sin dato",IF(W8&gt;='Léeme'!$B$19,"barato",IF(W8&lt;=-'Léeme'!$B$19,"caro","medio")))</f>
        <v/>
      </c>
      <c r="AA8" s="3">
        <f>IF(OR(X8="",ISTEXT(X8)),"sin dato",IF(X8&gt;='Léeme'!$B$19,"barato",IF(X8&lt;=-'Léeme'!$B$19,"caro","medio")))</f>
        <v/>
      </c>
      <c r="AB8" s="3">
        <f>IF(OR(U8="",ISTEXT(U8)),"sin dato",IF(U8&gt;='Léeme'!$B$20,"barato",IF(U8&lt;=-'Léeme'!$B$20,"caro","medio")))</f>
        <v/>
      </c>
      <c r="AC8" s="3">
        <f>IF(OR(Y8="",ISTEXT(Y8)),"sin dato",IF(Y8&gt;='Léeme'!$B$19,"barato",IF(Y8&lt;=-'Léeme'!$B$19,"caro","medio")))</f>
        <v/>
      </c>
      <c r="AD8" s="7" t="n"/>
      <c r="AE8" s="7" t="n"/>
      <c r="AF8" s="7" t="n"/>
      <c r="AG8" s="7" t="n"/>
    </row>
    <row r="9">
      <c r="A9" s="3" t="inlineStr">
        <is>
          <t>1999-T4</t>
        </is>
      </c>
      <c r="B9" s="13" t="n">
        <v>36525</v>
      </c>
      <c r="C9" s="14" t="n">
        <v>16.875</v>
      </c>
      <c r="D9" s="14" t="n">
        <v>1.672</v>
      </c>
      <c r="F9" s="5" t="n">
        <v>0.0645</v>
      </c>
      <c r="N9" s="9">
        <f>IF(F9="","",F9+'Léeme'!$B$10)</f>
        <v/>
      </c>
      <c r="O9" s="9">
        <f>IF(OR(G9="",N9=""),"",MIN(MAX(G9,'Léeme'!$B$11),'Léeme'!$B$12,N9-'Léeme'!$B$16))</f>
        <v/>
      </c>
      <c r="P9" s="16">
        <f>IF(OR(D9="",O9=""),"",IFERROR(IF(D9&lt;=0,"",D9*(1+O9)/(N9-O9)),""))</f>
        <v/>
      </c>
      <c r="Q9" s="9">
        <f>IF(H9="","",MIN(MAX(H9,'Léeme'!$B$13),'Léeme'!$B$14))</f>
        <v/>
      </c>
      <c r="R9" s="9">
        <f>IF(N9="","",MIN('Léeme'!$B$15,N9-'Léeme'!$B$16))</f>
        <v/>
      </c>
      <c r="S9" s="16">
        <f>IF(OR(E9="",Q9=""),"",IFERROR(IF(E9&lt;=0,"",E9*(((1+Q9)/(1+N9))+((1+Q9)/(1+N9))^2+((1+Q9)/(1+N9))^3+((1+Q9)/(1+N9))^4+((1+Q9)/(1+N9))^5)+E9*(1+Q9)^5*(1+R9)/((N9-R9)*(1+N9)^5)),""))</f>
        <v/>
      </c>
      <c r="T9" s="9">
        <f>IF(OR(E9="",N9=""),"",IFERROR((C9*N9-E9)/(C9+E9),""))</f>
        <v/>
      </c>
      <c r="U9" s="9">
        <f>IF(OR(H9="",T9=""),"",IFERROR(MIN(MAX(H9,'Léeme'!$B$17),'Léeme'!$B$18)-T9,""))</f>
        <v/>
      </c>
      <c r="V9" s="16">
        <f>IF(OR(I9="",M9="",L9=""),"",IFERROR((I9/M9-J9-K9)/L9,""))</f>
        <v/>
      </c>
      <c r="W9" s="11">
        <f>IFERROR(P9/C9-1,"")</f>
        <v/>
      </c>
      <c r="X9" s="11">
        <f>IFERROR(S9/C9-1,"")</f>
        <v/>
      </c>
      <c r="Y9" s="11">
        <f>IFERROR(V9/C9-1,"")</f>
        <v/>
      </c>
      <c r="Z9" s="3">
        <f>IF(OR(W9="",ISTEXT(W9)),"sin dato",IF(W9&gt;='Léeme'!$B$19,"barato",IF(W9&lt;=-'Léeme'!$B$19,"caro","medio")))</f>
        <v/>
      </c>
      <c r="AA9" s="3">
        <f>IF(OR(X9="",ISTEXT(X9)),"sin dato",IF(X9&gt;='Léeme'!$B$19,"barato",IF(X9&lt;=-'Léeme'!$B$19,"caro","medio")))</f>
        <v/>
      </c>
      <c r="AB9" s="3">
        <f>IF(OR(U9="",ISTEXT(U9)),"sin dato",IF(U9&gt;='Léeme'!$B$20,"barato",IF(U9&lt;=-'Léeme'!$B$20,"caro","medio")))</f>
        <v/>
      </c>
      <c r="AC9" s="3">
        <f>IF(OR(Y9="",ISTEXT(Y9)),"sin dato",IF(Y9&gt;='Léeme'!$B$19,"barato",IF(Y9&lt;=-'Léeme'!$B$19,"caro","medio")))</f>
        <v/>
      </c>
      <c r="AD9" s="7" t="n"/>
      <c r="AE9" s="7" t="n"/>
      <c r="AF9" s="7" t="n"/>
      <c r="AG9" s="7" t="n"/>
    </row>
    <row r="10">
      <c r="A10" s="3" t="inlineStr">
        <is>
          <t>2000-T1</t>
        </is>
      </c>
      <c r="B10" s="13" t="n">
        <v>36616</v>
      </c>
      <c r="C10" s="14" t="n">
        <v>16.625</v>
      </c>
      <c r="D10" s="14" t="n">
        <v>1.692</v>
      </c>
      <c r="F10" s="5" t="n">
        <v>0.0603</v>
      </c>
      <c r="N10" s="9">
        <f>IF(F10="","",F10+'Léeme'!$B$10)</f>
        <v/>
      </c>
      <c r="O10" s="9">
        <f>IF(OR(G10="",N10=""),"",MIN(MAX(G10,'Léeme'!$B$11),'Léeme'!$B$12,N10-'Léeme'!$B$16))</f>
        <v/>
      </c>
      <c r="P10" s="16">
        <f>IF(OR(D10="",O10=""),"",IFERROR(IF(D10&lt;=0,"",D10*(1+O10)/(N10-O10)),""))</f>
        <v/>
      </c>
      <c r="Q10" s="9">
        <f>IF(H10="","",MIN(MAX(H10,'Léeme'!$B$13),'Léeme'!$B$14))</f>
        <v/>
      </c>
      <c r="R10" s="9">
        <f>IF(N10="","",MIN('Léeme'!$B$15,N10-'Léeme'!$B$16))</f>
        <v/>
      </c>
      <c r="S10" s="16">
        <f>IF(OR(E10="",Q10=""),"",IFERROR(IF(E10&lt;=0,"",E10*(((1+Q10)/(1+N10))+((1+Q10)/(1+N10))^2+((1+Q10)/(1+N10))^3+((1+Q10)/(1+N10))^4+((1+Q10)/(1+N10))^5)+E10*(1+Q10)^5*(1+R10)/((N10-R10)*(1+N10)^5)),""))</f>
        <v/>
      </c>
      <c r="T10" s="9">
        <f>IF(OR(E10="",N10=""),"",IFERROR((C10*N10-E10)/(C10+E10),""))</f>
        <v/>
      </c>
      <c r="U10" s="9">
        <f>IF(OR(H10="",T10=""),"",IFERROR(MIN(MAX(H10,'Léeme'!$B$17),'Léeme'!$B$18)-T10,""))</f>
        <v/>
      </c>
      <c r="V10" s="16">
        <f>IF(OR(I10="",M10="",L10=""),"",IFERROR((I10/M10-J10-K10)/L10,""))</f>
        <v/>
      </c>
      <c r="W10" s="11">
        <f>IFERROR(P10/C10-1,"")</f>
        <v/>
      </c>
      <c r="X10" s="11">
        <f>IFERROR(S10/C10-1,"")</f>
        <v/>
      </c>
      <c r="Y10" s="11">
        <f>IFERROR(V10/C10-1,"")</f>
        <v/>
      </c>
      <c r="Z10" s="3">
        <f>IF(OR(W10="",ISTEXT(W10)),"sin dato",IF(W10&gt;='Léeme'!$B$19,"barato",IF(W10&lt;=-'Léeme'!$B$19,"caro","medio")))</f>
        <v/>
      </c>
      <c r="AA10" s="3">
        <f>IF(OR(X10="",ISTEXT(X10)),"sin dato",IF(X10&gt;='Léeme'!$B$19,"barato",IF(X10&lt;=-'Léeme'!$B$19,"caro","medio")))</f>
        <v/>
      </c>
      <c r="AB10" s="3">
        <f>IF(OR(U10="",ISTEXT(U10)),"sin dato",IF(U10&gt;='Léeme'!$B$20,"barato",IF(U10&lt;=-'Léeme'!$B$20,"caro","medio")))</f>
        <v/>
      </c>
      <c r="AC10" s="3">
        <f>IF(OR(Y10="",ISTEXT(Y10)),"sin dato",IF(Y10&gt;='Léeme'!$B$19,"barato",IF(Y10&lt;=-'Léeme'!$B$19,"caro","medio")))</f>
        <v/>
      </c>
      <c r="AD10" s="7" t="n"/>
      <c r="AE10" s="7" t="n"/>
      <c r="AF10" s="7" t="n"/>
      <c r="AG10" s="7" t="n"/>
    </row>
    <row r="11">
      <c r="A11" s="3" t="inlineStr">
        <is>
          <t>2000-T2</t>
        </is>
      </c>
      <c r="B11" s="13" t="n">
        <v>36707</v>
      </c>
      <c r="C11" s="14" t="n">
        <v>16.375001</v>
      </c>
      <c r="D11" s="14" t="n">
        <v>1.692</v>
      </c>
      <c r="E11" s="14" t="n">
        <v>1.98</v>
      </c>
      <c r="F11" s="5" t="n">
        <v>0.0603</v>
      </c>
      <c r="N11" s="9">
        <f>IF(F11="","",F11+'Léeme'!$B$10)</f>
        <v/>
      </c>
      <c r="O11" s="9">
        <f>IF(OR(G11="",N11=""),"",MIN(MAX(G11,'Léeme'!$B$11),'Léeme'!$B$12,N11-'Léeme'!$B$16))</f>
        <v/>
      </c>
      <c r="P11" s="16">
        <f>IF(OR(D11="",O11=""),"",IFERROR(IF(D11&lt;=0,"",D11*(1+O11)/(N11-O11)),""))</f>
        <v/>
      </c>
      <c r="Q11" s="9">
        <f>IF(H11="","",MIN(MAX(H11,'Léeme'!$B$13),'Léeme'!$B$14))</f>
        <v/>
      </c>
      <c r="R11" s="9">
        <f>IF(N11="","",MIN('Léeme'!$B$15,N11-'Léeme'!$B$16))</f>
        <v/>
      </c>
      <c r="S11" s="16">
        <f>IF(OR(E11="",Q11=""),"",IFERROR(IF(E11&lt;=0,"",E11*(((1+Q11)/(1+N11))+((1+Q11)/(1+N11))^2+((1+Q11)/(1+N11))^3+((1+Q11)/(1+N11))^4+((1+Q11)/(1+N11))^5)+E11*(1+Q11)^5*(1+R11)/((N11-R11)*(1+N11)^5)),""))</f>
        <v/>
      </c>
      <c r="T11" s="9">
        <f>IF(OR(E11="",N11=""),"",IFERROR((C11*N11-E11)/(C11+E11),""))</f>
        <v/>
      </c>
      <c r="U11" s="9">
        <f>IF(OR(H11="",T11=""),"",IFERROR(MIN(MAX(H11,'Léeme'!$B$17),'Léeme'!$B$18)-T11,""))</f>
        <v/>
      </c>
      <c r="V11" s="16">
        <f>IF(OR(I11="",M11="",L11=""),"",IFERROR((I11/M11-J11-K11)/L11,""))</f>
        <v/>
      </c>
      <c r="W11" s="11">
        <f>IFERROR(P11/C11-1,"")</f>
        <v/>
      </c>
      <c r="X11" s="11">
        <f>IFERROR(S11/C11-1,"")</f>
        <v/>
      </c>
      <c r="Y11" s="11">
        <f>IFERROR(V11/C11-1,"")</f>
        <v/>
      </c>
      <c r="Z11" s="3">
        <f>IF(OR(W11="",ISTEXT(W11)),"sin dato",IF(W11&gt;='Léeme'!$B$19,"barato",IF(W11&lt;=-'Léeme'!$B$19,"caro","medio")))</f>
        <v/>
      </c>
      <c r="AA11" s="3">
        <f>IF(OR(X11="",ISTEXT(X11)),"sin dato",IF(X11&gt;='Léeme'!$B$19,"barato",IF(X11&lt;=-'Léeme'!$B$19,"caro","medio")))</f>
        <v/>
      </c>
      <c r="AB11" s="3">
        <f>IF(OR(U11="",ISTEXT(U11)),"sin dato",IF(U11&gt;='Léeme'!$B$20,"barato",IF(U11&lt;=-'Léeme'!$B$20,"caro","medio")))</f>
        <v/>
      </c>
      <c r="AC11" s="3">
        <f>IF(OR(Y11="",ISTEXT(Y11)),"sin dato",IF(Y11&gt;='Léeme'!$B$19,"barato",IF(Y11&lt;=-'Léeme'!$B$19,"caro","medio")))</f>
        <v/>
      </c>
      <c r="AD11" s="7" t="n"/>
      <c r="AE11" s="7" t="n"/>
      <c r="AF11" s="7" t="n"/>
      <c r="AG11" s="7" t="n"/>
    </row>
    <row r="12">
      <c r="A12" s="3" t="inlineStr">
        <is>
          <t>2000-T3</t>
        </is>
      </c>
      <c r="B12" s="13" t="n">
        <v>36798</v>
      </c>
      <c r="C12" s="14" t="n">
        <v>17.5625</v>
      </c>
      <c r="D12" s="14" t="n">
        <v>1.692</v>
      </c>
      <c r="E12" s="14" t="n">
        <v>1.98</v>
      </c>
      <c r="F12" s="5" t="n">
        <v>0.058</v>
      </c>
      <c r="N12" s="9">
        <f>IF(F12="","",F12+'Léeme'!$B$10)</f>
        <v/>
      </c>
      <c r="O12" s="9">
        <f>IF(OR(G12="",N12=""),"",MIN(MAX(G12,'Léeme'!$B$11),'Léeme'!$B$12,N12-'Léeme'!$B$16))</f>
        <v/>
      </c>
      <c r="P12" s="16">
        <f>IF(OR(D12="",O12=""),"",IFERROR(IF(D12&lt;=0,"",D12*(1+O12)/(N12-O12)),""))</f>
        <v/>
      </c>
      <c r="Q12" s="9">
        <f>IF(H12="","",MIN(MAX(H12,'Léeme'!$B$13),'Léeme'!$B$14))</f>
        <v/>
      </c>
      <c r="R12" s="9">
        <f>IF(N12="","",MIN('Léeme'!$B$15,N12-'Léeme'!$B$16))</f>
        <v/>
      </c>
      <c r="S12" s="16">
        <f>IF(OR(E12="",Q12=""),"",IFERROR(IF(E12&lt;=0,"",E12*(((1+Q12)/(1+N12))+((1+Q12)/(1+N12))^2+((1+Q12)/(1+N12))^3+((1+Q12)/(1+N12))^4+((1+Q12)/(1+N12))^5)+E12*(1+Q12)^5*(1+R12)/((N12-R12)*(1+N12)^5)),""))</f>
        <v/>
      </c>
      <c r="T12" s="9">
        <f>IF(OR(E12="",N12=""),"",IFERROR((C12*N12-E12)/(C12+E12),""))</f>
        <v/>
      </c>
      <c r="U12" s="9">
        <f>IF(OR(H12="",T12=""),"",IFERROR(MIN(MAX(H12,'Léeme'!$B$17),'Léeme'!$B$18)-T12,""))</f>
        <v/>
      </c>
      <c r="V12" s="16">
        <f>IF(OR(I12="",M12="",L12=""),"",IFERROR((I12/M12-J12-K12)/L12,""))</f>
        <v/>
      </c>
      <c r="W12" s="11">
        <f>IFERROR(P12/C12-1,"")</f>
        <v/>
      </c>
      <c r="X12" s="11">
        <f>IFERROR(S12/C12-1,"")</f>
        <v/>
      </c>
      <c r="Y12" s="11">
        <f>IFERROR(V12/C12-1,"")</f>
        <v/>
      </c>
      <c r="Z12" s="3">
        <f>IF(OR(W12="",ISTEXT(W12)),"sin dato",IF(W12&gt;='Léeme'!$B$19,"barato",IF(W12&lt;=-'Léeme'!$B$19,"caro","medio")))</f>
        <v/>
      </c>
      <c r="AA12" s="3">
        <f>IF(OR(X12="",ISTEXT(X12)),"sin dato",IF(X12&gt;='Léeme'!$B$19,"barato",IF(X12&lt;=-'Léeme'!$B$19,"caro","medio")))</f>
        <v/>
      </c>
      <c r="AB12" s="3">
        <f>IF(OR(U12="",ISTEXT(U12)),"sin dato",IF(U12&gt;='Léeme'!$B$20,"barato",IF(U12&lt;=-'Léeme'!$B$20,"caro","medio")))</f>
        <v/>
      </c>
      <c r="AC12" s="3">
        <f>IF(OR(Y12="",ISTEXT(Y12)),"sin dato",IF(Y12&gt;='Léeme'!$B$19,"barato",IF(Y12&lt;=-'Léeme'!$B$19,"caro","medio")))</f>
        <v/>
      </c>
      <c r="AD12" s="7" t="n"/>
      <c r="AE12" s="7" t="n"/>
      <c r="AF12" s="7" t="n"/>
      <c r="AG12" s="7" t="n"/>
    </row>
    <row r="13">
      <c r="A13" s="3" t="inlineStr">
        <is>
          <t>2000-T4</t>
        </is>
      </c>
      <c r="B13" s="13" t="n">
        <v>36889</v>
      </c>
      <c r="C13" s="14" t="n">
        <v>18.1</v>
      </c>
      <c r="D13" s="14" t="n">
        <v>1.692</v>
      </c>
      <c r="E13" s="14" t="n">
        <v>1.98</v>
      </c>
      <c r="F13" s="5" t="n">
        <v>0.0512</v>
      </c>
      <c r="N13" s="9">
        <f>IF(F13="","",F13+'Léeme'!$B$10)</f>
        <v/>
      </c>
      <c r="O13" s="9">
        <f>IF(OR(G13="",N13=""),"",MIN(MAX(G13,'Léeme'!$B$11),'Léeme'!$B$12,N13-'Léeme'!$B$16))</f>
        <v/>
      </c>
      <c r="P13" s="16">
        <f>IF(OR(D13="",O13=""),"",IFERROR(IF(D13&lt;=0,"",D13*(1+O13)/(N13-O13)),""))</f>
        <v/>
      </c>
      <c r="Q13" s="9">
        <f>IF(H13="","",MIN(MAX(H13,'Léeme'!$B$13),'Léeme'!$B$14))</f>
        <v/>
      </c>
      <c r="R13" s="9">
        <f>IF(N13="","",MIN('Léeme'!$B$15,N13-'Léeme'!$B$16))</f>
        <v/>
      </c>
      <c r="S13" s="16">
        <f>IF(OR(E13="",Q13=""),"",IFERROR(IF(E13&lt;=0,"",E13*(((1+Q13)/(1+N13))+((1+Q13)/(1+N13))^2+((1+Q13)/(1+N13))^3+((1+Q13)/(1+N13))^4+((1+Q13)/(1+N13))^5)+E13*(1+Q13)^5*(1+R13)/((N13-R13)*(1+N13)^5)),""))</f>
        <v/>
      </c>
      <c r="T13" s="9">
        <f>IF(OR(E13="",N13=""),"",IFERROR((C13*N13-E13)/(C13+E13),""))</f>
        <v/>
      </c>
      <c r="U13" s="9">
        <f>IF(OR(H13="",T13=""),"",IFERROR(MIN(MAX(H13,'Léeme'!$B$17),'Léeme'!$B$18)-T13,""))</f>
        <v/>
      </c>
      <c r="V13" s="16">
        <f>IF(OR(I13="",M13="",L13=""),"",IFERROR((I13/M13-J13-K13)/L13,""))</f>
        <v/>
      </c>
      <c r="W13" s="11">
        <f>IFERROR(P13/C13-1,"")</f>
        <v/>
      </c>
      <c r="X13" s="11">
        <f>IFERROR(S13/C13-1,"")</f>
        <v/>
      </c>
      <c r="Y13" s="11">
        <f>IFERROR(V13/C13-1,"")</f>
        <v/>
      </c>
      <c r="Z13" s="3">
        <f>IF(OR(W13="",ISTEXT(W13)),"sin dato",IF(W13&gt;='Léeme'!$B$19,"barato",IF(W13&lt;=-'Léeme'!$B$19,"caro","medio")))</f>
        <v/>
      </c>
      <c r="AA13" s="3">
        <f>IF(OR(X13="",ISTEXT(X13)),"sin dato",IF(X13&gt;='Léeme'!$B$19,"barato",IF(X13&lt;=-'Léeme'!$B$19,"caro","medio")))</f>
        <v/>
      </c>
      <c r="AB13" s="3">
        <f>IF(OR(U13="",ISTEXT(U13)),"sin dato",IF(U13&gt;='Léeme'!$B$20,"barato",IF(U13&lt;=-'Léeme'!$B$20,"caro","medio")))</f>
        <v/>
      </c>
      <c r="AC13" s="3">
        <f>IF(OR(Y13="",ISTEXT(Y13)),"sin dato",IF(Y13&gt;='Léeme'!$B$19,"barato",IF(Y13&lt;=-'Léeme'!$B$19,"caro","medio")))</f>
        <v/>
      </c>
      <c r="AD13" s="7" t="n"/>
      <c r="AE13" s="7" t="n"/>
      <c r="AF13" s="7" t="n"/>
      <c r="AG13" s="7" t="n"/>
    </row>
    <row r="14">
      <c r="A14" s="3" t="inlineStr">
        <is>
          <t>2001-T1</t>
        </is>
      </c>
      <c r="B14" s="13" t="n">
        <v>36980</v>
      </c>
      <c r="C14" s="14" t="n">
        <v>19.349999</v>
      </c>
      <c r="D14" s="14" t="n">
        <v>1.692</v>
      </c>
      <c r="E14" s="14" t="n">
        <v>2.28</v>
      </c>
      <c r="F14" s="5" t="n">
        <v>0.0493</v>
      </c>
      <c r="N14" s="9">
        <f>IF(F14="","",F14+'Léeme'!$B$10)</f>
        <v/>
      </c>
      <c r="O14" s="9">
        <f>IF(OR(G14="",N14=""),"",MIN(MAX(G14,'Léeme'!$B$11),'Léeme'!$B$12,N14-'Léeme'!$B$16))</f>
        <v/>
      </c>
      <c r="P14" s="16">
        <f>IF(OR(D14="",O14=""),"",IFERROR(IF(D14&lt;=0,"",D14*(1+O14)/(N14-O14)),""))</f>
        <v/>
      </c>
      <c r="Q14" s="9">
        <f>IF(H14="","",MIN(MAX(H14,'Léeme'!$B$13),'Léeme'!$B$14))</f>
        <v/>
      </c>
      <c r="R14" s="9">
        <f>IF(N14="","",MIN('Léeme'!$B$15,N14-'Léeme'!$B$16))</f>
        <v/>
      </c>
      <c r="S14" s="16">
        <f>IF(OR(E14="",Q14=""),"",IFERROR(IF(E14&lt;=0,"",E14*(((1+Q14)/(1+N14))+((1+Q14)/(1+N14))^2+((1+Q14)/(1+N14))^3+((1+Q14)/(1+N14))^4+((1+Q14)/(1+N14))^5)+E14*(1+Q14)^5*(1+R14)/((N14-R14)*(1+N14)^5)),""))</f>
        <v/>
      </c>
      <c r="T14" s="9">
        <f>IF(OR(E14="",N14=""),"",IFERROR((C14*N14-E14)/(C14+E14),""))</f>
        <v/>
      </c>
      <c r="U14" s="9">
        <f>IF(OR(H14="",T14=""),"",IFERROR(MIN(MAX(H14,'Léeme'!$B$17),'Léeme'!$B$18)-T14,""))</f>
        <v/>
      </c>
      <c r="V14" s="16">
        <f>IF(OR(I14="",M14="",L14=""),"",IFERROR((I14/M14-J14-K14)/L14,""))</f>
        <v/>
      </c>
      <c r="W14" s="11">
        <f>IFERROR(P14/C14-1,"")</f>
        <v/>
      </c>
      <c r="X14" s="11">
        <f>IFERROR(S14/C14-1,"")</f>
        <v/>
      </c>
      <c r="Y14" s="11">
        <f>IFERROR(V14/C14-1,"")</f>
        <v/>
      </c>
      <c r="Z14" s="3">
        <f>IF(OR(W14="",ISTEXT(W14)),"sin dato",IF(W14&gt;='Léeme'!$B$19,"barato",IF(W14&lt;=-'Léeme'!$B$19,"caro","medio")))</f>
        <v/>
      </c>
      <c r="AA14" s="3">
        <f>IF(OR(X14="",ISTEXT(X14)),"sin dato",IF(X14&gt;='Léeme'!$B$19,"barato",IF(X14&lt;=-'Léeme'!$B$19,"caro","medio")))</f>
        <v/>
      </c>
      <c r="AB14" s="3">
        <f>IF(OR(U14="",ISTEXT(U14)),"sin dato",IF(U14&gt;='Léeme'!$B$20,"barato",IF(U14&lt;=-'Léeme'!$B$20,"caro","medio")))</f>
        <v/>
      </c>
      <c r="AC14" s="3">
        <f>IF(OR(Y14="",ISTEXT(Y14)),"sin dato",IF(Y14&gt;='Léeme'!$B$19,"barato",IF(Y14&lt;=-'Léeme'!$B$19,"caro","medio")))</f>
        <v/>
      </c>
      <c r="AD14" s="7" t="n"/>
      <c r="AE14" s="7" t="n"/>
      <c r="AF14" s="7" t="n"/>
      <c r="AG14" s="7" t="n"/>
    </row>
    <row r="15">
      <c r="A15" s="3" t="inlineStr">
        <is>
          <t>2001-T2</t>
        </is>
      </c>
      <c r="B15" s="13" t="n">
        <v>37071</v>
      </c>
      <c r="C15" s="14" t="n">
        <v>18.500001</v>
      </c>
      <c r="D15" s="14" t="n">
        <v>1.7</v>
      </c>
      <c r="E15" s="14" t="n">
        <v>2.28</v>
      </c>
      <c r="F15" s="5" t="n">
        <v>0.0542</v>
      </c>
      <c r="N15" s="9">
        <f>IF(F15="","",F15+'Léeme'!$B$10)</f>
        <v/>
      </c>
      <c r="O15" s="9">
        <f>IF(OR(G15="",N15=""),"",MIN(MAX(G15,'Léeme'!$B$11),'Léeme'!$B$12,N15-'Léeme'!$B$16))</f>
        <v/>
      </c>
      <c r="P15" s="16">
        <f>IF(OR(D15="",O15=""),"",IFERROR(IF(D15&lt;=0,"",D15*(1+O15)/(N15-O15)),""))</f>
        <v/>
      </c>
      <c r="Q15" s="9">
        <f>IF(H15="","",MIN(MAX(H15,'Léeme'!$B$13),'Léeme'!$B$14))</f>
        <v/>
      </c>
      <c r="R15" s="9">
        <f>IF(N15="","",MIN('Léeme'!$B$15,N15-'Léeme'!$B$16))</f>
        <v/>
      </c>
      <c r="S15" s="16">
        <f>IF(OR(E15="",Q15=""),"",IFERROR(IF(E15&lt;=0,"",E15*(((1+Q15)/(1+N15))+((1+Q15)/(1+N15))^2+((1+Q15)/(1+N15))^3+((1+Q15)/(1+N15))^4+((1+Q15)/(1+N15))^5)+E15*(1+Q15)^5*(1+R15)/((N15-R15)*(1+N15)^5)),""))</f>
        <v/>
      </c>
      <c r="T15" s="9">
        <f>IF(OR(E15="",N15=""),"",IFERROR((C15*N15-E15)/(C15+E15),""))</f>
        <v/>
      </c>
      <c r="U15" s="9">
        <f>IF(OR(H15="",T15=""),"",IFERROR(MIN(MAX(H15,'Léeme'!$B$17),'Léeme'!$B$18)-T15,""))</f>
        <v/>
      </c>
      <c r="V15" s="16">
        <f>IF(OR(I15="",M15="",L15=""),"",IFERROR((I15/M15-J15-K15)/L15,""))</f>
        <v/>
      </c>
      <c r="W15" s="11">
        <f>IFERROR(P15/C15-1,"")</f>
        <v/>
      </c>
      <c r="X15" s="11">
        <f>IFERROR(S15/C15-1,"")</f>
        <v/>
      </c>
      <c r="Y15" s="11">
        <f>IFERROR(V15/C15-1,"")</f>
        <v/>
      </c>
      <c r="Z15" s="3">
        <f>IF(OR(W15="",ISTEXT(W15)),"sin dato",IF(W15&gt;='Léeme'!$B$19,"barato",IF(W15&lt;=-'Léeme'!$B$19,"caro","medio")))</f>
        <v/>
      </c>
      <c r="AA15" s="3">
        <f>IF(OR(X15="",ISTEXT(X15)),"sin dato",IF(X15&gt;='Léeme'!$B$19,"barato",IF(X15&lt;=-'Léeme'!$B$19,"caro","medio")))</f>
        <v/>
      </c>
      <c r="AB15" s="3">
        <f>IF(OR(U15="",ISTEXT(U15)),"sin dato",IF(U15&gt;='Léeme'!$B$20,"barato",IF(U15&lt;=-'Léeme'!$B$20,"caro","medio")))</f>
        <v/>
      </c>
      <c r="AC15" s="3">
        <f>IF(OR(Y15="",ISTEXT(Y15)),"sin dato",IF(Y15&gt;='Léeme'!$B$19,"barato",IF(Y15&lt;=-'Léeme'!$B$19,"caro","medio")))</f>
        <v/>
      </c>
      <c r="AD15" s="7" t="n"/>
      <c r="AE15" s="7" t="n"/>
      <c r="AF15" s="7" t="n"/>
      <c r="AG15" s="7" t="n"/>
    </row>
    <row r="16">
      <c r="A16" s="3" t="inlineStr">
        <is>
          <t>2001-T3</t>
        </is>
      </c>
      <c r="B16" s="13" t="n">
        <v>37162</v>
      </c>
      <c r="C16" s="14" t="n">
        <v>21.35</v>
      </c>
      <c r="D16" s="14" t="n">
        <v>1.704</v>
      </c>
      <c r="E16" s="14" t="n">
        <v>2.28</v>
      </c>
      <c r="F16" s="5" t="n">
        <v>0.046</v>
      </c>
      <c r="N16" s="9">
        <f>IF(F16="","",F16+'Léeme'!$B$10)</f>
        <v/>
      </c>
      <c r="O16" s="9">
        <f>IF(OR(G16="",N16=""),"",MIN(MAX(G16,'Léeme'!$B$11),'Léeme'!$B$12,N16-'Léeme'!$B$16))</f>
        <v/>
      </c>
      <c r="P16" s="16">
        <f>IF(OR(D16="",O16=""),"",IFERROR(IF(D16&lt;=0,"",D16*(1+O16)/(N16-O16)),""))</f>
        <v/>
      </c>
      <c r="Q16" s="9">
        <f>IF(H16="","",MIN(MAX(H16,'Léeme'!$B$13),'Léeme'!$B$14))</f>
        <v/>
      </c>
      <c r="R16" s="9">
        <f>IF(N16="","",MIN('Léeme'!$B$15,N16-'Léeme'!$B$16))</f>
        <v/>
      </c>
      <c r="S16" s="16">
        <f>IF(OR(E16="",Q16=""),"",IFERROR(IF(E16&lt;=0,"",E16*(((1+Q16)/(1+N16))+((1+Q16)/(1+N16))^2+((1+Q16)/(1+N16))^3+((1+Q16)/(1+N16))^4+((1+Q16)/(1+N16))^5)+E16*(1+Q16)^5*(1+R16)/((N16-R16)*(1+N16)^5)),""))</f>
        <v/>
      </c>
      <c r="T16" s="9">
        <f>IF(OR(E16="",N16=""),"",IFERROR((C16*N16-E16)/(C16+E16),""))</f>
        <v/>
      </c>
      <c r="U16" s="9">
        <f>IF(OR(H16="",T16=""),"",IFERROR(MIN(MAX(H16,'Léeme'!$B$17),'Léeme'!$B$18)-T16,""))</f>
        <v/>
      </c>
      <c r="V16" s="16">
        <f>IF(OR(I16="",M16="",L16=""),"",IFERROR((I16/M16-J16-K16)/L16,""))</f>
        <v/>
      </c>
      <c r="W16" s="11">
        <f>IFERROR(P16/C16-1,"")</f>
        <v/>
      </c>
      <c r="X16" s="11">
        <f>IFERROR(S16/C16-1,"")</f>
        <v/>
      </c>
      <c r="Y16" s="11">
        <f>IFERROR(V16/C16-1,"")</f>
        <v/>
      </c>
      <c r="Z16" s="3">
        <f>IF(OR(W16="",ISTEXT(W16)),"sin dato",IF(W16&gt;='Léeme'!$B$19,"barato",IF(W16&lt;=-'Léeme'!$B$19,"caro","medio")))</f>
        <v/>
      </c>
      <c r="AA16" s="3">
        <f>IF(OR(X16="",ISTEXT(X16)),"sin dato",IF(X16&gt;='Léeme'!$B$19,"barato",IF(X16&lt;=-'Léeme'!$B$19,"caro","medio")))</f>
        <v/>
      </c>
      <c r="AB16" s="3">
        <f>IF(OR(U16="",ISTEXT(U16)),"sin dato",IF(U16&gt;='Léeme'!$B$20,"barato",IF(U16&lt;=-'Léeme'!$B$20,"caro","medio")))</f>
        <v/>
      </c>
      <c r="AC16" s="3">
        <f>IF(OR(Y16="",ISTEXT(Y16)),"sin dato",IF(Y16&gt;='Léeme'!$B$19,"barato",IF(Y16&lt;=-'Léeme'!$B$19,"caro","medio")))</f>
        <v/>
      </c>
      <c r="AD16" s="7" t="n"/>
      <c r="AE16" s="7" t="n"/>
      <c r="AF16" s="7" t="n"/>
      <c r="AG16" s="7" t="n"/>
    </row>
    <row r="17">
      <c r="A17" s="3" t="inlineStr">
        <is>
          <t>2001-T4</t>
        </is>
      </c>
      <c r="B17" s="13" t="n">
        <v>37256</v>
      </c>
      <c r="C17" s="14" t="n">
        <v>23.2</v>
      </c>
      <c r="D17" s="14" t="n">
        <v>1.708</v>
      </c>
      <c r="E17" s="14" t="n">
        <v>2.28</v>
      </c>
      <c r="F17" s="5" t="n">
        <v>0.0507</v>
      </c>
      <c r="N17" s="9">
        <f>IF(F17="","",F17+'Léeme'!$B$10)</f>
        <v/>
      </c>
      <c r="O17" s="9">
        <f>IF(OR(G17="",N17=""),"",MIN(MAX(G17,'Léeme'!$B$11),'Léeme'!$B$12,N17-'Léeme'!$B$16))</f>
        <v/>
      </c>
      <c r="P17" s="16">
        <f>IF(OR(D17="",O17=""),"",IFERROR(IF(D17&lt;=0,"",D17*(1+O17)/(N17-O17)),""))</f>
        <v/>
      </c>
      <c r="Q17" s="9">
        <f>IF(H17="","",MIN(MAX(H17,'Léeme'!$B$13),'Léeme'!$B$14))</f>
        <v/>
      </c>
      <c r="R17" s="9">
        <f>IF(N17="","",MIN('Léeme'!$B$15,N17-'Léeme'!$B$16))</f>
        <v/>
      </c>
      <c r="S17" s="16">
        <f>IF(OR(E17="",Q17=""),"",IFERROR(IF(E17&lt;=0,"",E17*(((1+Q17)/(1+N17))+((1+Q17)/(1+N17))^2+((1+Q17)/(1+N17))^3+((1+Q17)/(1+N17))^4+((1+Q17)/(1+N17))^5)+E17*(1+Q17)^5*(1+R17)/((N17-R17)*(1+N17)^5)),""))</f>
        <v/>
      </c>
      <c r="T17" s="9">
        <f>IF(OR(E17="",N17=""),"",IFERROR((C17*N17-E17)/(C17+E17),""))</f>
        <v/>
      </c>
      <c r="U17" s="9">
        <f>IF(OR(H17="",T17=""),"",IFERROR(MIN(MAX(H17,'Léeme'!$B$17),'Léeme'!$B$18)-T17,""))</f>
        <v/>
      </c>
      <c r="V17" s="16">
        <f>IF(OR(I17="",M17="",L17=""),"",IFERROR((I17/M17-J17-K17)/L17,""))</f>
        <v/>
      </c>
      <c r="W17" s="11">
        <f>IFERROR(P17/C17-1,"")</f>
        <v/>
      </c>
      <c r="X17" s="11">
        <f>IFERROR(S17/C17-1,"")</f>
        <v/>
      </c>
      <c r="Y17" s="11">
        <f>IFERROR(V17/C17-1,"")</f>
        <v/>
      </c>
      <c r="Z17" s="3">
        <f>IF(OR(W17="",ISTEXT(W17)),"sin dato",IF(W17&gt;='Léeme'!$B$19,"barato",IF(W17&lt;=-'Léeme'!$B$19,"caro","medio")))</f>
        <v/>
      </c>
      <c r="AA17" s="3">
        <f>IF(OR(X17="",ISTEXT(X17)),"sin dato",IF(X17&gt;='Léeme'!$B$19,"barato",IF(X17&lt;=-'Léeme'!$B$19,"caro","medio")))</f>
        <v/>
      </c>
      <c r="AB17" s="3">
        <f>IF(OR(U17="",ISTEXT(U17)),"sin dato",IF(U17&gt;='Léeme'!$B$20,"barato",IF(U17&lt;=-'Léeme'!$B$20,"caro","medio")))</f>
        <v/>
      </c>
      <c r="AC17" s="3">
        <f>IF(OR(Y17="",ISTEXT(Y17)),"sin dato",IF(Y17&gt;='Léeme'!$B$19,"barato",IF(Y17&lt;=-'Léeme'!$B$19,"caro","medio")))</f>
        <v/>
      </c>
      <c r="AD17" s="7" t="n"/>
      <c r="AE17" s="7" t="n"/>
      <c r="AF17" s="7" t="n"/>
      <c r="AG17" s="7" t="n"/>
    </row>
    <row r="18">
      <c r="A18" s="3" t="inlineStr">
        <is>
          <t>2002-T1</t>
        </is>
      </c>
      <c r="B18" s="13" t="n">
        <v>37343</v>
      </c>
      <c r="C18" s="14" t="n">
        <v>23.239999</v>
      </c>
      <c r="D18" s="14" t="n">
        <v>1.712</v>
      </c>
      <c r="E18" s="14" t="n">
        <v>2.41</v>
      </c>
      <c r="F18" s="5" t="n">
        <v>0.0542</v>
      </c>
      <c r="N18" s="9">
        <f>IF(F18="","",F18+'Léeme'!$B$10)</f>
        <v/>
      </c>
      <c r="O18" s="9">
        <f>IF(OR(G18="",N18=""),"",MIN(MAX(G18,'Léeme'!$B$11),'Léeme'!$B$12,N18-'Léeme'!$B$16))</f>
        <v/>
      </c>
      <c r="P18" s="16">
        <f>IF(OR(D18="",O18=""),"",IFERROR(IF(D18&lt;=0,"",D18*(1+O18)/(N18-O18)),""))</f>
        <v/>
      </c>
      <c r="Q18" s="9">
        <f>IF(H18="","",MIN(MAX(H18,'Léeme'!$B$13),'Léeme'!$B$14))</f>
        <v/>
      </c>
      <c r="R18" s="9">
        <f>IF(N18="","",MIN('Léeme'!$B$15,N18-'Léeme'!$B$16))</f>
        <v/>
      </c>
      <c r="S18" s="16">
        <f>IF(OR(E18="",Q18=""),"",IFERROR(IF(E18&lt;=0,"",E18*(((1+Q18)/(1+N18))+((1+Q18)/(1+N18))^2+((1+Q18)/(1+N18))^3+((1+Q18)/(1+N18))^4+((1+Q18)/(1+N18))^5)+E18*(1+Q18)^5*(1+R18)/((N18-R18)*(1+N18)^5)),""))</f>
        <v/>
      </c>
      <c r="T18" s="9">
        <f>IF(OR(E18="",N18=""),"",IFERROR((C18*N18-E18)/(C18+E18),""))</f>
        <v/>
      </c>
      <c r="U18" s="9">
        <f>IF(OR(H18="",T18=""),"",IFERROR(MIN(MAX(H18,'Léeme'!$B$17),'Léeme'!$B$18)-T18,""))</f>
        <v/>
      </c>
      <c r="V18" s="16">
        <f>IF(OR(I18="",M18="",L18=""),"",IFERROR((I18/M18-J18-K18)/L18,""))</f>
        <v/>
      </c>
      <c r="W18" s="11">
        <f>IFERROR(P18/C18-1,"")</f>
        <v/>
      </c>
      <c r="X18" s="11">
        <f>IFERROR(S18/C18-1,"")</f>
        <v/>
      </c>
      <c r="Y18" s="11">
        <f>IFERROR(V18/C18-1,"")</f>
        <v/>
      </c>
      <c r="Z18" s="3">
        <f>IF(OR(W18="",ISTEXT(W18)),"sin dato",IF(W18&gt;='Léeme'!$B$19,"barato",IF(W18&lt;=-'Léeme'!$B$19,"caro","medio")))</f>
        <v/>
      </c>
      <c r="AA18" s="3">
        <f>IF(OR(X18="",ISTEXT(X18)),"sin dato",IF(X18&gt;='Léeme'!$B$19,"barato",IF(X18&lt;=-'Léeme'!$B$19,"caro","medio")))</f>
        <v/>
      </c>
      <c r="AB18" s="3">
        <f>IF(OR(U18="",ISTEXT(U18)),"sin dato",IF(U18&gt;='Léeme'!$B$20,"barato",IF(U18&lt;=-'Léeme'!$B$20,"caro","medio")))</f>
        <v/>
      </c>
      <c r="AC18" s="3">
        <f>IF(OR(Y18="",ISTEXT(Y18)),"sin dato",IF(Y18&gt;='Léeme'!$B$19,"barato",IF(Y18&lt;=-'Léeme'!$B$19,"caro","medio")))</f>
        <v/>
      </c>
      <c r="AD18" s="7" t="n"/>
      <c r="AE18" s="7" t="n"/>
      <c r="AF18" s="7" t="n"/>
      <c r="AG18" s="7" t="n"/>
    </row>
    <row r="19">
      <c r="A19" s="3" t="inlineStr">
        <is>
          <t>2002-T2</t>
        </is>
      </c>
      <c r="B19" s="13" t="n">
        <v>37435</v>
      </c>
      <c r="C19" s="14" t="n">
        <v>22.5</v>
      </c>
      <c r="D19" s="14" t="n">
        <v>1.712</v>
      </c>
      <c r="E19" s="14" t="n">
        <v>2.41</v>
      </c>
      <c r="F19" s="5" t="n">
        <v>0.0486</v>
      </c>
      <c r="N19" s="9">
        <f>IF(F19="","",F19+'Léeme'!$B$10)</f>
        <v/>
      </c>
      <c r="O19" s="9">
        <f>IF(OR(G19="",N19=""),"",MIN(MAX(G19,'Léeme'!$B$11),'Léeme'!$B$12,N19-'Léeme'!$B$16))</f>
        <v/>
      </c>
      <c r="P19" s="16">
        <f>IF(OR(D19="",O19=""),"",IFERROR(IF(D19&lt;=0,"",D19*(1+O19)/(N19-O19)),""))</f>
        <v/>
      </c>
      <c r="Q19" s="9">
        <f>IF(H19="","",MIN(MAX(H19,'Léeme'!$B$13),'Léeme'!$B$14))</f>
        <v/>
      </c>
      <c r="R19" s="9">
        <f>IF(N19="","",MIN('Léeme'!$B$15,N19-'Léeme'!$B$16))</f>
        <v/>
      </c>
      <c r="S19" s="16">
        <f>IF(OR(E19="",Q19=""),"",IFERROR(IF(E19&lt;=0,"",E19*(((1+Q19)/(1+N19))+((1+Q19)/(1+N19))^2+((1+Q19)/(1+N19))^3+((1+Q19)/(1+N19))^4+((1+Q19)/(1+N19))^5)+E19*(1+Q19)^5*(1+R19)/((N19-R19)*(1+N19)^5)),""))</f>
        <v/>
      </c>
      <c r="T19" s="9">
        <f>IF(OR(E19="",N19=""),"",IFERROR((C19*N19-E19)/(C19+E19),""))</f>
        <v/>
      </c>
      <c r="U19" s="9">
        <f>IF(OR(H19="",T19=""),"",IFERROR(MIN(MAX(H19,'Léeme'!$B$17),'Léeme'!$B$18)-T19,""))</f>
        <v/>
      </c>
      <c r="V19" s="16">
        <f>IF(OR(I19="",M19="",L19=""),"",IFERROR((I19/M19-J19-K19)/L19,""))</f>
        <v/>
      </c>
      <c r="W19" s="11">
        <f>IFERROR(P19/C19-1,"")</f>
        <v/>
      </c>
      <c r="X19" s="11">
        <f>IFERROR(S19/C19-1,"")</f>
        <v/>
      </c>
      <c r="Y19" s="11">
        <f>IFERROR(V19/C19-1,"")</f>
        <v/>
      </c>
      <c r="Z19" s="3">
        <f>IF(OR(W19="",ISTEXT(W19)),"sin dato",IF(W19&gt;='Léeme'!$B$19,"barato",IF(W19&lt;=-'Léeme'!$B$19,"caro","medio")))</f>
        <v/>
      </c>
      <c r="AA19" s="3">
        <f>IF(OR(X19="",ISTEXT(X19)),"sin dato",IF(X19&gt;='Léeme'!$B$19,"barato",IF(X19&lt;=-'Léeme'!$B$19,"caro","medio")))</f>
        <v/>
      </c>
      <c r="AB19" s="3">
        <f>IF(OR(U19="",ISTEXT(U19)),"sin dato",IF(U19&gt;='Léeme'!$B$20,"barato",IF(U19&lt;=-'Léeme'!$B$20,"caro","medio")))</f>
        <v/>
      </c>
      <c r="AC19" s="3">
        <f>IF(OR(Y19="",ISTEXT(Y19)),"sin dato",IF(Y19&gt;='Léeme'!$B$19,"barato",IF(Y19&lt;=-'Léeme'!$B$19,"caro","medio")))</f>
        <v/>
      </c>
      <c r="AD19" s="7" t="n"/>
      <c r="AE19" s="7" t="n"/>
      <c r="AF19" s="7" t="n"/>
      <c r="AG19" s="7" t="n"/>
    </row>
    <row r="20">
      <c r="A20" s="3" t="inlineStr">
        <is>
          <t>2002-T3</t>
        </is>
      </c>
      <c r="B20" s="13" t="n">
        <v>37529</v>
      </c>
      <c r="C20" s="14" t="n">
        <v>24.799999</v>
      </c>
      <c r="D20" s="14" t="n">
        <v>1.72</v>
      </c>
      <c r="E20" s="14" t="n">
        <v>2.41</v>
      </c>
      <c r="F20" s="5" t="n">
        <v>0.0363</v>
      </c>
      <c r="N20" s="9">
        <f>IF(F20="","",F20+'Léeme'!$B$10)</f>
        <v/>
      </c>
      <c r="O20" s="9">
        <f>IF(OR(G20="",N20=""),"",MIN(MAX(G20,'Léeme'!$B$11),'Léeme'!$B$12,N20-'Léeme'!$B$16))</f>
        <v/>
      </c>
      <c r="P20" s="16">
        <f>IF(OR(D20="",O20=""),"",IFERROR(IF(D20&lt;=0,"",D20*(1+O20)/(N20-O20)),""))</f>
        <v/>
      </c>
      <c r="Q20" s="9">
        <f>IF(H20="","",MIN(MAX(H20,'Léeme'!$B$13),'Léeme'!$B$14))</f>
        <v/>
      </c>
      <c r="R20" s="9">
        <f>IF(N20="","",MIN('Léeme'!$B$15,N20-'Léeme'!$B$16))</f>
        <v/>
      </c>
      <c r="S20" s="16">
        <f>IF(OR(E20="",Q20=""),"",IFERROR(IF(E20&lt;=0,"",E20*(((1+Q20)/(1+N20))+((1+Q20)/(1+N20))^2+((1+Q20)/(1+N20))^3+((1+Q20)/(1+N20))^4+((1+Q20)/(1+N20))^5)+E20*(1+Q20)^5*(1+R20)/((N20-R20)*(1+N20)^5)),""))</f>
        <v/>
      </c>
      <c r="T20" s="9">
        <f>IF(OR(E20="",N20=""),"",IFERROR((C20*N20-E20)/(C20+E20),""))</f>
        <v/>
      </c>
      <c r="U20" s="9">
        <f>IF(OR(H20="",T20=""),"",IFERROR(MIN(MAX(H20,'Léeme'!$B$17),'Léeme'!$B$18)-T20,""))</f>
        <v/>
      </c>
      <c r="V20" s="16">
        <f>IF(OR(I20="",M20="",L20=""),"",IFERROR((I20/M20-J20-K20)/L20,""))</f>
        <v/>
      </c>
      <c r="W20" s="11">
        <f>IFERROR(P20/C20-1,"")</f>
        <v/>
      </c>
      <c r="X20" s="11">
        <f>IFERROR(S20/C20-1,"")</f>
        <v/>
      </c>
      <c r="Y20" s="11">
        <f>IFERROR(V20/C20-1,"")</f>
        <v/>
      </c>
      <c r="Z20" s="3">
        <f>IF(OR(W20="",ISTEXT(W20)),"sin dato",IF(W20&gt;='Léeme'!$B$19,"barato",IF(W20&lt;=-'Léeme'!$B$19,"caro","medio")))</f>
        <v/>
      </c>
      <c r="AA20" s="3">
        <f>IF(OR(X20="",ISTEXT(X20)),"sin dato",IF(X20&gt;='Léeme'!$B$19,"barato",IF(X20&lt;=-'Léeme'!$B$19,"caro","medio")))</f>
        <v/>
      </c>
      <c r="AB20" s="3">
        <f>IF(OR(U20="",ISTEXT(U20)),"sin dato",IF(U20&gt;='Léeme'!$B$20,"barato",IF(U20&lt;=-'Léeme'!$B$20,"caro","medio")))</f>
        <v/>
      </c>
      <c r="AC20" s="3">
        <f>IF(OR(Y20="",ISTEXT(Y20)),"sin dato",IF(Y20&gt;='Léeme'!$B$19,"barato",IF(Y20&lt;=-'Léeme'!$B$19,"caro","medio")))</f>
        <v/>
      </c>
      <c r="AD20" s="7" t="n"/>
      <c r="AE20" s="7" t="n"/>
      <c r="AF20" s="7" t="n"/>
      <c r="AG20" s="7" t="n"/>
    </row>
    <row r="21">
      <c r="A21" s="3" t="inlineStr">
        <is>
          <t>2002-T4</t>
        </is>
      </c>
      <c r="B21" s="13" t="n">
        <v>37621</v>
      </c>
      <c r="C21" s="14" t="n">
        <v>24.75</v>
      </c>
      <c r="D21" s="14" t="n">
        <v>1.72</v>
      </c>
      <c r="E21" s="14" t="n">
        <v>2.41</v>
      </c>
      <c r="F21" s="5" t="n">
        <v>0.0383</v>
      </c>
      <c r="N21" s="9">
        <f>IF(F21="","",F21+'Léeme'!$B$10)</f>
        <v/>
      </c>
      <c r="O21" s="9">
        <f>IF(OR(G21="",N21=""),"",MIN(MAX(G21,'Léeme'!$B$11),'Léeme'!$B$12,N21-'Léeme'!$B$16))</f>
        <v/>
      </c>
      <c r="P21" s="16">
        <f>IF(OR(D21="",O21=""),"",IFERROR(IF(D21&lt;=0,"",D21*(1+O21)/(N21-O21)),""))</f>
        <v/>
      </c>
      <c r="Q21" s="9">
        <f>IF(H21="","",MIN(MAX(H21,'Léeme'!$B$13),'Léeme'!$B$14))</f>
        <v/>
      </c>
      <c r="R21" s="9">
        <f>IF(N21="","",MIN('Léeme'!$B$15,N21-'Léeme'!$B$16))</f>
        <v/>
      </c>
      <c r="S21" s="16">
        <f>IF(OR(E21="",Q21=""),"",IFERROR(IF(E21&lt;=0,"",E21*(((1+Q21)/(1+N21))+((1+Q21)/(1+N21))^2+((1+Q21)/(1+N21))^3+((1+Q21)/(1+N21))^4+((1+Q21)/(1+N21))^5)+E21*(1+Q21)^5*(1+R21)/((N21-R21)*(1+N21)^5)),""))</f>
        <v/>
      </c>
      <c r="T21" s="9">
        <f>IF(OR(E21="",N21=""),"",IFERROR((C21*N21-E21)/(C21+E21),""))</f>
        <v/>
      </c>
      <c r="U21" s="9">
        <f>IF(OR(H21="",T21=""),"",IFERROR(MIN(MAX(H21,'Léeme'!$B$17),'Léeme'!$B$18)-T21,""))</f>
        <v/>
      </c>
      <c r="V21" s="16">
        <f>IF(OR(I21="",M21="",L21=""),"",IFERROR((I21/M21-J21-K21)/L21,""))</f>
        <v/>
      </c>
      <c r="W21" s="11">
        <f>IFERROR(P21/C21-1,"")</f>
        <v/>
      </c>
      <c r="X21" s="11">
        <f>IFERROR(S21/C21-1,"")</f>
        <v/>
      </c>
      <c r="Y21" s="11">
        <f>IFERROR(V21/C21-1,"")</f>
        <v/>
      </c>
      <c r="Z21" s="3">
        <f>IF(OR(W21="",ISTEXT(W21)),"sin dato",IF(W21&gt;='Léeme'!$B$19,"barato",IF(W21&lt;=-'Léeme'!$B$19,"caro","medio")))</f>
        <v/>
      </c>
      <c r="AA21" s="3">
        <f>IF(OR(X21="",ISTEXT(X21)),"sin dato",IF(X21&gt;='Léeme'!$B$19,"barato",IF(X21&lt;=-'Léeme'!$B$19,"caro","medio")))</f>
        <v/>
      </c>
      <c r="AB21" s="3">
        <f>IF(OR(U21="",ISTEXT(U21)),"sin dato",IF(U21&gt;='Léeme'!$B$20,"barato",IF(U21&lt;=-'Léeme'!$B$20,"caro","medio")))</f>
        <v/>
      </c>
      <c r="AC21" s="3">
        <f>IF(OR(Y21="",ISTEXT(Y21)),"sin dato",IF(Y21&gt;='Léeme'!$B$19,"barato",IF(Y21&lt;=-'Léeme'!$B$19,"caro","medio")))</f>
        <v/>
      </c>
      <c r="AD21" s="7" t="n"/>
      <c r="AE21" s="7" t="n"/>
      <c r="AF21" s="7" t="n"/>
      <c r="AG21" s="7" t="n"/>
    </row>
    <row r="22">
      <c r="A22" s="3" t="inlineStr">
        <is>
          <t>2003-T1</t>
        </is>
      </c>
      <c r="B22" s="13" t="n">
        <v>37711</v>
      </c>
      <c r="C22" s="14" t="n">
        <v>25</v>
      </c>
      <c r="D22" s="14" t="n">
        <v>1.728</v>
      </c>
      <c r="E22" s="14" t="n">
        <v>2.81</v>
      </c>
      <c r="F22" s="5" t="n">
        <v>0.0383</v>
      </c>
      <c r="G22" s="5" t="n">
        <v>0.009525529576546621</v>
      </c>
      <c r="N22" s="9">
        <f>IF(F22="","",F22+'Léeme'!$B$10)</f>
        <v/>
      </c>
      <c r="O22" s="9">
        <f>IF(OR(G22="",N22=""),"",MIN(MAX(G22,'Léeme'!$B$11),'Léeme'!$B$12,N22-'Léeme'!$B$16))</f>
        <v/>
      </c>
      <c r="P22" s="16">
        <f>IF(OR(D22="",O22=""),"",IFERROR(IF(D22&lt;=0,"",D22*(1+O22)/(N22-O22)),""))</f>
        <v/>
      </c>
      <c r="Q22" s="9">
        <f>IF(H22="","",MIN(MAX(H22,'Léeme'!$B$13),'Léeme'!$B$14))</f>
        <v/>
      </c>
      <c r="R22" s="9">
        <f>IF(N22="","",MIN('Léeme'!$B$15,N22-'Léeme'!$B$16))</f>
        <v/>
      </c>
      <c r="S22" s="16">
        <f>IF(OR(E22="",Q22=""),"",IFERROR(IF(E22&lt;=0,"",E22*(((1+Q22)/(1+N22))+((1+Q22)/(1+N22))^2+((1+Q22)/(1+N22))^3+((1+Q22)/(1+N22))^4+((1+Q22)/(1+N22))^5)+E22*(1+Q22)^5*(1+R22)/((N22-R22)*(1+N22)^5)),""))</f>
        <v/>
      </c>
      <c r="T22" s="9">
        <f>IF(OR(E22="",N22=""),"",IFERROR((C22*N22-E22)/(C22+E22),""))</f>
        <v/>
      </c>
      <c r="U22" s="9">
        <f>IF(OR(H22="",T22=""),"",IFERROR(MIN(MAX(H22,'Léeme'!$B$17),'Léeme'!$B$18)-T22,""))</f>
        <v/>
      </c>
      <c r="V22" s="16">
        <f>IF(OR(I22="",M22="",L22=""),"",IFERROR((I22/M22-J22-K22)/L22,""))</f>
        <v/>
      </c>
      <c r="W22" s="11">
        <f>IFERROR(P22/C22-1,"")</f>
        <v/>
      </c>
      <c r="X22" s="11">
        <f>IFERROR(S22/C22-1,"")</f>
        <v/>
      </c>
      <c r="Y22" s="11">
        <f>IFERROR(V22/C22-1,"")</f>
        <v/>
      </c>
      <c r="Z22" s="3">
        <f>IF(OR(W22="",ISTEXT(W22)),"sin dato",IF(W22&gt;='Léeme'!$B$19,"barato",IF(W22&lt;=-'Léeme'!$B$19,"caro","medio")))</f>
        <v/>
      </c>
      <c r="AA22" s="3">
        <f>IF(OR(X22="",ISTEXT(X22)),"sin dato",IF(X22&gt;='Léeme'!$B$19,"barato",IF(X22&lt;=-'Léeme'!$B$19,"caro","medio")))</f>
        <v/>
      </c>
      <c r="AB22" s="3">
        <f>IF(OR(U22="",ISTEXT(U22)),"sin dato",IF(U22&gt;='Léeme'!$B$20,"barato",IF(U22&lt;=-'Léeme'!$B$20,"caro","medio")))</f>
        <v/>
      </c>
      <c r="AC22" s="3">
        <f>IF(OR(Y22="",ISTEXT(Y22)),"sin dato",IF(Y22&gt;='Léeme'!$B$19,"barato",IF(Y22&lt;=-'Léeme'!$B$19,"caro","medio")))</f>
        <v/>
      </c>
      <c r="AD22" s="7" t="n"/>
      <c r="AE22" s="7" t="n"/>
      <c r="AF22" s="7" t="n"/>
      <c r="AG22" s="7" t="n"/>
    </row>
    <row r="23">
      <c r="A23" s="3" t="inlineStr">
        <is>
          <t>2003-T2</t>
        </is>
      </c>
      <c r="B23" s="13" t="n">
        <v>37802</v>
      </c>
      <c r="C23" s="14" t="n">
        <v>29.94</v>
      </c>
      <c r="D23" s="14" t="n">
        <v>1.732</v>
      </c>
      <c r="E23" s="14" t="n">
        <v>2.81</v>
      </c>
      <c r="F23" s="5" t="n">
        <v>0.0354</v>
      </c>
      <c r="G23" s="5" t="n">
        <v>0.009992470354266203</v>
      </c>
      <c r="N23" s="9">
        <f>IF(F23="","",F23+'Léeme'!$B$10)</f>
        <v/>
      </c>
      <c r="O23" s="9">
        <f>IF(OR(G23="",N23=""),"",MIN(MAX(G23,'Léeme'!$B$11),'Léeme'!$B$12,N23-'Léeme'!$B$16))</f>
        <v/>
      </c>
      <c r="P23" s="16">
        <f>IF(OR(D23="",O23=""),"",IFERROR(IF(D23&lt;=0,"",D23*(1+O23)/(N23-O23)),""))</f>
        <v/>
      </c>
      <c r="Q23" s="9">
        <f>IF(H23="","",MIN(MAX(H23,'Léeme'!$B$13),'Léeme'!$B$14))</f>
        <v/>
      </c>
      <c r="R23" s="9">
        <f>IF(N23="","",MIN('Léeme'!$B$15,N23-'Léeme'!$B$16))</f>
        <v/>
      </c>
      <c r="S23" s="16">
        <f>IF(OR(E23="",Q23=""),"",IFERROR(IF(E23&lt;=0,"",E23*(((1+Q23)/(1+N23))+((1+Q23)/(1+N23))^2+((1+Q23)/(1+N23))^3+((1+Q23)/(1+N23))^4+((1+Q23)/(1+N23))^5)+E23*(1+Q23)^5*(1+R23)/((N23-R23)*(1+N23)^5)),""))</f>
        <v/>
      </c>
      <c r="T23" s="9">
        <f>IF(OR(E23="",N23=""),"",IFERROR((C23*N23-E23)/(C23+E23),""))</f>
        <v/>
      </c>
      <c r="U23" s="9">
        <f>IF(OR(H23="",T23=""),"",IFERROR(MIN(MAX(H23,'Léeme'!$B$17),'Léeme'!$B$18)-T23,""))</f>
        <v/>
      </c>
      <c r="V23" s="16">
        <f>IF(OR(I23="",M23="",L23=""),"",IFERROR((I23/M23-J23-K23)/L23,""))</f>
        <v/>
      </c>
      <c r="W23" s="11">
        <f>IFERROR(P23/C23-1,"")</f>
        <v/>
      </c>
      <c r="X23" s="11">
        <f>IFERROR(S23/C23-1,"")</f>
        <v/>
      </c>
      <c r="Y23" s="11">
        <f>IFERROR(V23/C23-1,"")</f>
        <v/>
      </c>
      <c r="Z23" s="3">
        <f>IF(OR(W23="",ISTEXT(W23)),"sin dato",IF(W23&gt;='Léeme'!$B$19,"barato",IF(W23&lt;=-'Léeme'!$B$19,"caro","medio")))</f>
        <v/>
      </c>
      <c r="AA23" s="3">
        <f>IF(OR(X23="",ISTEXT(X23)),"sin dato",IF(X23&gt;='Léeme'!$B$19,"barato",IF(X23&lt;=-'Léeme'!$B$19,"caro","medio")))</f>
        <v/>
      </c>
      <c r="AB23" s="3">
        <f>IF(OR(U23="",ISTEXT(U23)),"sin dato",IF(U23&gt;='Léeme'!$B$20,"barato",IF(U23&lt;=-'Léeme'!$B$20,"caro","medio")))</f>
        <v/>
      </c>
      <c r="AC23" s="3">
        <f>IF(OR(Y23="",ISTEXT(Y23)),"sin dato",IF(Y23&gt;='Léeme'!$B$19,"barato",IF(Y23&lt;=-'Léeme'!$B$19,"caro","medio")))</f>
        <v/>
      </c>
      <c r="AD23" s="7" t="n"/>
      <c r="AE23" s="7" t="n"/>
      <c r="AF23" s="7" t="n"/>
      <c r="AG23" s="7" t="n"/>
    </row>
    <row r="24">
      <c r="A24" s="3" t="inlineStr">
        <is>
          <t>2003-T3</t>
        </is>
      </c>
      <c r="B24" s="13" t="n">
        <v>37894</v>
      </c>
      <c r="C24" s="14" t="n">
        <v>31.75</v>
      </c>
      <c r="D24" s="14" t="n">
        <v>1.732</v>
      </c>
      <c r="E24" s="14" t="n">
        <v>2.81</v>
      </c>
      <c r="F24" s="5" t="n">
        <v>0.0396</v>
      </c>
      <c r="G24" s="5" t="n">
        <v>0.009992470354266203</v>
      </c>
      <c r="N24" s="9">
        <f>IF(F24="","",F24+'Léeme'!$B$10)</f>
        <v/>
      </c>
      <c r="O24" s="9">
        <f>IF(OR(G24="",N24=""),"",MIN(MAX(G24,'Léeme'!$B$11),'Léeme'!$B$12,N24-'Léeme'!$B$16))</f>
        <v/>
      </c>
      <c r="P24" s="16">
        <f>IF(OR(D24="",O24=""),"",IFERROR(IF(D24&lt;=0,"",D24*(1+O24)/(N24-O24)),""))</f>
        <v/>
      </c>
      <c r="Q24" s="9">
        <f>IF(H24="","",MIN(MAX(H24,'Léeme'!$B$13),'Léeme'!$B$14))</f>
        <v/>
      </c>
      <c r="R24" s="9">
        <f>IF(N24="","",MIN('Léeme'!$B$15,N24-'Léeme'!$B$16))</f>
        <v/>
      </c>
      <c r="S24" s="16">
        <f>IF(OR(E24="",Q24=""),"",IFERROR(IF(E24&lt;=0,"",E24*(((1+Q24)/(1+N24))+((1+Q24)/(1+N24))^2+((1+Q24)/(1+N24))^3+((1+Q24)/(1+N24))^4+((1+Q24)/(1+N24))^5)+E24*(1+Q24)^5*(1+R24)/((N24-R24)*(1+N24)^5)),""))</f>
        <v/>
      </c>
      <c r="T24" s="9">
        <f>IF(OR(E24="",N24=""),"",IFERROR((C24*N24-E24)/(C24+E24),""))</f>
        <v/>
      </c>
      <c r="U24" s="9">
        <f>IF(OR(H24="",T24=""),"",IFERROR(MIN(MAX(H24,'Léeme'!$B$17),'Léeme'!$B$18)-T24,""))</f>
        <v/>
      </c>
      <c r="V24" s="16">
        <f>IF(OR(I24="",M24="",L24=""),"",IFERROR((I24/M24-J24-K24)/L24,""))</f>
        <v/>
      </c>
      <c r="W24" s="11">
        <f>IFERROR(P24/C24-1,"")</f>
        <v/>
      </c>
      <c r="X24" s="11">
        <f>IFERROR(S24/C24-1,"")</f>
        <v/>
      </c>
      <c r="Y24" s="11">
        <f>IFERROR(V24/C24-1,"")</f>
        <v/>
      </c>
      <c r="Z24" s="3">
        <f>IF(OR(W24="",ISTEXT(W24)),"sin dato",IF(W24&gt;='Léeme'!$B$19,"barato",IF(W24&lt;=-'Léeme'!$B$19,"caro","medio")))</f>
        <v/>
      </c>
      <c r="AA24" s="3">
        <f>IF(OR(X24="",ISTEXT(X24)),"sin dato",IF(X24&gt;='Léeme'!$B$19,"barato",IF(X24&lt;=-'Léeme'!$B$19,"caro","medio")))</f>
        <v/>
      </c>
      <c r="AB24" s="3">
        <f>IF(OR(U24="",ISTEXT(U24)),"sin dato",IF(U24&gt;='Léeme'!$B$20,"barato",IF(U24&lt;=-'Léeme'!$B$20,"caro","medio")))</f>
        <v/>
      </c>
      <c r="AC24" s="3">
        <f>IF(OR(Y24="",ISTEXT(Y24)),"sin dato",IF(Y24&gt;='Léeme'!$B$19,"barato",IF(Y24&lt;=-'Léeme'!$B$19,"caro","medio")))</f>
        <v/>
      </c>
      <c r="AD24" s="7" t="n"/>
      <c r="AE24" s="7" t="n"/>
      <c r="AF24" s="7" t="n"/>
      <c r="AG24" s="7" t="n"/>
    </row>
    <row r="25">
      <c r="A25" s="3" t="inlineStr">
        <is>
          <t>2003-T4</t>
        </is>
      </c>
      <c r="B25" s="13" t="n">
        <v>37986</v>
      </c>
      <c r="C25" s="14" t="n">
        <v>30.519999</v>
      </c>
      <c r="D25" s="14" t="n">
        <v>1.74</v>
      </c>
      <c r="E25" s="14" t="n">
        <v>2.81</v>
      </c>
      <c r="F25" s="5" t="n">
        <v>0.04269999999999999</v>
      </c>
      <c r="G25" s="5" t="n">
        <v>0.01092376974295917</v>
      </c>
      <c r="N25" s="9">
        <f>IF(F25="","",F25+'Léeme'!$B$10)</f>
        <v/>
      </c>
      <c r="O25" s="9">
        <f>IF(OR(G25="",N25=""),"",MIN(MAX(G25,'Léeme'!$B$11),'Léeme'!$B$12,N25-'Léeme'!$B$16))</f>
        <v/>
      </c>
      <c r="P25" s="16">
        <f>IF(OR(D25="",O25=""),"",IFERROR(IF(D25&lt;=0,"",D25*(1+O25)/(N25-O25)),""))</f>
        <v/>
      </c>
      <c r="Q25" s="9">
        <f>IF(H25="","",MIN(MAX(H25,'Léeme'!$B$13),'Léeme'!$B$14))</f>
        <v/>
      </c>
      <c r="R25" s="9">
        <f>IF(N25="","",MIN('Léeme'!$B$15,N25-'Léeme'!$B$16))</f>
        <v/>
      </c>
      <c r="S25" s="16">
        <f>IF(OR(E25="",Q25=""),"",IFERROR(IF(E25&lt;=0,"",E25*(((1+Q25)/(1+N25))+((1+Q25)/(1+N25))^2+((1+Q25)/(1+N25))^3+((1+Q25)/(1+N25))^4+((1+Q25)/(1+N25))^5)+E25*(1+Q25)^5*(1+R25)/((N25-R25)*(1+N25)^5)),""))</f>
        <v/>
      </c>
      <c r="T25" s="9">
        <f>IF(OR(E25="",N25=""),"",IFERROR((C25*N25-E25)/(C25+E25),""))</f>
        <v/>
      </c>
      <c r="U25" s="9">
        <f>IF(OR(H25="",T25=""),"",IFERROR(MIN(MAX(H25,'Léeme'!$B$17),'Léeme'!$B$18)-T25,""))</f>
        <v/>
      </c>
      <c r="V25" s="16">
        <f>IF(OR(I25="",M25="",L25=""),"",IFERROR((I25/M25-J25-K25)/L25,""))</f>
        <v/>
      </c>
      <c r="W25" s="11">
        <f>IFERROR(P25/C25-1,"")</f>
        <v/>
      </c>
      <c r="X25" s="11">
        <f>IFERROR(S25/C25-1,"")</f>
        <v/>
      </c>
      <c r="Y25" s="11">
        <f>IFERROR(V25/C25-1,"")</f>
        <v/>
      </c>
      <c r="Z25" s="3">
        <f>IF(OR(W25="",ISTEXT(W25)),"sin dato",IF(W25&gt;='Léeme'!$B$19,"barato",IF(W25&lt;=-'Léeme'!$B$19,"caro","medio")))</f>
        <v/>
      </c>
      <c r="AA25" s="3">
        <f>IF(OR(X25="",ISTEXT(X25)),"sin dato",IF(X25&gt;='Léeme'!$B$19,"barato",IF(X25&lt;=-'Léeme'!$B$19,"caro","medio")))</f>
        <v/>
      </c>
      <c r="AB25" s="3">
        <f>IF(OR(U25="",ISTEXT(U25)),"sin dato",IF(U25&gt;='Léeme'!$B$20,"barato",IF(U25&lt;=-'Léeme'!$B$20,"caro","medio")))</f>
        <v/>
      </c>
      <c r="AC25" s="3">
        <f>IF(OR(Y25="",ISTEXT(Y25)),"sin dato",IF(Y25&gt;='Léeme'!$B$19,"barato",IF(Y25&lt;=-'Léeme'!$B$19,"caro","medio")))</f>
        <v/>
      </c>
      <c r="AD25" s="7" t="n"/>
      <c r="AE25" s="7" t="n"/>
      <c r="AF25" s="7" t="n"/>
      <c r="AG25" s="7" t="n"/>
    </row>
    <row r="26">
      <c r="A26" s="3" t="inlineStr">
        <is>
          <t>2004-T1</t>
        </is>
      </c>
      <c r="B26" s="13" t="n">
        <v>38077</v>
      </c>
      <c r="C26" s="14" t="n">
        <v>30.949999</v>
      </c>
      <c r="D26" s="14" t="n">
        <v>1.74</v>
      </c>
      <c r="E26" s="14" t="n">
        <v>2.78</v>
      </c>
      <c r="F26" s="5" t="n">
        <v>0.0386</v>
      </c>
      <c r="G26" s="5" t="n">
        <v>0.008004788075489433</v>
      </c>
      <c r="N26" s="9">
        <f>IF(F26="","",F26+'Léeme'!$B$10)</f>
        <v/>
      </c>
      <c r="O26" s="9">
        <f>IF(OR(G26="",N26=""),"",MIN(MAX(G26,'Léeme'!$B$11),'Léeme'!$B$12,N26-'Léeme'!$B$16))</f>
        <v/>
      </c>
      <c r="P26" s="16">
        <f>IF(OR(D26="",O26=""),"",IFERROR(IF(D26&lt;=0,"",D26*(1+O26)/(N26-O26)),""))</f>
        <v/>
      </c>
      <c r="Q26" s="9">
        <f>IF(H26="","",MIN(MAX(H26,'Léeme'!$B$13),'Léeme'!$B$14))</f>
        <v/>
      </c>
      <c r="R26" s="9">
        <f>IF(N26="","",MIN('Léeme'!$B$15,N26-'Léeme'!$B$16))</f>
        <v/>
      </c>
      <c r="S26" s="16">
        <f>IF(OR(E26="",Q26=""),"",IFERROR(IF(E26&lt;=0,"",E26*(((1+Q26)/(1+N26))+((1+Q26)/(1+N26))^2+((1+Q26)/(1+N26))^3+((1+Q26)/(1+N26))^4+((1+Q26)/(1+N26))^5)+E26*(1+Q26)^5*(1+R26)/((N26-R26)*(1+N26)^5)),""))</f>
        <v/>
      </c>
      <c r="T26" s="9">
        <f>IF(OR(E26="",N26=""),"",IFERROR((C26*N26-E26)/(C26+E26),""))</f>
        <v/>
      </c>
      <c r="U26" s="9">
        <f>IF(OR(H26="",T26=""),"",IFERROR(MIN(MAX(H26,'Léeme'!$B$17),'Léeme'!$B$18)-T26,""))</f>
        <v/>
      </c>
      <c r="V26" s="16">
        <f>IF(OR(I26="",M26="",L26=""),"",IFERROR((I26/M26-J26-K26)/L26,""))</f>
        <v/>
      </c>
      <c r="W26" s="11">
        <f>IFERROR(P26/C26-1,"")</f>
        <v/>
      </c>
      <c r="X26" s="11">
        <f>IFERROR(S26/C26-1,"")</f>
        <v/>
      </c>
      <c r="Y26" s="11">
        <f>IFERROR(V26/C26-1,"")</f>
        <v/>
      </c>
      <c r="Z26" s="3">
        <f>IF(OR(W26="",ISTEXT(W26)),"sin dato",IF(W26&gt;='Léeme'!$B$19,"barato",IF(W26&lt;=-'Léeme'!$B$19,"caro","medio")))</f>
        <v/>
      </c>
      <c r="AA26" s="3">
        <f>IF(OR(X26="",ISTEXT(X26)),"sin dato",IF(X26&gt;='Léeme'!$B$19,"barato",IF(X26&lt;=-'Léeme'!$B$19,"caro","medio")))</f>
        <v/>
      </c>
      <c r="AB26" s="3">
        <f>IF(OR(U26="",ISTEXT(U26)),"sin dato",IF(U26&gt;='Léeme'!$B$20,"barato",IF(U26&lt;=-'Léeme'!$B$20,"caro","medio")))</f>
        <v/>
      </c>
      <c r="AC26" s="3">
        <f>IF(OR(Y26="",ISTEXT(Y26)),"sin dato",IF(Y26&gt;='Léeme'!$B$19,"barato",IF(Y26&lt;=-'Léeme'!$B$19,"caro","medio")))</f>
        <v/>
      </c>
      <c r="AD26" s="7" t="n"/>
      <c r="AE26" s="7" t="n"/>
      <c r="AF26" s="7" t="n"/>
      <c r="AG26" s="7" t="n"/>
    </row>
    <row r="27">
      <c r="A27" s="3" t="inlineStr">
        <is>
          <t>2004-T2</t>
        </is>
      </c>
      <c r="B27" s="13" t="n">
        <v>38168</v>
      </c>
      <c r="C27" s="14" t="n">
        <v>29.78</v>
      </c>
      <c r="D27" s="14" t="n">
        <v>1.752</v>
      </c>
      <c r="E27" s="14" t="n">
        <v>2.78</v>
      </c>
      <c r="F27" s="5" t="n">
        <v>0.0462</v>
      </c>
      <c r="G27" s="5" t="n">
        <v>0.0093913198497102</v>
      </c>
      <c r="N27" s="9">
        <f>IF(F27="","",F27+'Léeme'!$B$10)</f>
        <v/>
      </c>
      <c r="O27" s="9">
        <f>IF(OR(G27="",N27=""),"",MIN(MAX(G27,'Léeme'!$B$11),'Léeme'!$B$12,N27-'Léeme'!$B$16))</f>
        <v/>
      </c>
      <c r="P27" s="16">
        <f>IF(OR(D27="",O27=""),"",IFERROR(IF(D27&lt;=0,"",D27*(1+O27)/(N27-O27)),""))</f>
        <v/>
      </c>
      <c r="Q27" s="9">
        <f>IF(H27="","",MIN(MAX(H27,'Léeme'!$B$13),'Léeme'!$B$14))</f>
        <v/>
      </c>
      <c r="R27" s="9">
        <f>IF(N27="","",MIN('Léeme'!$B$15,N27-'Léeme'!$B$16))</f>
        <v/>
      </c>
      <c r="S27" s="16">
        <f>IF(OR(E27="",Q27=""),"",IFERROR(IF(E27&lt;=0,"",E27*(((1+Q27)/(1+N27))+((1+Q27)/(1+N27))^2+((1+Q27)/(1+N27))^3+((1+Q27)/(1+N27))^4+((1+Q27)/(1+N27))^5)+E27*(1+Q27)^5*(1+R27)/((N27-R27)*(1+N27)^5)),""))</f>
        <v/>
      </c>
      <c r="T27" s="9">
        <f>IF(OR(E27="",N27=""),"",IFERROR((C27*N27-E27)/(C27+E27),""))</f>
        <v/>
      </c>
      <c r="U27" s="9">
        <f>IF(OR(H27="",T27=""),"",IFERROR(MIN(MAX(H27,'Léeme'!$B$17),'Léeme'!$B$18)-T27,""))</f>
        <v/>
      </c>
      <c r="V27" s="16">
        <f>IF(OR(I27="",M27="",L27=""),"",IFERROR((I27/M27-J27-K27)/L27,""))</f>
        <v/>
      </c>
      <c r="W27" s="11">
        <f>IFERROR(P27/C27-1,"")</f>
        <v/>
      </c>
      <c r="X27" s="11">
        <f>IFERROR(S27/C27-1,"")</f>
        <v/>
      </c>
      <c r="Y27" s="11">
        <f>IFERROR(V27/C27-1,"")</f>
        <v/>
      </c>
      <c r="Z27" s="3">
        <f>IF(OR(W27="",ISTEXT(W27)),"sin dato",IF(W27&gt;='Léeme'!$B$19,"barato",IF(W27&lt;=-'Léeme'!$B$19,"caro","medio")))</f>
        <v/>
      </c>
      <c r="AA27" s="3">
        <f>IF(OR(X27="",ISTEXT(X27)),"sin dato",IF(X27&gt;='Léeme'!$B$19,"barato",IF(X27&lt;=-'Léeme'!$B$19,"caro","medio")))</f>
        <v/>
      </c>
      <c r="AB27" s="3">
        <f>IF(OR(U27="",ISTEXT(U27)),"sin dato",IF(U27&gt;='Léeme'!$B$20,"barato",IF(U27&lt;=-'Léeme'!$B$20,"caro","medio")))</f>
        <v/>
      </c>
      <c r="AC27" s="3">
        <f>IF(OR(Y27="",ISTEXT(Y27)),"sin dato",IF(Y27&gt;='Léeme'!$B$19,"barato",IF(Y27&lt;=-'Léeme'!$B$19,"caro","medio")))</f>
        <v/>
      </c>
      <c r="AD27" s="7" t="n"/>
      <c r="AE27" s="7" t="n"/>
      <c r="AF27" s="7" t="n"/>
      <c r="AG27" s="7" t="n"/>
    </row>
    <row r="28">
      <c r="A28" s="3" t="inlineStr">
        <is>
          <t>2004-T3</t>
        </is>
      </c>
      <c r="B28" s="13" t="n">
        <v>38260</v>
      </c>
      <c r="C28" s="14" t="n">
        <v>29.859999</v>
      </c>
      <c r="D28" s="14" t="n">
        <v>1.76</v>
      </c>
      <c r="E28" s="14" t="n">
        <v>2.78</v>
      </c>
      <c r="F28" s="5" t="n">
        <v>0.0414</v>
      </c>
      <c r="G28" s="5" t="n">
        <v>0.01031145931793609</v>
      </c>
      <c r="N28" s="9">
        <f>IF(F28="","",F28+'Léeme'!$B$10)</f>
        <v/>
      </c>
      <c r="O28" s="9">
        <f>IF(OR(G28="",N28=""),"",MIN(MAX(G28,'Léeme'!$B$11),'Léeme'!$B$12,N28-'Léeme'!$B$16))</f>
        <v/>
      </c>
      <c r="P28" s="16">
        <f>IF(OR(D28="",O28=""),"",IFERROR(IF(D28&lt;=0,"",D28*(1+O28)/(N28-O28)),""))</f>
        <v/>
      </c>
      <c r="Q28" s="9">
        <f>IF(H28="","",MIN(MAX(H28,'Léeme'!$B$13),'Léeme'!$B$14))</f>
        <v/>
      </c>
      <c r="R28" s="9">
        <f>IF(N28="","",MIN('Léeme'!$B$15,N28-'Léeme'!$B$16))</f>
        <v/>
      </c>
      <c r="S28" s="16">
        <f>IF(OR(E28="",Q28=""),"",IFERROR(IF(E28&lt;=0,"",E28*(((1+Q28)/(1+N28))+((1+Q28)/(1+N28))^2+((1+Q28)/(1+N28))^3+((1+Q28)/(1+N28))^4+((1+Q28)/(1+N28))^5)+E28*(1+Q28)^5*(1+R28)/((N28-R28)*(1+N28)^5)),""))</f>
        <v/>
      </c>
      <c r="T28" s="9">
        <f>IF(OR(E28="",N28=""),"",IFERROR((C28*N28-E28)/(C28+E28),""))</f>
        <v/>
      </c>
      <c r="U28" s="9">
        <f>IF(OR(H28="",T28=""),"",IFERROR(MIN(MAX(H28,'Léeme'!$B$17),'Léeme'!$B$18)-T28,""))</f>
        <v/>
      </c>
      <c r="V28" s="16">
        <f>IF(OR(I28="",M28="",L28=""),"",IFERROR((I28/M28-J28-K28)/L28,""))</f>
        <v/>
      </c>
      <c r="W28" s="11">
        <f>IFERROR(P28/C28-1,"")</f>
        <v/>
      </c>
      <c r="X28" s="11">
        <f>IFERROR(S28/C28-1,"")</f>
        <v/>
      </c>
      <c r="Y28" s="11">
        <f>IFERROR(V28/C28-1,"")</f>
        <v/>
      </c>
      <c r="Z28" s="3">
        <f>IF(OR(W28="",ISTEXT(W28)),"sin dato",IF(W28&gt;='Léeme'!$B$19,"barato",IF(W28&lt;=-'Léeme'!$B$19,"caro","medio")))</f>
        <v/>
      </c>
      <c r="AA28" s="3">
        <f>IF(OR(X28="",ISTEXT(X28)),"sin dato",IF(X28&gt;='Léeme'!$B$19,"barato",IF(X28&lt;=-'Léeme'!$B$19,"caro","medio")))</f>
        <v/>
      </c>
      <c r="AB28" s="3">
        <f>IF(OR(U28="",ISTEXT(U28)),"sin dato",IF(U28&gt;='Léeme'!$B$20,"barato",IF(U28&lt;=-'Léeme'!$B$20,"caro","medio")))</f>
        <v/>
      </c>
      <c r="AC28" s="3">
        <f>IF(OR(Y28="",ISTEXT(Y28)),"sin dato",IF(Y28&gt;='Léeme'!$B$19,"barato",IF(Y28&lt;=-'Léeme'!$B$19,"caro","medio")))</f>
        <v/>
      </c>
      <c r="AD28" s="7" t="n"/>
      <c r="AE28" s="7" t="n"/>
      <c r="AF28" s="7" t="n"/>
      <c r="AG28" s="7" t="n"/>
    </row>
    <row r="29">
      <c r="A29" s="3" t="inlineStr">
        <is>
          <t>2004-T4</t>
        </is>
      </c>
      <c r="B29" s="13" t="n">
        <v>38352</v>
      </c>
      <c r="C29" s="14" t="n">
        <v>35.160002</v>
      </c>
      <c r="D29" s="14" t="n">
        <v>1.768</v>
      </c>
      <c r="E29" s="14" t="n">
        <v>2.78</v>
      </c>
      <c r="F29" s="5" t="n">
        <v>0.0424</v>
      </c>
      <c r="G29" s="5" t="n">
        <v>0.01122825888458645</v>
      </c>
      <c r="N29" s="9">
        <f>IF(F29="","",F29+'Léeme'!$B$10)</f>
        <v/>
      </c>
      <c r="O29" s="9">
        <f>IF(OR(G29="",N29=""),"",MIN(MAX(G29,'Léeme'!$B$11),'Léeme'!$B$12,N29-'Léeme'!$B$16))</f>
        <v/>
      </c>
      <c r="P29" s="16">
        <f>IF(OR(D29="",O29=""),"",IFERROR(IF(D29&lt;=0,"",D29*(1+O29)/(N29-O29)),""))</f>
        <v/>
      </c>
      <c r="Q29" s="9">
        <f>IF(H29="","",MIN(MAX(H29,'Léeme'!$B$13),'Léeme'!$B$14))</f>
        <v/>
      </c>
      <c r="R29" s="9">
        <f>IF(N29="","",MIN('Léeme'!$B$15,N29-'Léeme'!$B$16))</f>
        <v/>
      </c>
      <c r="S29" s="16">
        <f>IF(OR(E29="",Q29=""),"",IFERROR(IF(E29&lt;=0,"",E29*(((1+Q29)/(1+N29))+((1+Q29)/(1+N29))^2+((1+Q29)/(1+N29))^3+((1+Q29)/(1+N29))^4+((1+Q29)/(1+N29))^5)+E29*(1+Q29)^5*(1+R29)/((N29-R29)*(1+N29)^5)),""))</f>
        <v/>
      </c>
      <c r="T29" s="9">
        <f>IF(OR(E29="",N29=""),"",IFERROR((C29*N29-E29)/(C29+E29),""))</f>
        <v/>
      </c>
      <c r="U29" s="9">
        <f>IF(OR(H29="",T29=""),"",IFERROR(MIN(MAX(H29,'Léeme'!$B$17),'Léeme'!$B$18)-T29,""))</f>
        <v/>
      </c>
      <c r="V29" s="16">
        <f>IF(OR(I29="",M29="",L29=""),"",IFERROR((I29/M29-J29-K29)/L29,""))</f>
        <v/>
      </c>
      <c r="W29" s="11">
        <f>IFERROR(P29/C29-1,"")</f>
        <v/>
      </c>
      <c r="X29" s="11">
        <f>IFERROR(S29/C29-1,"")</f>
        <v/>
      </c>
      <c r="Y29" s="11">
        <f>IFERROR(V29/C29-1,"")</f>
        <v/>
      </c>
      <c r="Z29" s="3">
        <f>IF(OR(W29="",ISTEXT(W29)),"sin dato",IF(W29&gt;='Léeme'!$B$19,"barato",IF(W29&lt;=-'Léeme'!$B$19,"caro","medio")))</f>
        <v/>
      </c>
      <c r="AA29" s="3">
        <f>IF(OR(X29="",ISTEXT(X29)),"sin dato",IF(X29&gt;='Léeme'!$B$19,"barato",IF(X29&lt;=-'Léeme'!$B$19,"caro","medio")))</f>
        <v/>
      </c>
      <c r="AB29" s="3">
        <f>IF(OR(U29="",ISTEXT(U29)),"sin dato",IF(U29&gt;='Léeme'!$B$20,"barato",IF(U29&lt;=-'Léeme'!$B$20,"caro","medio")))</f>
        <v/>
      </c>
      <c r="AC29" s="3">
        <f>IF(OR(Y29="",ISTEXT(Y29)),"sin dato",IF(Y29&gt;='Léeme'!$B$19,"barato",IF(Y29&lt;=-'Léeme'!$B$19,"caro","medio")))</f>
        <v/>
      </c>
      <c r="AD29" s="7" t="n"/>
      <c r="AE29" s="7" t="n"/>
      <c r="AF29" s="7" t="n"/>
      <c r="AG29" s="7" t="n"/>
    </row>
    <row r="30">
      <c r="A30" s="3" t="inlineStr">
        <is>
          <t>2005-T1</t>
        </is>
      </c>
      <c r="B30" s="13" t="n">
        <v>38442</v>
      </c>
      <c r="C30" s="14" t="n">
        <v>30.37</v>
      </c>
      <c r="D30" s="14" t="n">
        <v>1.776</v>
      </c>
      <c r="E30" s="14" t="n">
        <v>3.47</v>
      </c>
      <c r="F30" s="5" t="n">
        <v>0.045</v>
      </c>
      <c r="G30" s="5" t="n">
        <v>0.009737581379025473</v>
      </c>
      <c r="N30" s="9">
        <f>IF(F30="","",F30+'Léeme'!$B$10)</f>
        <v/>
      </c>
      <c r="O30" s="9">
        <f>IF(OR(G30="",N30=""),"",MIN(MAX(G30,'Léeme'!$B$11),'Léeme'!$B$12,N30-'Léeme'!$B$16))</f>
        <v/>
      </c>
      <c r="P30" s="16">
        <f>IF(OR(D30="",O30=""),"",IFERROR(IF(D30&lt;=0,"",D30*(1+O30)/(N30-O30)),""))</f>
        <v/>
      </c>
      <c r="Q30" s="9">
        <f>IF(H30="","",MIN(MAX(H30,'Léeme'!$B$13),'Léeme'!$B$14))</f>
        <v/>
      </c>
      <c r="R30" s="9">
        <f>IF(N30="","",MIN('Léeme'!$B$15,N30-'Léeme'!$B$16))</f>
        <v/>
      </c>
      <c r="S30" s="16">
        <f>IF(OR(E30="",Q30=""),"",IFERROR(IF(E30&lt;=0,"",E30*(((1+Q30)/(1+N30))+((1+Q30)/(1+N30))^2+((1+Q30)/(1+N30))^3+((1+Q30)/(1+N30))^4+((1+Q30)/(1+N30))^5)+E30*(1+Q30)^5*(1+R30)/((N30-R30)*(1+N30)^5)),""))</f>
        <v/>
      </c>
      <c r="T30" s="9">
        <f>IF(OR(E30="",N30=""),"",IFERROR((C30*N30-E30)/(C30+E30),""))</f>
        <v/>
      </c>
      <c r="U30" s="9">
        <f>IF(OR(H30="",T30=""),"",IFERROR(MIN(MAX(H30,'Léeme'!$B$17),'Léeme'!$B$18)-T30,""))</f>
        <v/>
      </c>
      <c r="V30" s="16">
        <f>IF(OR(I30="",M30="",L30=""),"",IFERROR((I30/M30-J30-K30)/L30,""))</f>
        <v/>
      </c>
      <c r="W30" s="11">
        <f>IFERROR(P30/C30-1,"")</f>
        <v/>
      </c>
      <c r="X30" s="11">
        <f>IFERROR(S30/C30-1,"")</f>
        <v/>
      </c>
      <c r="Y30" s="11">
        <f>IFERROR(V30/C30-1,"")</f>
        <v/>
      </c>
      <c r="Z30" s="3">
        <f>IF(OR(W30="",ISTEXT(W30)),"sin dato",IF(W30&gt;='Léeme'!$B$19,"barato",IF(W30&lt;=-'Léeme'!$B$19,"caro","medio")))</f>
        <v/>
      </c>
      <c r="AA30" s="3">
        <f>IF(OR(X30="",ISTEXT(X30)),"sin dato",IF(X30&gt;='Léeme'!$B$19,"barato",IF(X30&lt;=-'Léeme'!$B$19,"caro","medio")))</f>
        <v/>
      </c>
      <c r="AB30" s="3">
        <f>IF(OR(U30="",ISTEXT(U30)),"sin dato",IF(U30&gt;='Léeme'!$B$20,"barato",IF(U30&lt;=-'Léeme'!$B$20,"caro","medio")))</f>
        <v/>
      </c>
      <c r="AC30" s="3">
        <f>IF(OR(Y30="",ISTEXT(Y30)),"sin dato",IF(Y30&gt;='Léeme'!$B$19,"barato",IF(Y30&lt;=-'Léeme'!$B$19,"caro","medio")))</f>
        <v/>
      </c>
      <c r="AD30" s="7" t="n"/>
      <c r="AE30" s="7" t="n"/>
      <c r="AF30" s="7" t="n"/>
      <c r="AG30" s="7" t="n"/>
    </row>
    <row r="31">
      <c r="A31" s="3" t="inlineStr">
        <is>
          <t>2005-T2</t>
        </is>
      </c>
      <c r="B31" s="13" t="n">
        <v>38533</v>
      </c>
      <c r="C31" s="14" t="n">
        <v>29.28</v>
      </c>
      <c r="D31" s="14" t="n">
        <v>1.784</v>
      </c>
      <c r="E31" s="14" t="n">
        <v>3.47</v>
      </c>
      <c r="F31" s="5" t="n">
        <v>0.0394</v>
      </c>
      <c r="G31" s="5" t="n">
        <v>0.01064562024036575</v>
      </c>
      <c r="H31" s="5" t="n">
        <v>0.1187495069038154</v>
      </c>
      <c r="N31" s="9">
        <f>IF(F31="","",F31+'Léeme'!$B$10)</f>
        <v/>
      </c>
      <c r="O31" s="9">
        <f>IF(OR(G31="",N31=""),"",MIN(MAX(G31,'Léeme'!$B$11),'Léeme'!$B$12,N31-'Léeme'!$B$16))</f>
        <v/>
      </c>
      <c r="P31" s="16">
        <f>IF(OR(D31="",O31=""),"",IFERROR(IF(D31&lt;=0,"",D31*(1+O31)/(N31-O31)),""))</f>
        <v/>
      </c>
      <c r="Q31" s="9">
        <f>IF(H31="","",MIN(MAX(H31,'Léeme'!$B$13),'Léeme'!$B$14))</f>
        <v/>
      </c>
      <c r="R31" s="9">
        <f>IF(N31="","",MIN('Léeme'!$B$15,N31-'Léeme'!$B$16))</f>
        <v/>
      </c>
      <c r="S31" s="16">
        <f>IF(OR(E31="",Q31=""),"",IFERROR(IF(E31&lt;=0,"",E31*(((1+Q31)/(1+N31))+((1+Q31)/(1+N31))^2+((1+Q31)/(1+N31))^3+((1+Q31)/(1+N31))^4+((1+Q31)/(1+N31))^5)+E31*(1+Q31)^5*(1+R31)/((N31-R31)*(1+N31)^5)),""))</f>
        <v/>
      </c>
      <c r="T31" s="9">
        <f>IF(OR(E31="",N31=""),"",IFERROR((C31*N31-E31)/(C31+E31),""))</f>
        <v/>
      </c>
      <c r="U31" s="9">
        <f>IF(OR(H31="",T31=""),"",IFERROR(MIN(MAX(H31,'Léeme'!$B$17),'Léeme'!$B$18)-T31,""))</f>
        <v/>
      </c>
      <c r="V31" s="16">
        <f>IF(OR(I31="",M31="",L31=""),"",IFERROR((I31/M31-J31-K31)/L31,""))</f>
        <v/>
      </c>
      <c r="W31" s="11">
        <f>IFERROR(P31/C31-1,"")</f>
        <v/>
      </c>
      <c r="X31" s="11">
        <f>IFERROR(S31/C31-1,"")</f>
        <v/>
      </c>
      <c r="Y31" s="11">
        <f>IFERROR(V31/C31-1,"")</f>
        <v/>
      </c>
      <c r="Z31" s="3">
        <f>IF(OR(W31="",ISTEXT(W31)),"sin dato",IF(W31&gt;='Léeme'!$B$19,"barato",IF(W31&lt;=-'Léeme'!$B$19,"caro","medio")))</f>
        <v/>
      </c>
      <c r="AA31" s="3">
        <f>IF(OR(X31="",ISTEXT(X31)),"sin dato",IF(X31&gt;='Léeme'!$B$19,"barato",IF(X31&lt;=-'Léeme'!$B$19,"caro","medio")))</f>
        <v/>
      </c>
      <c r="AB31" s="3">
        <f>IF(OR(U31="",ISTEXT(U31)),"sin dato",IF(U31&gt;='Léeme'!$B$20,"barato",IF(U31&lt;=-'Léeme'!$B$20,"caro","medio")))</f>
        <v/>
      </c>
      <c r="AC31" s="3">
        <f>IF(OR(Y31="",ISTEXT(Y31)),"sin dato",IF(Y31&gt;='Léeme'!$B$19,"barato",IF(Y31&lt;=-'Léeme'!$B$19,"caro","medio")))</f>
        <v/>
      </c>
      <c r="AD31" s="7" t="n"/>
      <c r="AE31" s="7" t="n"/>
      <c r="AF31" s="7" t="n"/>
      <c r="AG31" s="7" t="n"/>
    </row>
    <row r="32">
      <c r="A32" s="3" t="inlineStr">
        <is>
          <t>2005-T3</t>
        </is>
      </c>
      <c r="B32" s="13" t="n">
        <v>38625</v>
      </c>
      <c r="C32" s="14" t="n">
        <v>26.920001</v>
      </c>
      <c r="D32" s="14" t="n">
        <v>1.792004</v>
      </c>
      <c r="E32" s="14" t="n">
        <v>3.47</v>
      </c>
      <c r="F32" s="5" t="n">
        <v>0.0434</v>
      </c>
      <c r="G32" s="5" t="n">
        <v>0.01155085896869767</v>
      </c>
      <c r="H32" s="5" t="n">
        <v>0.1187495069038154</v>
      </c>
      <c r="N32" s="9">
        <f>IF(F32="","",F32+'Léeme'!$B$10)</f>
        <v/>
      </c>
      <c r="O32" s="9">
        <f>IF(OR(G32="",N32=""),"",MIN(MAX(G32,'Léeme'!$B$11),'Léeme'!$B$12,N32-'Léeme'!$B$16))</f>
        <v/>
      </c>
      <c r="P32" s="16">
        <f>IF(OR(D32="",O32=""),"",IFERROR(IF(D32&lt;=0,"",D32*(1+O32)/(N32-O32)),""))</f>
        <v/>
      </c>
      <c r="Q32" s="9">
        <f>IF(H32="","",MIN(MAX(H32,'Léeme'!$B$13),'Léeme'!$B$14))</f>
        <v/>
      </c>
      <c r="R32" s="9">
        <f>IF(N32="","",MIN('Léeme'!$B$15,N32-'Léeme'!$B$16))</f>
        <v/>
      </c>
      <c r="S32" s="16">
        <f>IF(OR(E32="",Q32=""),"",IFERROR(IF(E32&lt;=0,"",E32*(((1+Q32)/(1+N32))+((1+Q32)/(1+N32))^2+((1+Q32)/(1+N32))^3+((1+Q32)/(1+N32))^4+((1+Q32)/(1+N32))^5)+E32*(1+Q32)^5*(1+R32)/((N32-R32)*(1+N32)^5)),""))</f>
        <v/>
      </c>
      <c r="T32" s="9">
        <f>IF(OR(E32="",N32=""),"",IFERROR((C32*N32-E32)/(C32+E32),""))</f>
        <v/>
      </c>
      <c r="U32" s="9">
        <f>IF(OR(H32="",T32=""),"",IFERROR(MIN(MAX(H32,'Léeme'!$B$17),'Léeme'!$B$18)-T32,""))</f>
        <v/>
      </c>
      <c r="V32" s="16">
        <f>IF(OR(I32="",M32="",L32=""),"",IFERROR((I32/M32-J32-K32)/L32,""))</f>
        <v/>
      </c>
      <c r="W32" s="11">
        <f>IFERROR(P32/C32-1,"")</f>
        <v/>
      </c>
      <c r="X32" s="11">
        <f>IFERROR(S32/C32-1,"")</f>
        <v/>
      </c>
      <c r="Y32" s="11">
        <f>IFERROR(V32/C32-1,"")</f>
        <v/>
      </c>
      <c r="Z32" s="3">
        <f>IF(OR(W32="",ISTEXT(W32)),"sin dato",IF(W32&gt;='Léeme'!$B$19,"barato",IF(W32&lt;=-'Léeme'!$B$19,"caro","medio")))</f>
        <v/>
      </c>
      <c r="AA32" s="3">
        <f>IF(OR(X32="",ISTEXT(X32)),"sin dato",IF(X32&gt;='Léeme'!$B$19,"barato",IF(X32&lt;=-'Léeme'!$B$19,"caro","medio")))</f>
        <v/>
      </c>
      <c r="AB32" s="3">
        <f>IF(OR(U32="",ISTEXT(U32)),"sin dato",IF(U32&gt;='Léeme'!$B$20,"barato",IF(U32&lt;=-'Léeme'!$B$20,"caro","medio")))</f>
        <v/>
      </c>
      <c r="AC32" s="3">
        <f>IF(OR(Y32="",ISTEXT(Y32)),"sin dato",IF(Y32&gt;='Léeme'!$B$19,"barato",IF(Y32&lt;=-'Léeme'!$B$19,"caro","medio")))</f>
        <v/>
      </c>
      <c r="AD32" s="7" t="n"/>
      <c r="AE32" s="7" t="n"/>
      <c r="AF32" s="7" t="n"/>
      <c r="AG32" s="7" t="n"/>
    </row>
    <row r="33">
      <c r="A33" s="3" t="inlineStr">
        <is>
          <t>2005-T4</t>
        </is>
      </c>
      <c r="B33" s="13" t="n">
        <v>38716</v>
      </c>
      <c r="C33" s="14" t="n">
        <v>25.36</v>
      </c>
      <c r="D33" s="14" t="n">
        <v>1.8</v>
      </c>
      <c r="E33" s="14" t="n">
        <v>3.47</v>
      </c>
      <c r="F33" s="5" t="n">
        <v>0.04389999999999999</v>
      </c>
      <c r="G33" s="5" t="n">
        <v>0.01245196889366262</v>
      </c>
      <c r="H33" s="5" t="n">
        <v>0.1187495069038154</v>
      </c>
      <c r="N33" s="9">
        <f>IF(F33="","",F33+'Léeme'!$B$10)</f>
        <v/>
      </c>
      <c r="O33" s="9">
        <f>IF(OR(G33="",N33=""),"",MIN(MAX(G33,'Léeme'!$B$11),'Léeme'!$B$12,N33-'Léeme'!$B$16))</f>
        <v/>
      </c>
      <c r="P33" s="16">
        <f>IF(OR(D33="",O33=""),"",IFERROR(IF(D33&lt;=0,"",D33*(1+O33)/(N33-O33)),""))</f>
        <v/>
      </c>
      <c r="Q33" s="9">
        <f>IF(H33="","",MIN(MAX(H33,'Léeme'!$B$13),'Léeme'!$B$14))</f>
        <v/>
      </c>
      <c r="R33" s="9">
        <f>IF(N33="","",MIN('Léeme'!$B$15,N33-'Léeme'!$B$16))</f>
        <v/>
      </c>
      <c r="S33" s="16">
        <f>IF(OR(E33="",Q33=""),"",IFERROR(IF(E33&lt;=0,"",E33*(((1+Q33)/(1+N33))+((1+Q33)/(1+N33))^2+((1+Q33)/(1+N33))^3+((1+Q33)/(1+N33))^4+((1+Q33)/(1+N33))^5)+E33*(1+Q33)^5*(1+R33)/((N33-R33)*(1+N33)^5)),""))</f>
        <v/>
      </c>
      <c r="T33" s="9">
        <f>IF(OR(E33="",N33=""),"",IFERROR((C33*N33-E33)/(C33+E33),""))</f>
        <v/>
      </c>
      <c r="U33" s="9">
        <f>IF(OR(H33="",T33=""),"",IFERROR(MIN(MAX(H33,'Léeme'!$B$17),'Léeme'!$B$18)-T33,""))</f>
        <v/>
      </c>
      <c r="V33" s="16">
        <f>IF(OR(I33="",M33="",L33=""),"",IFERROR((I33/M33-J33-K33)/L33,""))</f>
        <v/>
      </c>
      <c r="W33" s="11">
        <f>IFERROR(P33/C33-1,"")</f>
        <v/>
      </c>
      <c r="X33" s="11">
        <f>IFERROR(S33/C33-1,"")</f>
        <v/>
      </c>
      <c r="Y33" s="11">
        <f>IFERROR(V33/C33-1,"")</f>
        <v/>
      </c>
      <c r="Z33" s="3">
        <f>IF(OR(W33="",ISTEXT(W33)),"sin dato",IF(W33&gt;='Léeme'!$B$19,"barato",IF(W33&lt;=-'Léeme'!$B$19,"caro","medio")))</f>
        <v/>
      </c>
      <c r="AA33" s="3">
        <f>IF(OR(X33="",ISTEXT(X33)),"sin dato",IF(X33&gt;='Léeme'!$B$19,"barato",IF(X33&lt;=-'Léeme'!$B$19,"caro","medio")))</f>
        <v/>
      </c>
      <c r="AB33" s="3">
        <f>IF(OR(U33="",ISTEXT(U33)),"sin dato",IF(U33&gt;='Léeme'!$B$20,"barato",IF(U33&lt;=-'Léeme'!$B$20,"caro","medio")))</f>
        <v/>
      </c>
      <c r="AC33" s="3">
        <f>IF(OR(Y33="",ISTEXT(Y33)),"sin dato",IF(Y33&gt;='Léeme'!$B$19,"barato",IF(Y33&lt;=-'Léeme'!$B$19,"caro","medio")))</f>
        <v/>
      </c>
      <c r="AD33" s="7" t="n"/>
      <c r="AE33" s="7" t="n"/>
      <c r="AF33" s="7" t="n"/>
      <c r="AG33" s="7" t="n"/>
    </row>
    <row r="34">
      <c r="A34" s="3" t="inlineStr">
        <is>
          <t>2006-T1</t>
        </is>
      </c>
      <c r="B34" s="13" t="n">
        <v>38807</v>
      </c>
      <c r="C34" s="14" t="n">
        <v>26.78</v>
      </c>
      <c r="D34" s="14" t="n">
        <v>1.808</v>
      </c>
      <c r="E34" s="14" t="n">
        <v>2.53</v>
      </c>
      <c r="F34" s="5" t="n">
        <v>0.0486</v>
      </c>
      <c r="G34" s="5" t="n">
        <v>0.01335033052848233</v>
      </c>
      <c r="H34" s="5" t="n">
        <v>0.02102678401160918</v>
      </c>
      <c r="N34" s="9">
        <f>IF(F34="","",F34+'Léeme'!$B$10)</f>
        <v/>
      </c>
      <c r="O34" s="9">
        <f>IF(OR(G34="",N34=""),"",MIN(MAX(G34,'Léeme'!$B$11),'Léeme'!$B$12,N34-'Léeme'!$B$16))</f>
        <v/>
      </c>
      <c r="P34" s="16">
        <f>IF(OR(D34="",O34=""),"",IFERROR(IF(D34&lt;=0,"",D34*(1+O34)/(N34-O34)),""))</f>
        <v/>
      </c>
      <c r="Q34" s="9">
        <f>IF(H34="","",MIN(MAX(H34,'Léeme'!$B$13),'Léeme'!$B$14))</f>
        <v/>
      </c>
      <c r="R34" s="9">
        <f>IF(N34="","",MIN('Léeme'!$B$15,N34-'Léeme'!$B$16))</f>
        <v/>
      </c>
      <c r="S34" s="16">
        <f>IF(OR(E34="",Q34=""),"",IFERROR(IF(E34&lt;=0,"",E34*(((1+Q34)/(1+N34))+((1+Q34)/(1+N34))^2+((1+Q34)/(1+N34))^3+((1+Q34)/(1+N34))^4+((1+Q34)/(1+N34))^5)+E34*(1+Q34)^5*(1+R34)/((N34-R34)*(1+N34)^5)),""))</f>
        <v/>
      </c>
      <c r="T34" s="9">
        <f>IF(OR(E34="",N34=""),"",IFERROR((C34*N34-E34)/(C34+E34),""))</f>
        <v/>
      </c>
      <c r="U34" s="9">
        <f>IF(OR(H34="",T34=""),"",IFERROR(MIN(MAX(H34,'Léeme'!$B$17),'Léeme'!$B$18)-T34,""))</f>
        <v/>
      </c>
      <c r="V34" s="16">
        <f>IF(OR(I34="",M34="",L34=""),"",IFERROR((I34/M34-J34-K34)/L34,""))</f>
        <v/>
      </c>
      <c r="W34" s="11">
        <f>IFERROR(P34/C34-1,"")</f>
        <v/>
      </c>
      <c r="X34" s="11">
        <f>IFERROR(S34/C34-1,"")</f>
        <v/>
      </c>
      <c r="Y34" s="11">
        <f>IFERROR(V34/C34-1,"")</f>
        <v/>
      </c>
      <c r="Z34" s="3">
        <f>IF(OR(W34="",ISTEXT(W34)),"sin dato",IF(W34&gt;='Léeme'!$B$19,"barato",IF(W34&lt;=-'Léeme'!$B$19,"caro","medio")))</f>
        <v/>
      </c>
      <c r="AA34" s="3">
        <f>IF(OR(X34="",ISTEXT(X34)),"sin dato",IF(X34&gt;='Léeme'!$B$19,"barato",IF(X34&lt;=-'Léeme'!$B$19,"caro","medio")))</f>
        <v/>
      </c>
      <c r="AB34" s="3">
        <f>IF(OR(U34="",ISTEXT(U34)),"sin dato",IF(U34&gt;='Léeme'!$B$20,"barato",IF(U34&lt;=-'Léeme'!$B$20,"caro","medio")))</f>
        <v/>
      </c>
      <c r="AC34" s="3">
        <f>IF(OR(Y34="",ISTEXT(Y34)),"sin dato",IF(Y34&gt;='Léeme'!$B$19,"barato",IF(Y34&lt;=-'Léeme'!$B$19,"caro","medio")))</f>
        <v/>
      </c>
      <c r="AD34" s="7" t="n">
        <v>0.6891891891891891</v>
      </c>
      <c r="AE34" s="7" t="n"/>
      <c r="AF34" s="7" t="n"/>
      <c r="AG34" s="7" t="n"/>
    </row>
    <row r="35">
      <c r="A35" s="3" t="inlineStr">
        <is>
          <t>2006-T2</t>
        </is>
      </c>
      <c r="B35" s="13" t="n">
        <v>38898</v>
      </c>
      <c r="C35" s="14" t="n">
        <v>25.319999</v>
      </c>
      <c r="D35" s="14" t="n">
        <v>1.816</v>
      </c>
      <c r="E35" s="14" t="n">
        <v>2.53</v>
      </c>
      <c r="F35" s="5" t="n">
        <v>0.0515</v>
      </c>
      <c r="G35" s="5" t="n">
        <v>0.01328913175840762</v>
      </c>
      <c r="H35" s="5" t="n">
        <v>0.02102678401160918</v>
      </c>
      <c r="N35" s="9">
        <f>IF(F35="","",F35+'Léeme'!$B$10)</f>
        <v/>
      </c>
      <c r="O35" s="9">
        <f>IF(OR(G35="",N35=""),"",MIN(MAX(G35,'Léeme'!$B$11),'Léeme'!$B$12,N35-'Léeme'!$B$16))</f>
        <v/>
      </c>
      <c r="P35" s="16">
        <f>IF(OR(D35="",O35=""),"",IFERROR(IF(D35&lt;=0,"",D35*(1+O35)/(N35-O35)),""))</f>
        <v/>
      </c>
      <c r="Q35" s="9">
        <f>IF(H35="","",MIN(MAX(H35,'Léeme'!$B$13),'Léeme'!$B$14))</f>
        <v/>
      </c>
      <c r="R35" s="9">
        <f>IF(N35="","",MIN('Léeme'!$B$15,N35-'Léeme'!$B$16))</f>
        <v/>
      </c>
      <c r="S35" s="16">
        <f>IF(OR(E35="",Q35=""),"",IFERROR(IF(E35&lt;=0,"",E35*(((1+Q35)/(1+N35))+((1+Q35)/(1+N35))^2+((1+Q35)/(1+N35))^3+((1+Q35)/(1+N35))^4+((1+Q35)/(1+N35))^5)+E35*(1+Q35)^5*(1+R35)/((N35-R35)*(1+N35)^5)),""))</f>
        <v/>
      </c>
      <c r="T35" s="9">
        <f>IF(OR(E35="",N35=""),"",IFERROR((C35*N35-E35)/(C35+E35),""))</f>
        <v/>
      </c>
      <c r="U35" s="9">
        <f>IF(OR(H35="",T35=""),"",IFERROR(MIN(MAX(H35,'Léeme'!$B$17),'Léeme'!$B$18)-T35,""))</f>
        <v/>
      </c>
      <c r="V35" s="16">
        <f>IF(OR(I35="",M35="",L35=""),"",IFERROR((I35/M35-J35-K35)/L35,""))</f>
        <v/>
      </c>
      <c r="W35" s="11">
        <f>IFERROR(P35/C35-1,"")</f>
        <v/>
      </c>
      <c r="X35" s="11">
        <f>IFERROR(S35/C35-1,"")</f>
        <v/>
      </c>
      <c r="Y35" s="11">
        <f>IFERROR(V35/C35-1,"")</f>
        <v/>
      </c>
      <c r="Z35" s="3">
        <f>IF(OR(W35="",ISTEXT(W35)),"sin dato",IF(W35&gt;='Léeme'!$B$19,"barato",IF(W35&lt;=-'Léeme'!$B$19,"caro","medio")))</f>
        <v/>
      </c>
      <c r="AA35" s="3">
        <f>IF(OR(X35="",ISTEXT(X35)),"sin dato",IF(X35&gt;='Léeme'!$B$19,"barato",IF(X35&lt;=-'Léeme'!$B$19,"caro","medio")))</f>
        <v/>
      </c>
      <c r="AB35" s="3">
        <f>IF(OR(U35="",ISTEXT(U35)),"sin dato",IF(U35&gt;='Léeme'!$B$20,"barato",IF(U35&lt;=-'Léeme'!$B$20,"caro","medio")))</f>
        <v/>
      </c>
      <c r="AC35" s="3">
        <f>IF(OR(Y35="",ISTEXT(Y35)),"sin dato",IF(Y35&gt;='Léeme'!$B$19,"barato",IF(Y35&lt;=-'Léeme'!$B$19,"caro","medio")))</f>
        <v/>
      </c>
      <c r="AD35" s="7" t="n">
        <v>0.7375</v>
      </c>
      <c r="AE35" s="7" t="n"/>
      <c r="AF35" s="7" t="n"/>
      <c r="AG35" s="7" t="n"/>
    </row>
    <row r="36">
      <c r="A36" s="3" t="inlineStr">
        <is>
          <t>2006-T3</t>
        </is>
      </c>
      <c r="B36" s="13" t="n">
        <v>38989</v>
      </c>
      <c r="C36" s="14" t="n">
        <v>27.51</v>
      </c>
      <c r="D36" s="14" t="n">
        <v>1.824</v>
      </c>
      <c r="E36" s="14" t="n">
        <v>2.53</v>
      </c>
      <c r="F36" s="5" t="n">
        <v>0.0464</v>
      </c>
      <c r="G36" s="5" t="n">
        <v>0.01370373979231099</v>
      </c>
      <c r="H36" s="5" t="n">
        <v>0.02102678401160918</v>
      </c>
      <c r="N36" s="9">
        <f>IF(F36="","",F36+'Léeme'!$B$10)</f>
        <v/>
      </c>
      <c r="O36" s="9">
        <f>IF(OR(G36="",N36=""),"",MIN(MAX(G36,'Léeme'!$B$11),'Léeme'!$B$12,N36-'Léeme'!$B$16))</f>
        <v/>
      </c>
      <c r="P36" s="16">
        <f>IF(OR(D36="",O36=""),"",IFERROR(IF(D36&lt;=0,"",D36*(1+O36)/(N36-O36)),""))</f>
        <v/>
      </c>
      <c r="Q36" s="9">
        <f>IF(H36="","",MIN(MAX(H36,'Léeme'!$B$13),'Léeme'!$B$14))</f>
        <v/>
      </c>
      <c r="R36" s="9">
        <f>IF(N36="","",MIN('Léeme'!$B$15,N36-'Léeme'!$B$16))</f>
        <v/>
      </c>
      <c r="S36" s="16">
        <f>IF(OR(E36="",Q36=""),"",IFERROR(IF(E36&lt;=0,"",E36*(((1+Q36)/(1+N36))+((1+Q36)/(1+N36))^2+((1+Q36)/(1+N36))^3+((1+Q36)/(1+N36))^4+((1+Q36)/(1+N36))^5)+E36*(1+Q36)^5*(1+R36)/((N36-R36)*(1+N36)^5)),""))</f>
        <v/>
      </c>
      <c r="T36" s="9">
        <f>IF(OR(E36="",N36=""),"",IFERROR((C36*N36-E36)/(C36+E36),""))</f>
        <v/>
      </c>
      <c r="U36" s="9">
        <f>IF(OR(H36="",T36=""),"",IFERROR(MIN(MAX(H36,'Léeme'!$B$17),'Léeme'!$B$18)-T36,""))</f>
        <v/>
      </c>
      <c r="V36" s="16">
        <f>IF(OR(I36="",M36="",L36=""),"",IFERROR((I36/M36-J36-K36)/L36,""))</f>
        <v/>
      </c>
      <c r="W36" s="11">
        <f>IFERROR(P36/C36-1,"")</f>
        <v/>
      </c>
      <c r="X36" s="11">
        <f>IFERROR(S36/C36-1,"")</f>
        <v/>
      </c>
      <c r="Y36" s="11">
        <f>IFERROR(V36/C36-1,"")</f>
        <v/>
      </c>
      <c r="Z36" s="3">
        <f>IF(OR(W36="",ISTEXT(W36)),"sin dato",IF(W36&gt;='Léeme'!$B$19,"barato",IF(W36&lt;=-'Léeme'!$B$19,"caro","medio")))</f>
        <v/>
      </c>
      <c r="AA36" s="3">
        <f>IF(OR(X36="",ISTEXT(X36)),"sin dato",IF(X36&gt;='Léeme'!$B$19,"barato",IF(X36&lt;=-'Léeme'!$B$19,"caro","medio")))</f>
        <v/>
      </c>
      <c r="AB36" s="3">
        <f>IF(OR(U36="",ISTEXT(U36)),"sin dato",IF(U36&gt;='Léeme'!$B$20,"barato",IF(U36&lt;=-'Léeme'!$B$20,"caro","medio")))</f>
        <v/>
      </c>
      <c r="AC36" s="3">
        <f>IF(OR(Y36="",ISTEXT(Y36)),"sin dato",IF(Y36&gt;='Léeme'!$B$19,"barato",IF(Y36&lt;=-'Léeme'!$B$19,"caro","medio")))</f>
        <v/>
      </c>
      <c r="AD36" s="7" t="n">
        <v>0.7325581395348837</v>
      </c>
      <c r="AE36" s="7" t="n"/>
      <c r="AF36" s="7" t="n"/>
      <c r="AG36" s="7" t="n"/>
    </row>
    <row r="37">
      <c r="A37" s="3" t="inlineStr">
        <is>
          <t>2006-T4</t>
        </is>
      </c>
      <c r="B37" s="13" t="n">
        <v>39080</v>
      </c>
      <c r="C37" s="14" t="n">
        <v>30.069999</v>
      </c>
      <c r="D37" s="14" t="n">
        <v>1.832</v>
      </c>
      <c r="E37" s="14" t="n">
        <v>2.53</v>
      </c>
      <c r="F37" s="5" t="n">
        <v>0.0471</v>
      </c>
      <c r="G37" s="5" t="n">
        <v>0.0141157334183788</v>
      </c>
      <c r="H37" s="5" t="n">
        <v>0.02102678401160918</v>
      </c>
      <c r="N37" s="9">
        <f>IF(F37="","",F37+'Léeme'!$B$10)</f>
        <v/>
      </c>
      <c r="O37" s="9">
        <f>IF(OR(G37="",N37=""),"",MIN(MAX(G37,'Léeme'!$B$11),'Léeme'!$B$12,N37-'Léeme'!$B$16))</f>
        <v/>
      </c>
      <c r="P37" s="16">
        <f>IF(OR(D37="",O37=""),"",IFERROR(IF(D37&lt;=0,"",D37*(1+O37)/(N37-O37)),""))</f>
        <v/>
      </c>
      <c r="Q37" s="9">
        <f>IF(H37="","",MIN(MAX(H37,'Léeme'!$B$13),'Léeme'!$B$14))</f>
        <v/>
      </c>
      <c r="R37" s="9">
        <f>IF(N37="","",MIN('Léeme'!$B$15,N37-'Léeme'!$B$16))</f>
        <v/>
      </c>
      <c r="S37" s="16">
        <f>IF(OR(E37="",Q37=""),"",IFERROR(IF(E37&lt;=0,"",E37*(((1+Q37)/(1+N37))+((1+Q37)/(1+N37))^2+((1+Q37)/(1+N37))^3+((1+Q37)/(1+N37))^4+((1+Q37)/(1+N37))^5)+E37*(1+Q37)^5*(1+R37)/((N37-R37)*(1+N37)^5)),""))</f>
        <v/>
      </c>
      <c r="T37" s="9">
        <f>IF(OR(E37="",N37=""),"",IFERROR((C37*N37-E37)/(C37+E37),""))</f>
        <v/>
      </c>
      <c r="U37" s="9">
        <f>IF(OR(H37="",T37=""),"",IFERROR(MIN(MAX(H37,'Léeme'!$B$17),'Léeme'!$B$18)-T37,""))</f>
        <v/>
      </c>
      <c r="V37" s="16">
        <f>IF(OR(I37="",M37="",L37=""),"",IFERROR((I37/M37-J37-K37)/L37,""))</f>
        <v/>
      </c>
      <c r="W37" s="11">
        <f>IFERROR(P37/C37-1,"")</f>
        <v/>
      </c>
      <c r="X37" s="11">
        <f>IFERROR(S37/C37-1,"")</f>
        <v/>
      </c>
      <c r="Y37" s="11">
        <f>IFERROR(V37/C37-1,"")</f>
        <v/>
      </c>
      <c r="Z37" s="3">
        <f>IF(OR(W37="",ISTEXT(W37)),"sin dato",IF(W37&gt;='Léeme'!$B$19,"barato",IF(W37&lt;=-'Léeme'!$B$19,"caro","medio")))</f>
        <v/>
      </c>
      <c r="AA37" s="3">
        <f>IF(OR(X37="",ISTEXT(X37)),"sin dato",IF(X37&gt;='Léeme'!$B$19,"barato",IF(X37&lt;=-'Léeme'!$B$19,"caro","medio")))</f>
        <v/>
      </c>
      <c r="AB37" s="3">
        <f>IF(OR(U37="",ISTEXT(U37)),"sin dato",IF(U37&gt;='Léeme'!$B$20,"barato",IF(U37&lt;=-'Léeme'!$B$20,"caro","medio")))</f>
        <v/>
      </c>
      <c r="AC37" s="3">
        <f>IF(OR(Y37="",ISTEXT(Y37)),"sin dato",IF(Y37&gt;='Léeme'!$B$19,"barato",IF(Y37&lt;=-'Léeme'!$B$19,"caro","medio")))</f>
        <v/>
      </c>
      <c r="AD37" s="7" t="n">
        <v>0.4673913043478261</v>
      </c>
      <c r="AE37" s="7" t="n"/>
      <c r="AF37" s="7" t="n"/>
      <c r="AG37" s="7" t="n"/>
    </row>
    <row r="38">
      <c r="A38" s="3" t="inlineStr">
        <is>
          <t>2007-T1</t>
        </is>
      </c>
      <c r="B38" s="13" t="n">
        <v>39171</v>
      </c>
      <c r="C38" s="14" t="n">
        <v>33.37</v>
      </c>
      <c r="D38" s="14" t="n">
        <v>1.848</v>
      </c>
      <c r="E38" s="14" t="n">
        <v>3.29</v>
      </c>
      <c r="F38" s="5" t="n">
        <v>0.04650000000000001</v>
      </c>
      <c r="G38" s="5" t="n">
        <v>0.01540580360517696</v>
      </c>
      <c r="H38" s="5" t="n">
        <v>0.06423067097842527</v>
      </c>
      <c r="N38" s="9">
        <f>IF(F38="","",F38+'Léeme'!$B$10)</f>
        <v/>
      </c>
      <c r="O38" s="9">
        <f>IF(OR(G38="",N38=""),"",MIN(MAX(G38,'Léeme'!$B$11),'Léeme'!$B$12,N38-'Léeme'!$B$16))</f>
        <v/>
      </c>
      <c r="P38" s="16">
        <f>IF(OR(D38="",O38=""),"",IFERROR(IF(D38&lt;=0,"",D38*(1+O38)/(N38-O38)),""))</f>
        <v/>
      </c>
      <c r="Q38" s="9">
        <f>IF(H38="","",MIN(MAX(H38,'Léeme'!$B$13),'Léeme'!$B$14))</f>
        <v/>
      </c>
      <c r="R38" s="9">
        <f>IF(N38="","",MIN('Léeme'!$B$15,N38-'Léeme'!$B$16))</f>
        <v/>
      </c>
      <c r="S38" s="16">
        <f>IF(OR(E38="",Q38=""),"",IFERROR(IF(E38&lt;=0,"",E38*(((1+Q38)/(1+N38))+((1+Q38)/(1+N38))^2+((1+Q38)/(1+N38))^3+((1+Q38)/(1+N38))^4+((1+Q38)/(1+N38))^5)+E38*(1+Q38)^5*(1+R38)/((N38-R38)*(1+N38)^5)),""))</f>
        <v/>
      </c>
      <c r="T38" s="9">
        <f>IF(OR(E38="",N38=""),"",IFERROR((C38*N38-E38)/(C38+E38),""))</f>
        <v/>
      </c>
      <c r="U38" s="9">
        <f>IF(OR(H38="",T38=""),"",IFERROR(MIN(MAX(H38,'Léeme'!$B$17),'Léeme'!$B$18)-T38,""))</f>
        <v/>
      </c>
      <c r="V38" s="16">
        <f>IF(OR(I38="",M38="",L38=""),"",IFERROR((I38/M38-J38-K38)/L38,""))</f>
        <v/>
      </c>
      <c r="W38" s="11">
        <f>IFERROR(P38/C38-1,"")</f>
        <v/>
      </c>
      <c r="X38" s="11">
        <f>IFERROR(S38/C38-1,"")</f>
        <v/>
      </c>
      <c r="Y38" s="11">
        <f>IFERROR(V38/C38-1,"")</f>
        <v/>
      </c>
      <c r="Z38" s="3">
        <f>IF(OR(W38="",ISTEXT(W38)),"sin dato",IF(W38&gt;='Léeme'!$B$19,"barato",IF(W38&lt;=-'Léeme'!$B$19,"caro","medio")))</f>
        <v/>
      </c>
      <c r="AA38" s="3">
        <f>IF(OR(X38="",ISTEXT(X38)),"sin dato",IF(X38&gt;='Léeme'!$B$19,"barato",IF(X38&lt;=-'Léeme'!$B$19,"caro","medio")))</f>
        <v/>
      </c>
      <c r="AB38" s="3">
        <f>IF(OR(U38="",ISTEXT(U38)),"sin dato",IF(U38&gt;='Léeme'!$B$20,"barato",IF(U38&lt;=-'Léeme'!$B$20,"caro","medio")))</f>
        <v/>
      </c>
      <c r="AC38" s="3">
        <f>IF(OR(Y38="",ISTEXT(Y38)),"sin dato",IF(Y38&gt;='Léeme'!$B$19,"barato",IF(Y38&lt;=-'Léeme'!$B$19,"caro","medio")))</f>
        <v/>
      </c>
      <c r="AD38" s="7" t="n">
        <v>0.2755102040816326</v>
      </c>
      <c r="AE38" s="7" t="n"/>
      <c r="AF38" s="7" t="n"/>
      <c r="AG38" s="7" t="n"/>
    </row>
    <row r="39">
      <c r="A39" s="3" t="inlineStr">
        <is>
          <t>2007-T2</t>
        </is>
      </c>
      <c r="B39" s="13" t="n">
        <v>39262</v>
      </c>
      <c r="C39" s="14" t="n">
        <v>31.450001</v>
      </c>
      <c r="D39" s="14" t="n">
        <v>1.868</v>
      </c>
      <c r="E39" s="14" t="n">
        <v>3.29</v>
      </c>
      <c r="F39" s="5" t="n">
        <v>0.0503</v>
      </c>
      <c r="G39" s="5" t="n">
        <v>0.01759419848935839</v>
      </c>
      <c r="H39" s="5" t="n">
        <v>0.06423067097842527</v>
      </c>
      <c r="N39" s="9">
        <f>IF(F39="","",F39+'Léeme'!$B$10)</f>
        <v/>
      </c>
      <c r="O39" s="9">
        <f>IF(OR(G39="",N39=""),"",MIN(MAX(G39,'Léeme'!$B$11),'Léeme'!$B$12,N39-'Léeme'!$B$16))</f>
        <v/>
      </c>
      <c r="P39" s="16">
        <f>IF(OR(D39="",O39=""),"",IFERROR(IF(D39&lt;=0,"",D39*(1+O39)/(N39-O39)),""))</f>
        <v/>
      </c>
      <c r="Q39" s="9">
        <f>IF(H39="","",MIN(MAX(H39,'Léeme'!$B$13),'Léeme'!$B$14))</f>
        <v/>
      </c>
      <c r="R39" s="9">
        <f>IF(N39="","",MIN('Léeme'!$B$15,N39-'Léeme'!$B$16))</f>
        <v/>
      </c>
      <c r="S39" s="16">
        <f>IF(OR(E39="",Q39=""),"",IFERROR(IF(E39&lt;=0,"",E39*(((1+Q39)/(1+N39))+((1+Q39)/(1+N39))^2+((1+Q39)/(1+N39))^3+((1+Q39)/(1+N39))^4+((1+Q39)/(1+N39))^5)+E39*(1+Q39)^5*(1+R39)/((N39-R39)*(1+N39)^5)),""))</f>
        <v/>
      </c>
      <c r="T39" s="9">
        <f>IF(OR(E39="",N39=""),"",IFERROR((C39*N39-E39)/(C39+E39),""))</f>
        <v/>
      </c>
      <c r="U39" s="9">
        <f>IF(OR(H39="",T39=""),"",IFERROR(MIN(MAX(H39,'Léeme'!$B$17),'Léeme'!$B$18)-T39,""))</f>
        <v/>
      </c>
      <c r="V39" s="16">
        <f>IF(OR(I39="",M39="",L39=""),"",IFERROR((I39/M39-J39-K39)/L39,""))</f>
        <v/>
      </c>
      <c r="W39" s="11">
        <f>IFERROR(P39/C39-1,"")</f>
        <v/>
      </c>
      <c r="X39" s="11">
        <f>IFERROR(S39/C39-1,"")</f>
        <v/>
      </c>
      <c r="Y39" s="11">
        <f>IFERROR(V39/C39-1,"")</f>
        <v/>
      </c>
      <c r="Z39" s="3">
        <f>IF(OR(W39="",ISTEXT(W39)),"sin dato",IF(W39&gt;='Léeme'!$B$19,"barato",IF(W39&lt;=-'Léeme'!$B$19,"caro","medio")))</f>
        <v/>
      </c>
      <c r="AA39" s="3">
        <f>IF(OR(X39="",ISTEXT(X39)),"sin dato",IF(X39&gt;='Léeme'!$B$19,"barato",IF(X39&lt;=-'Léeme'!$B$19,"caro","medio")))</f>
        <v/>
      </c>
      <c r="AB39" s="3">
        <f>IF(OR(U39="",ISTEXT(U39)),"sin dato",IF(U39&gt;='Léeme'!$B$20,"barato",IF(U39&lt;=-'Léeme'!$B$20,"caro","medio")))</f>
        <v/>
      </c>
      <c r="AC39" s="3">
        <f>IF(OR(Y39="",ISTEXT(Y39)),"sin dato",IF(Y39&gt;='Léeme'!$B$19,"barato",IF(Y39&lt;=-'Léeme'!$B$19,"caro","medio")))</f>
        <v/>
      </c>
      <c r="AD39" s="7" t="n">
        <v>0.4519230769230769</v>
      </c>
      <c r="AE39" s="7" t="n"/>
      <c r="AF39" s="7" t="n"/>
      <c r="AG39" s="7" t="n"/>
    </row>
    <row r="40">
      <c r="A40" s="3" t="inlineStr">
        <is>
          <t>2007-T3</t>
        </is>
      </c>
      <c r="B40" s="13" t="n">
        <v>39353</v>
      </c>
      <c r="C40" s="14" t="n">
        <v>31.5</v>
      </c>
      <c r="D40" s="14" t="n">
        <v>1.888</v>
      </c>
      <c r="E40" s="14" t="n">
        <v>3.29</v>
      </c>
      <c r="F40" s="5" t="n">
        <v>0.0459</v>
      </c>
      <c r="G40" s="5" t="n">
        <v>0.01881354122203516</v>
      </c>
      <c r="H40" s="5" t="n">
        <v>0.06423067097842527</v>
      </c>
      <c r="N40" s="9">
        <f>IF(F40="","",F40+'Léeme'!$B$10)</f>
        <v/>
      </c>
      <c r="O40" s="9">
        <f>IF(OR(G40="",N40=""),"",MIN(MAX(G40,'Léeme'!$B$11),'Léeme'!$B$12,N40-'Léeme'!$B$16))</f>
        <v/>
      </c>
      <c r="P40" s="16">
        <f>IF(OR(D40="",O40=""),"",IFERROR(IF(D40&lt;=0,"",D40*(1+O40)/(N40-O40)),""))</f>
        <v/>
      </c>
      <c r="Q40" s="9">
        <f>IF(H40="","",MIN(MAX(H40,'Léeme'!$B$13),'Léeme'!$B$14))</f>
        <v/>
      </c>
      <c r="R40" s="9">
        <f>IF(N40="","",MIN('Léeme'!$B$15,N40-'Léeme'!$B$16))</f>
        <v/>
      </c>
      <c r="S40" s="16">
        <f>IF(OR(E40="",Q40=""),"",IFERROR(IF(E40&lt;=0,"",E40*(((1+Q40)/(1+N40))+((1+Q40)/(1+N40))^2+((1+Q40)/(1+N40))^3+((1+Q40)/(1+N40))^4+((1+Q40)/(1+N40))^5)+E40*(1+Q40)^5*(1+R40)/((N40-R40)*(1+N40)^5)),""))</f>
        <v/>
      </c>
      <c r="T40" s="9">
        <f>IF(OR(E40="",N40=""),"",IFERROR((C40*N40-E40)/(C40+E40),""))</f>
        <v/>
      </c>
      <c r="U40" s="9">
        <f>IF(OR(H40="",T40=""),"",IFERROR(MIN(MAX(H40,'Léeme'!$B$17),'Léeme'!$B$18)-T40,""))</f>
        <v/>
      </c>
      <c r="V40" s="16">
        <f>IF(OR(I40="",M40="",L40=""),"",IFERROR((I40/M40-J40-K40)/L40,""))</f>
        <v/>
      </c>
      <c r="W40" s="11">
        <f>IFERROR(P40/C40-1,"")</f>
        <v/>
      </c>
      <c r="X40" s="11">
        <f>IFERROR(S40/C40-1,"")</f>
        <v/>
      </c>
      <c r="Y40" s="11">
        <f>IFERROR(V40/C40-1,"")</f>
        <v/>
      </c>
      <c r="Z40" s="3">
        <f>IF(OR(W40="",ISTEXT(W40)),"sin dato",IF(W40&gt;='Léeme'!$B$19,"barato",IF(W40&lt;=-'Léeme'!$B$19,"caro","medio")))</f>
        <v/>
      </c>
      <c r="AA40" s="3">
        <f>IF(OR(X40="",ISTEXT(X40)),"sin dato",IF(X40&gt;='Léeme'!$B$19,"barato",IF(X40&lt;=-'Léeme'!$B$19,"caro","medio")))</f>
        <v/>
      </c>
      <c r="AB40" s="3">
        <f>IF(OR(U40="",ISTEXT(U40)),"sin dato",IF(U40&gt;='Léeme'!$B$20,"barato",IF(U40&lt;=-'Léeme'!$B$20,"caro","medio")))</f>
        <v/>
      </c>
      <c r="AC40" s="3">
        <f>IF(OR(Y40="",ISTEXT(Y40)),"sin dato",IF(Y40&gt;='Léeme'!$B$19,"barato",IF(Y40&lt;=-'Léeme'!$B$19,"caro","medio")))</f>
        <v/>
      </c>
      <c r="AD40" s="7" t="n">
        <v>0.7727272727272727</v>
      </c>
      <c r="AE40" s="7" t="n"/>
      <c r="AF40" s="7" t="n"/>
      <c r="AG40" s="7" t="n"/>
    </row>
    <row r="41">
      <c r="A41" s="3" t="inlineStr">
        <is>
          <t>2007-T4</t>
        </is>
      </c>
      <c r="B41" s="13" t="n">
        <v>39447</v>
      </c>
      <c r="C41" s="14" t="n">
        <v>33.199999</v>
      </c>
      <c r="D41" s="14" t="n">
        <v>1.908</v>
      </c>
      <c r="E41" s="14" t="n">
        <v>3.29</v>
      </c>
      <c r="F41" s="5" t="n">
        <v>0.0404</v>
      </c>
      <c r="G41" s="5" t="n">
        <v>0.02096295599206122</v>
      </c>
      <c r="H41" s="5" t="n">
        <v>0.06423067097842527</v>
      </c>
      <c r="N41" s="9">
        <f>IF(F41="","",F41+'Léeme'!$B$10)</f>
        <v/>
      </c>
      <c r="O41" s="9">
        <f>IF(OR(G41="",N41=""),"",MIN(MAX(G41,'Léeme'!$B$11),'Léeme'!$B$12,N41-'Léeme'!$B$16))</f>
        <v/>
      </c>
      <c r="P41" s="16">
        <f>IF(OR(D41="",O41=""),"",IFERROR(IF(D41&lt;=0,"",D41*(1+O41)/(N41-O41)),""))</f>
        <v/>
      </c>
      <c r="Q41" s="9">
        <f>IF(H41="","",MIN(MAX(H41,'Léeme'!$B$13),'Léeme'!$B$14))</f>
        <v/>
      </c>
      <c r="R41" s="9">
        <f>IF(N41="","",MIN('Léeme'!$B$15,N41-'Léeme'!$B$16))</f>
        <v/>
      </c>
      <c r="S41" s="16">
        <f>IF(OR(E41="",Q41=""),"",IFERROR(IF(E41&lt;=0,"",E41*(((1+Q41)/(1+N41))+((1+Q41)/(1+N41))^2+((1+Q41)/(1+N41))^3+((1+Q41)/(1+N41))^4+((1+Q41)/(1+N41))^5)+E41*(1+Q41)^5*(1+R41)/((N41-R41)*(1+N41)^5)),""))</f>
        <v/>
      </c>
      <c r="T41" s="9">
        <f>IF(OR(E41="",N41=""),"",IFERROR((C41*N41-E41)/(C41+E41),""))</f>
        <v/>
      </c>
      <c r="U41" s="9">
        <f>IF(OR(H41="",T41=""),"",IFERROR(MIN(MAX(H41,'Léeme'!$B$17),'Léeme'!$B$18)-T41,""))</f>
        <v/>
      </c>
      <c r="V41" s="16">
        <f>IF(OR(I41="",M41="",L41=""),"",IFERROR((I41/M41-J41-K41)/L41,""))</f>
        <v/>
      </c>
      <c r="W41" s="11">
        <f>IFERROR(P41/C41-1,"")</f>
        <v/>
      </c>
      <c r="X41" s="11">
        <f>IFERROR(S41/C41-1,"")</f>
        <v/>
      </c>
      <c r="Y41" s="11">
        <f>IFERROR(V41/C41-1,"")</f>
        <v/>
      </c>
      <c r="Z41" s="3">
        <f>IF(OR(W41="",ISTEXT(W41)),"sin dato",IF(W41&gt;='Léeme'!$B$19,"barato",IF(W41&lt;=-'Léeme'!$B$19,"caro","medio")))</f>
        <v/>
      </c>
      <c r="AA41" s="3">
        <f>IF(OR(X41="",ISTEXT(X41)),"sin dato",IF(X41&gt;='Léeme'!$B$19,"barato",IF(X41&lt;=-'Léeme'!$B$19,"caro","medio")))</f>
        <v/>
      </c>
      <c r="AB41" s="3">
        <f>IF(OR(U41="",ISTEXT(U41)),"sin dato",IF(U41&gt;='Léeme'!$B$20,"barato",IF(U41&lt;=-'Léeme'!$B$20,"caro","medio")))</f>
        <v/>
      </c>
      <c r="AC41" s="3">
        <f>IF(OR(Y41="",ISTEXT(Y41)),"sin dato",IF(Y41&gt;='Léeme'!$B$19,"barato",IF(Y41&lt;=-'Léeme'!$B$19,"caro","medio")))</f>
        <v/>
      </c>
      <c r="AD41" s="7" t="n">
        <v>0.9741379310344828</v>
      </c>
      <c r="AE41" s="7" t="n"/>
      <c r="AF41" s="7" t="n"/>
      <c r="AG41" s="7" t="n"/>
    </row>
    <row r="42">
      <c r="A42" s="3" t="inlineStr">
        <is>
          <t>2008-T1</t>
        </is>
      </c>
      <c r="B42" s="13" t="n">
        <v>39538</v>
      </c>
      <c r="C42" s="14" t="n">
        <v>29.97</v>
      </c>
      <c r="D42" s="14" t="n">
        <v>1.928</v>
      </c>
      <c r="E42" s="14" t="n">
        <v>3.34</v>
      </c>
      <c r="F42" s="5" t="n">
        <v>0.0345</v>
      </c>
      <c r="G42" s="5" t="n">
        <v>0.02214535240942439</v>
      </c>
      <c r="H42" s="5" t="n">
        <v>0.03516130491004432</v>
      </c>
      <c r="N42" s="9">
        <f>IF(F42="","",F42+'Léeme'!$B$10)</f>
        <v/>
      </c>
      <c r="O42" s="9">
        <f>IF(OR(G42="",N42=""),"",MIN(MAX(G42,'Léeme'!$B$11),'Léeme'!$B$12,N42-'Léeme'!$B$16))</f>
        <v/>
      </c>
      <c r="P42" s="16">
        <f>IF(OR(D42="",O42=""),"",IFERROR(IF(D42&lt;=0,"",D42*(1+O42)/(N42-O42)),""))</f>
        <v/>
      </c>
      <c r="Q42" s="9">
        <f>IF(H42="","",MIN(MAX(H42,'Léeme'!$B$13),'Léeme'!$B$14))</f>
        <v/>
      </c>
      <c r="R42" s="9">
        <f>IF(N42="","",MIN('Léeme'!$B$15,N42-'Léeme'!$B$16))</f>
        <v/>
      </c>
      <c r="S42" s="16">
        <f>IF(OR(E42="",Q42=""),"",IFERROR(IF(E42&lt;=0,"",E42*(((1+Q42)/(1+N42))+((1+Q42)/(1+N42))^2+((1+Q42)/(1+N42))^3+((1+Q42)/(1+N42))^4+((1+Q42)/(1+N42))^5)+E42*(1+Q42)^5*(1+R42)/((N42-R42)*(1+N42)^5)),""))</f>
        <v/>
      </c>
      <c r="T42" s="9">
        <f>IF(OR(E42="",N42=""),"",IFERROR((C42*N42-E42)/(C42+E42),""))</f>
        <v/>
      </c>
      <c r="U42" s="9">
        <f>IF(OR(H42="",T42=""),"",IFERROR(MIN(MAX(H42,'Léeme'!$B$17),'Léeme'!$B$18)-T42,""))</f>
        <v/>
      </c>
      <c r="V42" s="16">
        <f>IF(OR(I42="",M42="",L42=""),"",IFERROR((I42/M42-J42-K42)/L42,""))</f>
        <v/>
      </c>
      <c r="W42" s="11">
        <f>IFERROR(P42/C42-1,"")</f>
        <v/>
      </c>
      <c r="X42" s="11">
        <f>IFERROR(S42/C42-1,"")</f>
        <v/>
      </c>
      <c r="Y42" s="11">
        <f>IFERROR(V42/C42-1,"")</f>
        <v/>
      </c>
      <c r="Z42" s="3">
        <f>IF(OR(W42="",ISTEXT(W42)),"sin dato",IF(W42&gt;='Léeme'!$B$19,"barato",IF(W42&lt;=-'Léeme'!$B$19,"caro","medio")))</f>
        <v/>
      </c>
      <c r="AA42" s="3">
        <f>IF(OR(X42="",ISTEXT(X42)),"sin dato",IF(X42&gt;='Léeme'!$B$19,"barato",IF(X42&lt;=-'Léeme'!$B$19,"caro","medio")))</f>
        <v/>
      </c>
      <c r="AB42" s="3">
        <f>IF(OR(U42="",ISTEXT(U42)),"sin dato",IF(U42&gt;='Léeme'!$B$20,"barato",IF(U42&lt;=-'Léeme'!$B$20,"caro","medio")))</f>
        <v/>
      </c>
      <c r="AC42" s="3">
        <f>IF(OR(Y42="",ISTEXT(Y42)),"sin dato",IF(Y42&gt;='Léeme'!$B$19,"barato",IF(Y42&lt;=-'Léeme'!$B$19,"caro","medio")))</f>
        <v/>
      </c>
      <c r="AD42" s="7" t="n">
        <v>0.9918032786885246</v>
      </c>
      <c r="AE42" s="7" t="n"/>
      <c r="AF42" s="7" t="n"/>
      <c r="AG42" s="7" t="n"/>
    </row>
    <row r="43">
      <c r="A43" s="3" t="inlineStr">
        <is>
          <t>2008-T2</t>
        </is>
      </c>
      <c r="B43" s="13" t="n">
        <v>39629</v>
      </c>
      <c r="C43" s="14" t="n">
        <v>28.710001</v>
      </c>
      <c r="D43" s="14" t="n">
        <v>1.948</v>
      </c>
      <c r="E43" s="14" t="n">
        <v>3.34</v>
      </c>
      <c r="F43" s="5" t="n">
        <v>0.0399</v>
      </c>
      <c r="G43" s="5" t="n">
        <v>0.02378370530294527</v>
      </c>
      <c r="H43" s="5" t="n">
        <v>0.03516130491004432</v>
      </c>
      <c r="N43" s="9">
        <f>IF(F43="","",F43+'Léeme'!$B$10)</f>
        <v/>
      </c>
      <c r="O43" s="9">
        <f>IF(OR(G43="",N43=""),"",MIN(MAX(G43,'Léeme'!$B$11),'Léeme'!$B$12,N43-'Léeme'!$B$16))</f>
        <v/>
      </c>
      <c r="P43" s="16">
        <f>IF(OR(D43="",O43=""),"",IFERROR(IF(D43&lt;=0,"",D43*(1+O43)/(N43-O43)),""))</f>
        <v/>
      </c>
      <c r="Q43" s="9">
        <f>IF(H43="","",MIN(MAX(H43,'Léeme'!$B$13),'Léeme'!$B$14))</f>
        <v/>
      </c>
      <c r="R43" s="9">
        <f>IF(N43="","",MIN('Léeme'!$B$15,N43-'Léeme'!$B$16))</f>
        <v/>
      </c>
      <c r="S43" s="16">
        <f>IF(OR(E43="",Q43=""),"",IFERROR(IF(E43&lt;=0,"",E43*(((1+Q43)/(1+N43))+((1+Q43)/(1+N43))^2+((1+Q43)/(1+N43))^3+((1+Q43)/(1+N43))^4+((1+Q43)/(1+N43))^5)+E43*(1+Q43)^5*(1+R43)/((N43-R43)*(1+N43)^5)),""))</f>
        <v/>
      </c>
      <c r="T43" s="9">
        <f>IF(OR(E43="",N43=""),"",IFERROR((C43*N43-E43)/(C43+E43),""))</f>
        <v/>
      </c>
      <c r="U43" s="9">
        <f>IF(OR(H43="",T43=""),"",IFERROR(MIN(MAX(H43,'Léeme'!$B$17),'Léeme'!$B$18)-T43,""))</f>
        <v/>
      </c>
      <c r="V43" s="16">
        <f>IF(OR(I43="",M43="",L43=""),"",IFERROR((I43/M43-J43-K43)/L43,""))</f>
        <v/>
      </c>
      <c r="W43" s="11">
        <f>IFERROR(P43/C43-1,"")</f>
        <v/>
      </c>
      <c r="X43" s="11">
        <f>IFERROR(S43/C43-1,"")</f>
        <v/>
      </c>
      <c r="Y43" s="11">
        <f>IFERROR(V43/C43-1,"")</f>
        <v/>
      </c>
      <c r="Z43" s="3">
        <f>IF(OR(W43="",ISTEXT(W43)),"sin dato",IF(W43&gt;='Léeme'!$B$19,"barato",IF(W43&lt;=-'Léeme'!$B$19,"caro","medio")))</f>
        <v/>
      </c>
      <c r="AA43" s="3">
        <f>IF(OR(X43="",ISTEXT(X43)),"sin dato",IF(X43&gt;='Léeme'!$B$19,"barato",IF(X43&lt;=-'Léeme'!$B$19,"caro","medio")))</f>
        <v/>
      </c>
      <c r="AB43" s="3">
        <f>IF(OR(U43="",ISTEXT(U43)),"sin dato",IF(U43&gt;='Léeme'!$B$20,"barato",IF(U43&lt;=-'Léeme'!$B$20,"caro","medio")))</f>
        <v/>
      </c>
      <c r="AC43" s="3">
        <f>IF(OR(Y43="",ISTEXT(Y43)),"sin dato",IF(Y43&gt;='Léeme'!$B$19,"barato",IF(Y43&lt;=-'Léeme'!$B$19,"caro","medio")))</f>
        <v/>
      </c>
      <c r="AD43" s="7" t="n">
        <v>0.9765625</v>
      </c>
      <c r="AE43" s="7" t="n">
        <v>0.6447368421052632</v>
      </c>
      <c r="AF43" s="7" t="n">
        <v>0.3815789473684211</v>
      </c>
      <c r="AG43" s="7" t="n"/>
    </row>
    <row r="44">
      <c r="A44" s="3" t="inlineStr">
        <is>
          <t>2008-T3</t>
        </is>
      </c>
      <c r="B44" s="13" t="n">
        <v>39721</v>
      </c>
      <c r="C44" s="14" t="n">
        <v>26.1</v>
      </c>
      <c r="D44" s="14" t="n">
        <v>1.968004</v>
      </c>
      <c r="E44" s="14" t="n">
        <v>3.34</v>
      </c>
      <c r="F44" s="5" t="n">
        <v>0.0385</v>
      </c>
      <c r="G44" s="5" t="n">
        <v>0.02587776702853506</v>
      </c>
      <c r="H44" s="5" t="n">
        <v>0.03516130491004432</v>
      </c>
      <c r="N44" s="9">
        <f>IF(F44="","",F44+'Léeme'!$B$10)</f>
        <v/>
      </c>
      <c r="O44" s="9">
        <f>IF(OR(G44="",N44=""),"",MIN(MAX(G44,'Léeme'!$B$11),'Léeme'!$B$12,N44-'Léeme'!$B$16))</f>
        <v/>
      </c>
      <c r="P44" s="16">
        <f>IF(OR(D44="",O44=""),"",IFERROR(IF(D44&lt;=0,"",D44*(1+O44)/(N44-O44)),""))</f>
        <v/>
      </c>
      <c r="Q44" s="9">
        <f>IF(H44="","",MIN(MAX(H44,'Léeme'!$B$13),'Léeme'!$B$14))</f>
        <v/>
      </c>
      <c r="R44" s="9">
        <f>IF(N44="","",MIN('Léeme'!$B$15,N44-'Léeme'!$B$16))</f>
        <v/>
      </c>
      <c r="S44" s="16">
        <f>IF(OR(E44="",Q44=""),"",IFERROR(IF(E44&lt;=0,"",E44*(((1+Q44)/(1+N44))+((1+Q44)/(1+N44))^2+((1+Q44)/(1+N44))^3+((1+Q44)/(1+N44))^4+((1+Q44)/(1+N44))^5)+E44*(1+Q44)^5*(1+R44)/((N44-R44)*(1+N44)^5)),""))</f>
        <v/>
      </c>
      <c r="T44" s="9">
        <f>IF(OR(E44="",N44=""),"",IFERROR((C44*N44-E44)/(C44+E44),""))</f>
        <v/>
      </c>
      <c r="U44" s="9">
        <f>IF(OR(H44="",T44=""),"",IFERROR(MIN(MAX(H44,'Léeme'!$B$17),'Léeme'!$B$18)-T44,""))</f>
        <v/>
      </c>
      <c r="V44" s="16">
        <f>IF(OR(I44="",M44="",L44=""),"",IFERROR((I44/M44-J44-K44)/L44,""))</f>
        <v/>
      </c>
      <c r="W44" s="11">
        <f>IFERROR(P44/C44-1,"")</f>
        <v/>
      </c>
      <c r="X44" s="11">
        <f>IFERROR(S44/C44-1,"")</f>
        <v/>
      </c>
      <c r="Y44" s="11">
        <f>IFERROR(V44/C44-1,"")</f>
        <v/>
      </c>
      <c r="Z44" s="3">
        <f>IF(OR(W44="",ISTEXT(W44)),"sin dato",IF(W44&gt;='Léeme'!$B$19,"barato",IF(W44&lt;=-'Léeme'!$B$19,"caro","medio")))</f>
        <v/>
      </c>
      <c r="AA44" s="3">
        <f>IF(OR(X44="",ISTEXT(X44)),"sin dato",IF(X44&gt;='Léeme'!$B$19,"barato",IF(X44&lt;=-'Léeme'!$B$19,"caro","medio")))</f>
        <v/>
      </c>
      <c r="AB44" s="3">
        <f>IF(OR(U44="",ISTEXT(U44)),"sin dato",IF(U44&gt;='Léeme'!$B$20,"barato",IF(U44&lt;=-'Léeme'!$B$20,"caro","medio")))</f>
        <v/>
      </c>
      <c r="AC44" s="3">
        <f>IF(OR(Y44="",ISTEXT(Y44)),"sin dato",IF(Y44&gt;='Léeme'!$B$19,"barato",IF(Y44&lt;=-'Léeme'!$B$19,"caro","medio")))</f>
        <v/>
      </c>
      <c r="AD44" s="7" t="n">
        <v>0.9925373134328358</v>
      </c>
      <c r="AE44" s="7" t="n">
        <v>0.7439024390243902</v>
      </c>
      <c r="AF44" s="7" t="n">
        <v>0.5975609756097561</v>
      </c>
      <c r="AG44" s="7" t="n"/>
    </row>
    <row r="45">
      <c r="A45" s="3" t="inlineStr">
        <is>
          <t>2008-T4</t>
        </is>
      </c>
      <c r="B45" s="13" t="n">
        <v>39813</v>
      </c>
      <c r="C45" s="14" t="n">
        <v>23.429999</v>
      </c>
      <c r="D45" s="14" t="n">
        <v>1.976</v>
      </c>
      <c r="E45" s="14" t="n">
        <v>3.34</v>
      </c>
      <c r="F45" s="5" t="n">
        <v>0.0225</v>
      </c>
      <c r="G45" s="5" t="n">
        <v>0.02576420148364988</v>
      </c>
      <c r="H45" s="5" t="n">
        <v>0.03516130491004432</v>
      </c>
      <c r="N45" s="9">
        <f>IF(F45="","",F45+'Léeme'!$B$10)</f>
        <v/>
      </c>
      <c r="O45" s="9">
        <f>IF(OR(G45="",N45=""),"",MIN(MAX(G45,'Léeme'!$B$11),'Léeme'!$B$12,N45-'Léeme'!$B$16))</f>
        <v/>
      </c>
      <c r="P45" s="16">
        <f>IF(OR(D45="",O45=""),"",IFERROR(IF(D45&lt;=0,"",D45*(1+O45)/(N45-O45)),""))</f>
        <v/>
      </c>
      <c r="Q45" s="9">
        <f>IF(H45="","",MIN(MAX(H45,'Léeme'!$B$13),'Léeme'!$B$14))</f>
        <v/>
      </c>
      <c r="R45" s="9">
        <f>IF(N45="","",MIN('Léeme'!$B$15,N45-'Léeme'!$B$16))</f>
        <v/>
      </c>
      <c r="S45" s="16">
        <f>IF(OR(E45="",Q45=""),"",IFERROR(IF(E45&lt;=0,"",E45*(((1+Q45)/(1+N45))+((1+Q45)/(1+N45))^2+((1+Q45)/(1+N45))^3+((1+Q45)/(1+N45))^4+((1+Q45)/(1+N45))^5)+E45*(1+Q45)^5*(1+R45)/((N45-R45)*(1+N45)^5)),""))</f>
        <v/>
      </c>
      <c r="T45" s="9">
        <f>IF(OR(E45="",N45=""),"",IFERROR((C45*N45-E45)/(C45+E45),""))</f>
        <v/>
      </c>
      <c r="U45" s="9">
        <f>IF(OR(H45="",T45=""),"",IFERROR(MIN(MAX(H45,'Léeme'!$B$17),'Léeme'!$B$18)-T45,""))</f>
        <v/>
      </c>
      <c r="V45" s="16">
        <f>IF(OR(I45="",M45="",L45=""),"",IFERROR((I45/M45-J45-K45)/L45,""))</f>
        <v/>
      </c>
      <c r="W45" s="11">
        <f>IFERROR(P45/C45-1,"")</f>
        <v/>
      </c>
      <c r="X45" s="11">
        <f>IFERROR(S45/C45-1,"")</f>
        <v/>
      </c>
      <c r="Y45" s="11">
        <f>IFERROR(V45/C45-1,"")</f>
        <v/>
      </c>
      <c r="Z45" s="3">
        <f>IF(OR(W45="",ISTEXT(W45)),"sin dato",IF(W45&gt;='Léeme'!$B$19,"barato",IF(W45&lt;=-'Léeme'!$B$19,"caro","medio")))</f>
        <v/>
      </c>
      <c r="AA45" s="3">
        <f>IF(OR(X45="",ISTEXT(X45)),"sin dato",IF(X45&gt;='Léeme'!$B$19,"barato",IF(X45&lt;=-'Léeme'!$B$19,"caro","medio")))</f>
        <v/>
      </c>
      <c r="AB45" s="3">
        <f>IF(OR(U45="",ISTEXT(U45)),"sin dato",IF(U45&gt;='Léeme'!$B$20,"barato",IF(U45&lt;=-'Léeme'!$B$20,"caro","medio")))</f>
        <v/>
      </c>
      <c r="AC45" s="3">
        <f>IF(OR(Y45="",ISTEXT(Y45)),"sin dato",IF(Y45&gt;='Léeme'!$B$19,"barato",IF(Y45&lt;=-'Léeme'!$B$19,"caro","medio")))</f>
        <v/>
      </c>
      <c r="AD45" s="7" t="n">
        <v>0.9928571428571429</v>
      </c>
      <c r="AE45" s="7" t="n">
        <v>0.9886363636363636</v>
      </c>
      <c r="AF45" s="7" t="n">
        <v>0.7386363636363636</v>
      </c>
      <c r="AG45" s="7" t="n"/>
    </row>
    <row r="46">
      <c r="A46" s="3" t="inlineStr">
        <is>
          <t>2009-T1</t>
        </is>
      </c>
      <c r="B46" s="13" t="n">
        <v>39903</v>
      </c>
      <c r="C46" s="14" t="n">
        <v>22.19</v>
      </c>
      <c r="D46" s="14" t="n">
        <v>1.984</v>
      </c>
      <c r="E46" s="14" t="n">
        <v>3.09</v>
      </c>
      <c r="F46" s="5" t="n">
        <v>0.0271</v>
      </c>
      <c r="G46" s="5" t="n">
        <v>0.02659343797650782</v>
      </c>
      <c r="H46" s="5" t="n">
        <v>0.0213691515404435</v>
      </c>
      <c r="N46" s="9">
        <f>IF(F46="","",F46+'Léeme'!$B$10)</f>
        <v/>
      </c>
      <c r="O46" s="9">
        <f>IF(OR(G46="",N46=""),"",MIN(MAX(G46,'Léeme'!$B$11),'Léeme'!$B$12,N46-'Léeme'!$B$16))</f>
        <v/>
      </c>
      <c r="P46" s="16">
        <f>IF(OR(D46="",O46=""),"",IFERROR(IF(D46&lt;=0,"",D46*(1+O46)/(N46-O46)),""))</f>
        <v/>
      </c>
      <c r="Q46" s="9">
        <f>IF(H46="","",MIN(MAX(H46,'Léeme'!$B$13),'Léeme'!$B$14))</f>
        <v/>
      </c>
      <c r="R46" s="9">
        <f>IF(N46="","",MIN('Léeme'!$B$15,N46-'Léeme'!$B$16))</f>
        <v/>
      </c>
      <c r="S46" s="16">
        <f>IF(OR(E46="",Q46=""),"",IFERROR(IF(E46&lt;=0,"",E46*(((1+Q46)/(1+N46))+((1+Q46)/(1+N46))^2+((1+Q46)/(1+N46))^3+((1+Q46)/(1+N46))^4+((1+Q46)/(1+N46))^5)+E46*(1+Q46)^5*(1+R46)/((N46-R46)*(1+N46)^5)),""))</f>
        <v/>
      </c>
      <c r="T46" s="9">
        <f>IF(OR(E46="",N46=""),"",IFERROR((C46*N46-E46)/(C46+E46),""))</f>
        <v/>
      </c>
      <c r="U46" s="9">
        <f>IF(OR(H46="",T46=""),"",IFERROR(MIN(MAX(H46,'Léeme'!$B$17),'Léeme'!$B$18)-T46,""))</f>
        <v/>
      </c>
      <c r="V46" s="16">
        <f>IF(OR(I46="",M46="",L46=""),"",IFERROR((I46/M46-J46-K46)/L46,""))</f>
        <v/>
      </c>
      <c r="W46" s="11">
        <f>IFERROR(P46/C46-1,"")</f>
        <v/>
      </c>
      <c r="X46" s="11">
        <f>IFERROR(S46/C46-1,"")</f>
        <v/>
      </c>
      <c r="Y46" s="11">
        <f>IFERROR(V46/C46-1,"")</f>
        <v/>
      </c>
      <c r="Z46" s="3">
        <f>IF(OR(W46="",ISTEXT(W46)),"sin dato",IF(W46&gt;='Léeme'!$B$19,"barato",IF(W46&lt;=-'Léeme'!$B$19,"caro","medio")))</f>
        <v/>
      </c>
      <c r="AA46" s="3">
        <f>IF(OR(X46="",ISTEXT(X46)),"sin dato",IF(X46&gt;='Léeme'!$B$19,"barato",IF(X46&lt;=-'Léeme'!$B$19,"caro","medio")))</f>
        <v/>
      </c>
      <c r="AB46" s="3">
        <f>IF(OR(U46="",ISTEXT(U46)),"sin dato",IF(U46&gt;='Léeme'!$B$20,"barato",IF(U46&lt;=-'Léeme'!$B$20,"caro","medio")))</f>
        <v/>
      </c>
      <c r="AC46" s="3">
        <f>IF(OR(Y46="",ISTEXT(Y46)),"sin dato",IF(Y46&gt;='Léeme'!$B$19,"barato",IF(Y46&lt;=-'Léeme'!$B$19,"caro","medio")))</f>
        <v/>
      </c>
      <c r="AD46" s="7" t="n">
        <v>0.9657534246575342</v>
      </c>
      <c r="AE46" s="7" t="n">
        <v>0.9042553191489362</v>
      </c>
      <c r="AF46" s="7" t="n">
        <v>0.648936170212766</v>
      </c>
      <c r="AG46" s="7" t="n"/>
    </row>
    <row r="47">
      <c r="A47" s="3" t="inlineStr">
        <is>
          <t>2009-T2</t>
        </is>
      </c>
      <c r="B47" s="13" t="n">
        <v>39994</v>
      </c>
      <c r="C47" s="14" t="n">
        <v>24.98</v>
      </c>
      <c r="D47" s="14" t="n">
        <v>1.992</v>
      </c>
      <c r="E47" s="14" t="n">
        <v>3.09</v>
      </c>
      <c r="F47" s="5" t="n">
        <v>0.0353</v>
      </c>
      <c r="G47" s="5" t="n">
        <v>0.02600870726911864</v>
      </c>
      <c r="H47" s="5" t="n">
        <v>0.0213691515404435</v>
      </c>
      <c r="N47" s="9">
        <f>IF(F47="","",F47+'Léeme'!$B$10)</f>
        <v/>
      </c>
      <c r="O47" s="9">
        <f>IF(OR(G47="",N47=""),"",MIN(MAX(G47,'Léeme'!$B$11),'Léeme'!$B$12,N47-'Léeme'!$B$16))</f>
        <v/>
      </c>
      <c r="P47" s="16">
        <f>IF(OR(D47="",O47=""),"",IFERROR(IF(D47&lt;=0,"",D47*(1+O47)/(N47-O47)),""))</f>
        <v/>
      </c>
      <c r="Q47" s="9">
        <f>IF(H47="","",MIN(MAX(H47,'Léeme'!$B$13),'Léeme'!$B$14))</f>
        <v/>
      </c>
      <c r="R47" s="9">
        <f>IF(N47="","",MIN('Léeme'!$B$15,N47-'Léeme'!$B$16))</f>
        <v/>
      </c>
      <c r="S47" s="16">
        <f>IF(OR(E47="",Q47=""),"",IFERROR(IF(E47&lt;=0,"",E47*(((1+Q47)/(1+N47))+((1+Q47)/(1+N47))^2+((1+Q47)/(1+N47))^3+((1+Q47)/(1+N47))^4+((1+Q47)/(1+N47))^5)+E47*(1+Q47)^5*(1+R47)/((N47-R47)*(1+N47)^5)),""))</f>
        <v/>
      </c>
      <c r="T47" s="9">
        <f>IF(OR(E47="",N47=""),"",IFERROR((C47*N47-E47)/(C47+E47),""))</f>
        <v/>
      </c>
      <c r="U47" s="9">
        <f>IF(OR(H47="",T47=""),"",IFERROR(MIN(MAX(H47,'Léeme'!$B$17),'Léeme'!$B$18)-T47,""))</f>
        <v/>
      </c>
      <c r="V47" s="16">
        <f>IF(OR(I47="",M47="",L47=""),"",IFERROR((I47/M47-J47-K47)/L47,""))</f>
        <v/>
      </c>
      <c r="W47" s="11">
        <f>IFERROR(P47/C47-1,"")</f>
        <v/>
      </c>
      <c r="X47" s="11">
        <f>IFERROR(S47/C47-1,"")</f>
        <v/>
      </c>
      <c r="Y47" s="11">
        <f>IFERROR(V47/C47-1,"")</f>
        <v/>
      </c>
      <c r="Z47" s="3">
        <f>IF(OR(W47="",ISTEXT(W47)),"sin dato",IF(W47&gt;='Léeme'!$B$19,"barato",IF(W47&lt;=-'Léeme'!$B$19,"caro","medio")))</f>
        <v/>
      </c>
      <c r="AA47" s="3">
        <f>IF(OR(X47="",ISTEXT(X47)),"sin dato",IF(X47&gt;='Léeme'!$B$19,"barato",IF(X47&lt;=-'Léeme'!$B$19,"caro","medio")))</f>
        <v/>
      </c>
      <c r="AB47" s="3">
        <f>IF(OR(U47="",ISTEXT(U47)),"sin dato",IF(U47&gt;='Léeme'!$B$20,"barato",IF(U47&lt;=-'Léeme'!$B$20,"caro","medio")))</f>
        <v/>
      </c>
      <c r="AC47" s="3">
        <f>IF(OR(Y47="",ISTEXT(Y47)),"sin dato",IF(Y47&gt;='Léeme'!$B$19,"barato",IF(Y47&lt;=-'Léeme'!$B$19,"caro","medio")))</f>
        <v/>
      </c>
      <c r="AD47" s="7" t="n">
        <v>0.9144736842105263</v>
      </c>
      <c r="AE47" s="7" t="n">
        <v>0.63</v>
      </c>
      <c r="AF47" s="7" t="n">
        <v>0.31</v>
      </c>
      <c r="AG47" s="7" t="n"/>
    </row>
    <row r="48">
      <c r="A48" s="3" t="inlineStr">
        <is>
          <t>2009-T3</t>
        </is>
      </c>
      <c r="B48" s="13" t="n">
        <v>40086</v>
      </c>
      <c r="C48" s="14" t="n">
        <v>28.31</v>
      </c>
      <c r="D48" s="14" t="n">
        <v>2</v>
      </c>
      <c r="E48" s="14" t="n">
        <v>3.09</v>
      </c>
      <c r="F48" s="5" t="n">
        <v>0.0331</v>
      </c>
      <c r="G48" s="5" t="n">
        <v>0.02589630491023409</v>
      </c>
      <c r="H48" s="5" t="n">
        <v>0.0213691515404435</v>
      </c>
      <c r="N48" s="9">
        <f>IF(F48="","",F48+'Léeme'!$B$10)</f>
        <v/>
      </c>
      <c r="O48" s="9">
        <f>IF(OR(G48="",N48=""),"",MIN(MAX(G48,'Léeme'!$B$11),'Léeme'!$B$12,N48-'Léeme'!$B$16))</f>
        <v/>
      </c>
      <c r="P48" s="16">
        <f>IF(OR(D48="",O48=""),"",IFERROR(IF(D48&lt;=0,"",D48*(1+O48)/(N48-O48)),""))</f>
        <v/>
      </c>
      <c r="Q48" s="9">
        <f>IF(H48="","",MIN(MAX(H48,'Léeme'!$B$13),'Léeme'!$B$14))</f>
        <v/>
      </c>
      <c r="R48" s="9">
        <f>IF(N48="","",MIN('Léeme'!$B$15,N48-'Léeme'!$B$16))</f>
        <v/>
      </c>
      <c r="S48" s="16">
        <f>IF(OR(E48="",Q48=""),"",IFERROR(IF(E48&lt;=0,"",E48*(((1+Q48)/(1+N48))+((1+Q48)/(1+N48))^2+((1+Q48)/(1+N48))^3+((1+Q48)/(1+N48))^4+((1+Q48)/(1+N48))^5)+E48*(1+Q48)^5*(1+R48)/((N48-R48)*(1+N48)^5)),""))</f>
        <v/>
      </c>
      <c r="T48" s="9">
        <f>IF(OR(E48="",N48=""),"",IFERROR((C48*N48-E48)/(C48+E48),""))</f>
        <v/>
      </c>
      <c r="U48" s="9">
        <f>IF(OR(H48="",T48=""),"",IFERROR(MIN(MAX(H48,'Léeme'!$B$17),'Léeme'!$B$18)-T48,""))</f>
        <v/>
      </c>
      <c r="V48" s="16">
        <f>IF(OR(I48="",M48="",L48=""),"",IFERROR((I48/M48-J48-K48)/L48,""))</f>
        <v/>
      </c>
      <c r="W48" s="11">
        <f>IFERROR(P48/C48-1,"")</f>
        <v/>
      </c>
      <c r="X48" s="11">
        <f>IFERROR(S48/C48-1,"")</f>
        <v/>
      </c>
      <c r="Y48" s="11">
        <f>IFERROR(V48/C48-1,"")</f>
        <v/>
      </c>
      <c r="Z48" s="3">
        <f>IF(OR(W48="",ISTEXT(W48)),"sin dato",IF(W48&gt;='Léeme'!$B$19,"barato",IF(W48&lt;=-'Léeme'!$B$19,"caro","medio")))</f>
        <v/>
      </c>
      <c r="AA48" s="3">
        <f>IF(OR(X48="",ISTEXT(X48)),"sin dato",IF(X48&gt;='Léeme'!$B$19,"barato",IF(X48&lt;=-'Léeme'!$B$19,"caro","medio")))</f>
        <v/>
      </c>
      <c r="AB48" s="3">
        <f>IF(OR(U48="",ISTEXT(U48)),"sin dato",IF(U48&gt;='Léeme'!$B$20,"barato",IF(U48&lt;=-'Léeme'!$B$20,"caro","medio")))</f>
        <v/>
      </c>
      <c r="AC48" s="3">
        <f>IF(OR(Y48="",ISTEXT(Y48)),"sin dato",IF(Y48&gt;='Léeme'!$B$19,"barato",IF(Y48&lt;=-'Léeme'!$B$19,"caro","medio")))</f>
        <v/>
      </c>
      <c r="AD48" s="7" t="n">
        <v>0.879746835443038</v>
      </c>
      <c r="AE48" s="7" t="n">
        <v>0.5943396226415094</v>
      </c>
      <c r="AF48" s="7" t="n">
        <v>0.2358490566037736</v>
      </c>
      <c r="AG48" s="7" t="n"/>
    </row>
    <row r="49">
      <c r="A49" s="3" t="inlineStr">
        <is>
          <t>2009-T4</t>
        </is>
      </c>
      <c r="B49" s="13" t="n">
        <v>40178</v>
      </c>
      <c r="C49" s="14" t="n">
        <v>27.68</v>
      </c>
      <c r="D49" s="14" t="n">
        <v>2.008</v>
      </c>
      <c r="E49" s="14" t="n">
        <v>3.09</v>
      </c>
      <c r="F49" s="5" t="n">
        <v>0.0385</v>
      </c>
      <c r="G49" s="5" t="n">
        <v>0.02578487115132311</v>
      </c>
      <c r="H49" s="5" t="n">
        <v>0.0213691515404435</v>
      </c>
      <c r="N49" s="9">
        <f>IF(F49="","",F49+'Léeme'!$B$10)</f>
        <v/>
      </c>
      <c r="O49" s="9">
        <f>IF(OR(G49="",N49=""),"",MIN(MAX(G49,'Léeme'!$B$11),'Léeme'!$B$12,N49-'Léeme'!$B$16))</f>
        <v/>
      </c>
      <c r="P49" s="16">
        <f>IF(OR(D49="",O49=""),"",IFERROR(IF(D49&lt;=0,"",D49*(1+O49)/(N49-O49)),""))</f>
        <v/>
      </c>
      <c r="Q49" s="9">
        <f>IF(H49="","",MIN(MAX(H49,'Léeme'!$B$13),'Léeme'!$B$14))</f>
        <v/>
      </c>
      <c r="R49" s="9">
        <f>IF(N49="","",MIN('Léeme'!$B$15,N49-'Léeme'!$B$16))</f>
        <v/>
      </c>
      <c r="S49" s="16">
        <f>IF(OR(E49="",Q49=""),"",IFERROR(IF(E49&lt;=0,"",E49*(((1+Q49)/(1+N49))+((1+Q49)/(1+N49))^2+((1+Q49)/(1+N49))^3+((1+Q49)/(1+N49))^4+((1+Q49)/(1+N49))^5)+E49*(1+Q49)^5*(1+R49)/((N49-R49)*(1+N49)^5)),""))</f>
        <v/>
      </c>
      <c r="T49" s="9">
        <f>IF(OR(E49="",N49=""),"",IFERROR((C49*N49-E49)/(C49+E49),""))</f>
        <v/>
      </c>
      <c r="U49" s="9">
        <f>IF(OR(H49="",T49=""),"",IFERROR(MIN(MAX(H49,'Léeme'!$B$17),'Léeme'!$B$18)-T49,""))</f>
        <v/>
      </c>
      <c r="V49" s="16">
        <f>IF(OR(I49="",M49="",L49=""),"",IFERROR((I49/M49-J49-K49)/L49,""))</f>
        <v/>
      </c>
      <c r="W49" s="11">
        <f>IFERROR(P49/C49-1,"")</f>
        <v/>
      </c>
      <c r="X49" s="11">
        <f>IFERROR(S49/C49-1,"")</f>
        <v/>
      </c>
      <c r="Y49" s="11">
        <f>IFERROR(V49/C49-1,"")</f>
        <v/>
      </c>
      <c r="Z49" s="3">
        <f>IF(OR(W49="",ISTEXT(W49)),"sin dato",IF(W49&gt;='Léeme'!$B$19,"barato",IF(W49&lt;=-'Léeme'!$B$19,"caro","medio")))</f>
        <v/>
      </c>
      <c r="AA49" s="3">
        <f>IF(OR(X49="",ISTEXT(X49)),"sin dato",IF(X49&gt;='Léeme'!$B$19,"barato",IF(X49&lt;=-'Léeme'!$B$19,"caro","medio")))</f>
        <v/>
      </c>
      <c r="AB49" s="3">
        <f>IF(OR(U49="",ISTEXT(U49)),"sin dato",IF(U49&gt;='Léeme'!$B$20,"barato",IF(U49&lt;=-'Léeme'!$B$20,"caro","medio")))</f>
        <v/>
      </c>
      <c r="AC49" s="3">
        <f>IF(OR(Y49="",ISTEXT(Y49)),"sin dato",IF(Y49&gt;='Léeme'!$B$19,"barato",IF(Y49&lt;=-'Léeme'!$B$19,"caro","medio")))</f>
        <v/>
      </c>
      <c r="AD49" s="7" t="n">
        <v>0.8109756097560976</v>
      </c>
      <c r="AE49" s="7" t="n">
        <v>0.3839285714285715</v>
      </c>
      <c r="AF49" s="7" t="n">
        <v>0.2053571428571428</v>
      </c>
      <c r="AG49" s="7" t="n"/>
    </row>
    <row r="50">
      <c r="A50" s="3" t="inlineStr">
        <is>
          <t>2010-T1</t>
        </is>
      </c>
      <c r="B50" s="13" t="n">
        <v>40268</v>
      </c>
      <c r="C50" s="14" t="n">
        <v>29.379999</v>
      </c>
      <c r="D50" s="14" t="n">
        <v>2.016</v>
      </c>
      <c r="E50" s="14" t="n">
        <v>3.09</v>
      </c>
      <c r="F50" s="5" t="n">
        <v>0.0384</v>
      </c>
      <c r="G50" s="5" t="n">
        <v>0.02567439351051015</v>
      </c>
      <c r="H50" s="5" t="n">
        <v>-0.02292972544878269</v>
      </c>
      <c r="N50" s="9">
        <f>IF(F50="","",F50+'Léeme'!$B$10)</f>
        <v/>
      </c>
      <c r="O50" s="9">
        <f>IF(OR(G50="",N50=""),"",MIN(MAX(G50,'Léeme'!$B$11),'Léeme'!$B$12,N50-'Léeme'!$B$16))</f>
        <v/>
      </c>
      <c r="P50" s="16">
        <f>IF(OR(D50="",O50=""),"",IFERROR(IF(D50&lt;=0,"",D50*(1+O50)/(N50-O50)),""))</f>
        <v/>
      </c>
      <c r="Q50" s="9">
        <f>IF(H50="","",MIN(MAX(H50,'Léeme'!$B$13),'Léeme'!$B$14))</f>
        <v/>
      </c>
      <c r="R50" s="9">
        <f>IF(N50="","",MIN('Léeme'!$B$15,N50-'Léeme'!$B$16))</f>
        <v/>
      </c>
      <c r="S50" s="16">
        <f>IF(OR(E50="",Q50=""),"",IFERROR(IF(E50&lt;=0,"",E50*(((1+Q50)/(1+N50))+((1+Q50)/(1+N50))^2+((1+Q50)/(1+N50))^3+((1+Q50)/(1+N50))^4+((1+Q50)/(1+N50))^5)+E50*(1+Q50)^5*(1+R50)/((N50-R50)*(1+N50)^5)),""))</f>
        <v/>
      </c>
      <c r="T50" s="9">
        <f>IF(OR(E50="",N50=""),"",IFERROR((C50*N50-E50)/(C50+E50),""))</f>
        <v/>
      </c>
      <c r="U50" s="9">
        <f>IF(OR(H50="",T50=""),"",IFERROR(MIN(MAX(H50,'Léeme'!$B$17),'Léeme'!$B$18)-T50,""))</f>
        <v/>
      </c>
      <c r="V50" s="16">
        <f>IF(OR(I50="",M50="",L50=""),"",IFERROR((I50/M50-J50-K50)/L50,""))</f>
        <v/>
      </c>
      <c r="W50" s="11">
        <f>IFERROR(P50/C50-1,"")</f>
        <v/>
      </c>
      <c r="X50" s="11">
        <f>IFERROR(S50/C50-1,"")</f>
        <v/>
      </c>
      <c r="Y50" s="11">
        <f>IFERROR(V50/C50-1,"")</f>
        <v/>
      </c>
      <c r="Z50" s="3">
        <f>IF(OR(W50="",ISTEXT(W50)),"sin dato",IF(W50&gt;='Léeme'!$B$19,"barato",IF(W50&lt;=-'Léeme'!$B$19,"caro","medio")))</f>
        <v/>
      </c>
      <c r="AA50" s="3">
        <f>IF(OR(X50="",ISTEXT(X50)),"sin dato",IF(X50&gt;='Léeme'!$B$19,"barato",IF(X50&lt;=-'Léeme'!$B$19,"caro","medio")))</f>
        <v/>
      </c>
      <c r="AB50" s="3">
        <f>IF(OR(U50="",ISTEXT(U50)),"sin dato",IF(U50&gt;='Léeme'!$B$20,"barato",IF(U50&lt;=-'Léeme'!$B$20,"caro","medio")))</f>
        <v/>
      </c>
      <c r="AC50" s="3">
        <f>IF(OR(Y50="",ISTEXT(Y50)),"sin dato",IF(Y50&gt;='Léeme'!$B$19,"barato",IF(Y50&lt;=-'Léeme'!$B$19,"caro","medio")))</f>
        <v/>
      </c>
      <c r="AD50" s="7" t="n">
        <v>0.7823529411764706</v>
      </c>
      <c r="AE50" s="7" t="n">
        <v>0.1949152542372881</v>
      </c>
      <c r="AF50" s="7" t="n">
        <v>0.008474576271186441</v>
      </c>
      <c r="AG50" s="7" t="n"/>
    </row>
    <row r="51">
      <c r="A51" s="3" t="inlineStr">
        <is>
          <t>2010-T2</t>
        </is>
      </c>
      <c r="B51" s="13" t="n">
        <v>40359</v>
      </c>
      <c r="C51" s="14" t="n">
        <v>27.64</v>
      </c>
      <c r="D51" s="14" t="n">
        <v>2.024</v>
      </c>
      <c r="E51" s="14" t="n">
        <v>3.09</v>
      </c>
      <c r="F51" s="5" t="n">
        <v>0.0297</v>
      </c>
      <c r="G51" s="5" t="n">
        <v>0.02556485971972555</v>
      </c>
      <c r="H51" s="5" t="n">
        <v>-0.02292972544878269</v>
      </c>
      <c r="N51" s="9">
        <f>IF(F51="","",F51+'Léeme'!$B$10)</f>
        <v/>
      </c>
      <c r="O51" s="9">
        <f>IF(OR(G51="",N51=""),"",MIN(MAX(G51,'Léeme'!$B$11),'Léeme'!$B$12,N51-'Léeme'!$B$16))</f>
        <v/>
      </c>
      <c r="P51" s="16">
        <f>IF(OR(D51="",O51=""),"",IFERROR(IF(D51&lt;=0,"",D51*(1+O51)/(N51-O51)),""))</f>
        <v/>
      </c>
      <c r="Q51" s="9">
        <f>IF(H51="","",MIN(MAX(H51,'Léeme'!$B$13),'Léeme'!$B$14))</f>
        <v/>
      </c>
      <c r="R51" s="9">
        <f>IF(N51="","",MIN('Léeme'!$B$15,N51-'Léeme'!$B$16))</f>
        <v/>
      </c>
      <c r="S51" s="16">
        <f>IF(OR(E51="",Q51=""),"",IFERROR(IF(E51&lt;=0,"",E51*(((1+Q51)/(1+N51))+((1+Q51)/(1+N51))^2+((1+Q51)/(1+N51))^3+((1+Q51)/(1+N51))^4+((1+Q51)/(1+N51))^5)+E51*(1+Q51)^5*(1+R51)/((N51-R51)*(1+N51)^5)),""))</f>
        <v/>
      </c>
      <c r="T51" s="9">
        <f>IF(OR(E51="",N51=""),"",IFERROR((C51*N51-E51)/(C51+E51),""))</f>
        <v/>
      </c>
      <c r="U51" s="9">
        <f>IF(OR(H51="",T51=""),"",IFERROR(MIN(MAX(H51,'Léeme'!$B$17),'Léeme'!$B$18)-T51,""))</f>
        <v/>
      </c>
      <c r="V51" s="16">
        <f>IF(OR(I51="",M51="",L51=""),"",IFERROR((I51/M51-J51-K51)/L51,""))</f>
        <v/>
      </c>
      <c r="W51" s="11">
        <f>IFERROR(P51/C51-1,"")</f>
        <v/>
      </c>
      <c r="X51" s="11">
        <f>IFERROR(S51/C51-1,"")</f>
        <v/>
      </c>
      <c r="Y51" s="11">
        <f>IFERROR(V51/C51-1,"")</f>
        <v/>
      </c>
      <c r="Z51" s="3">
        <f>IF(OR(W51="",ISTEXT(W51)),"sin dato",IF(W51&gt;='Léeme'!$B$19,"barato",IF(W51&lt;=-'Léeme'!$B$19,"caro","medio")))</f>
        <v/>
      </c>
      <c r="AA51" s="3">
        <f>IF(OR(X51="",ISTEXT(X51)),"sin dato",IF(X51&gt;='Léeme'!$B$19,"barato",IF(X51&lt;=-'Léeme'!$B$19,"caro","medio")))</f>
        <v/>
      </c>
      <c r="AB51" s="3">
        <f>IF(OR(U51="",ISTEXT(U51)),"sin dato",IF(U51&gt;='Léeme'!$B$20,"barato",IF(U51&lt;=-'Léeme'!$B$20,"caro","medio")))</f>
        <v/>
      </c>
      <c r="AC51" s="3">
        <f>IF(OR(Y51="",ISTEXT(Y51)),"sin dato",IF(Y51&gt;='Léeme'!$B$19,"barato",IF(Y51&lt;=-'Léeme'!$B$19,"caro","medio")))</f>
        <v/>
      </c>
      <c r="AD51" s="7" t="n">
        <v>0.9261363636363636</v>
      </c>
      <c r="AE51" s="7" t="n">
        <v>0.6209677419354839</v>
      </c>
      <c r="AF51" s="7" t="n">
        <v>0.07258064516129033</v>
      </c>
      <c r="AG51" s="7" t="n"/>
    </row>
    <row r="52">
      <c r="A52" s="3" t="inlineStr">
        <is>
          <t>2010-T3</t>
        </is>
      </c>
      <c r="B52" s="13" t="n">
        <v>40451</v>
      </c>
      <c r="C52" s="14" t="n">
        <v>28.949999</v>
      </c>
      <c r="D52" s="14" t="n">
        <v>2.032</v>
      </c>
      <c r="E52" s="14" t="n">
        <v>3.09</v>
      </c>
      <c r="F52" s="5" t="n">
        <v>0.0253</v>
      </c>
      <c r="G52" s="5" t="n">
        <v>0.02545579992778424</v>
      </c>
      <c r="H52" s="5" t="n">
        <v>-0.02292972544878269</v>
      </c>
      <c r="N52" s="9">
        <f>IF(F52="","",F52+'Léeme'!$B$10)</f>
        <v/>
      </c>
      <c r="O52" s="9">
        <f>IF(OR(G52="",N52=""),"",MIN(MAX(G52,'Léeme'!$B$11),'Léeme'!$B$12,N52-'Léeme'!$B$16))</f>
        <v/>
      </c>
      <c r="P52" s="16">
        <f>IF(OR(D52="",O52=""),"",IFERROR(IF(D52&lt;=0,"",D52*(1+O52)/(N52-O52)),""))</f>
        <v/>
      </c>
      <c r="Q52" s="9">
        <f>IF(H52="","",MIN(MAX(H52,'Léeme'!$B$13),'Léeme'!$B$14))</f>
        <v/>
      </c>
      <c r="R52" s="9">
        <f>IF(N52="","",MIN('Léeme'!$B$15,N52-'Léeme'!$B$16))</f>
        <v/>
      </c>
      <c r="S52" s="16">
        <f>IF(OR(E52="",Q52=""),"",IFERROR(IF(E52&lt;=0,"",E52*(((1+Q52)/(1+N52))+((1+Q52)/(1+N52))^2+((1+Q52)/(1+N52))^3+((1+Q52)/(1+N52))^4+((1+Q52)/(1+N52))^5)+E52*(1+Q52)^5*(1+R52)/((N52-R52)*(1+N52)^5)),""))</f>
        <v/>
      </c>
      <c r="T52" s="9">
        <f>IF(OR(E52="",N52=""),"",IFERROR((C52*N52-E52)/(C52+E52),""))</f>
        <v/>
      </c>
      <c r="U52" s="9">
        <f>IF(OR(H52="",T52=""),"",IFERROR(MIN(MAX(H52,'Léeme'!$B$17),'Léeme'!$B$18)-T52,""))</f>
        <v/>
      </c>
      <c r="V52" s="16">
        <f>IF(OR(I52="",M52="",L52=""),"",IFERROR((I52/M52-J52-K52)/L52,""))</f>
        <v/>
      </c>
      <c r="W52" s="11">
        <f>IFERROR(P52/C52-1,"")</f>
        <v/>
      </c>
      <c r="X52" s="11">
        <f>IFERROR(S52/C52-1,"")</f>
        <v/>
      </c>
      <c r="Y52" s="11">
        <f>IFERROR(V52/C52-1,"")</f>
        <v/>
      </c>
      <c r="Z52" s="3">
        <f>IF(OR(W52="",ISTEXT(W52)),"sin dato",IF(W52&gt;='Léeme'!$B$19,"barato",IF(W52&lt;=-'Léeme'!$B$19,"caro","medio")))</f>
        <v/>
      </c>
      <c r="AA52" s="3">
        <f>IF(OR(X52="",ISTEXT(X52)),"sin dato",IF(X52&gt;='Léeme'!$B$19,"barato",IF(X52&lt;=-'Léeme'!$B$19,"caro","medio")))</f>
        <v/>
      </c>
      <c r="AB52" s="3">
        <f>IF(OR(U52="",ISTEXT(U52)),"sin dato",IF(U52&gt;='Léeme'!$B$20,"barato",IF(U52&lt;=-'Léeme'!$B$20,"caro","medio")))</f>
        <v/>
      </c>
      <c r="AC52" s="3">
        <f>IF(OR(Y52="",ISTEXT(Y52)),"sin dato",IF(Y52&gt;='Léeme'!$B$19,"barato",IF(Y52&lt;=-'Léeme'!$B$19,"caro","medio")))</f>
        <v/>
      </c>
      <c r="AD52" s="7" t="n">
        <v>0.9175824175824175</v>
      </c>
      <c r="AE52" s="7" t="n">
        <v>0.6846153846153846</v>
      </c>
      <c r="AF52" s="7" t="n">
        <v>0.08461538461538462</v>
      </c>
      <c r="AG52" s="7" t="n"/>
    </row>
    <row r="53">
      <c r="A53" s="3" t="inlineStr">
        <is>
          <t>2010-T4</t>
        </is>
      </c>
      <c r="B53" s="13" t="n">
        <v>40543</v>
      </c>
      <c r="C53" s="14" t="n">
        <v>31.29</v>
      </c>
      <c r="D53" s="14" t="n">
        <v>2.04</v>
      </c>
      <c r="E53" s="14" t="n">
        <v>3.09</v>
      </c>
      <c r="F53" s="5" t="n">
        <v>0.033</v>
      </c>
      <c r="G53" s="5" t="n">
        <v>0.02534857565773274</v>
      </c>
      <c r="H53" s="5" t="n">
        <v>-0.02292972544878269</v>
      </c>
      <c r="N53" s="9">
        <f>IF(F53="","",F53+'Léeme'!$B$10)</f>
        <v/>
      </c>
      <c r="O53" s="9">
        <f>IF(OR(G53="",N53=""),"",MIN(MAX(G53,'Léeme'!$B$11),'Léeme'!$B$12,N53-'Léeme'!$B$16))</f>
        <v/>
      </c>
      <c r="P53" s="16">
        <f>IF(OR(D53="",O53=""),"",IFERROR(IF(D53&lt;=0,"",D53*(1+O53)/(N53-O53)),""))</f>
        <v/>
      </c>
      <c r="Q53" s="9">
        <f>IF(H53="","",MIN(MAX(H53,'Léeme'!$B$13),'Léeme'!$B$14))</f>
        <v/>
      </c>
      <c r="R53" s="9">
        <f>IF(N53="","",MIN('Léeme'!$B$15,N53-'Léeme'!$B$16))</f>
        <v/>
      </c>
      <c r="S53" s="16">
        <f>IF(OR(E53="",Q53=""),"",IFERROR(IF(E53&lt;=0,"",E53*(((1+Q53)/(1+N53))+((1+Q53)/(1+N53))^2+((1+Q53)/(1+N53))^3+((1+Q53)/(1+N53))^4+((1+Q53)/(1+N53))^5)+E53*(1+Q53)^5*(1+R53)/((N53-R53)*(1+N53)^5)),""))</f>
        <v/>
      </c>
      <c r="T53" s="9">
        <f>IF(OR(E53="",N53=""),"",IFERROR((C53*N53-E53)/(C53+E53),""))</f>
        <v/>
      </c>
      <c r="U53" s="9">
        <f>IF(OR(H53="",T53=""),"",IFERROR(MIN(MAX(H53,'Léeme'!$B$17),'Léeme'!$B$18)-T53,""))</f>
        <v/>
      </c>
      <c r="V53" s="16">
        <f>IF(OR(I53="",M53="",L53=""),"",IFERROR((I53/M53-J53-K53)/L53,""))</f>
        <v/>
      </c>
      <c r="W53" s="11">
        <f>IFERROR(P53/C53-1,"")</f>
        <v/>
      </c>
      <c r="X53" s="11">
        <f>IFERROR(S53/C53-1,"")</f>
        <v/>
      </c>
      <c r="Y53" s="11">
        <f>IFERROR(V53/C53-1,"")</f>
        <v/>
      </c>
      <c r="Z53" s="3">
        <f>IF(OR(W53="",ISTEXT(W53)),"sin dato",IF(W53&gt;='Léeme'!$B$19,"barato",IF(W53&lt;=-'Léeme'!$B$19,"caro","medio")))</f>
        <v/>
      </c>
      <c r="AA53" s="3">
        <f>IF(OR(X53="",ISTEXT(X53)),"sin dato",IF(X53&gt;='Léeme'!$B$19,"barato",IF(X53&lt;=-'Léeme'!$B$19,"caro","medio")))</f>
        <v/>
      </c>
      <c r="AB53" s="3">
        <f>IF(OR(U53="",ISTEXT(U53)),"sin dato",IF(U53&gt;='Léeme'!$B$20,"barato",IF(U53&lt;=-'Léeme'!$B$20,"caro","medio")))</f>
        <v/>
      </c>
      <c r="AC53" s="3">
        <f>IF(OR(Y53="",ISTEXT(Y53)),"sin dato",IF(Y53&gt;='Léeme'!$B$19,"barato",IF(Y53&lt;=-'Léeme'!$B$19,"caro","medio")))</f>
        <v/>
      </c>
      <c r="AD53" s="7" t="n">
        <v>0.7393617021276596</v>
      </c>
      <c r="AE53" s="7" t="n">
        <v>0.2426470588235294</v>
      </c>
      <c r="AF53" s="7" t="n">
        <v>0.02205882352941177</v>
      </c>
      <c r="AG53" s="7" t="n"/>
    </row>
    <row r="54">
      <c r="A54" s="3" t="inlineStr">
        <is>
          <t>2011-T1</t>
        </is>
      </c>
      <c r="B54" s="13" t="n">
        <v>40633</v>
      </c>
      <c r="C54" s="14" t="n">
        <v>35.700001</v>
      </c>
      <c r="D54" s="14" t="n">
        <v>2.048</v>
      </c>
      <c r="E54" s="14" t="n">
        <v>3.27</v>
      </c>
      <c r="F54" s="5" t="n">
        <v>0.0347</v>
      </c>
      <c r="G54" s="5" t="n">
        <v>0.02524180187892444</v>
      </c>
      <c r="H54" s="5" t="n">
        <v>0.05265351817220321</v>
      </c>
      <c r="N54" s="9">
        <f>IF(F54="","",F54+'Léeme'!$B$10)</f>
        <v/>
      </c>
      <c r="O54" s="9">
        <f>IF(OR(G54="",N54=""),"",MIN(MAX(G54,'Léeme'!$B$11),'Léeme'!$B$12,N54-'Léeme'!$B$16))</f>
        <v/>
      </c>
      <c r="P54" s="16">
        <f>IF(OR(D54="",O54=""),"",IFERROR(IF(D54&lt;=0,"",D54*(1+O54)/(N54-O54)),""))</f>
        <v/>
      </c>
      <c r="Q54" s="9">
        <f>IF(H54="","",MIN(MAX(H54,'Léeme'!$B$13),'Léeme'!$B$14))</f>
        <v/>
      </c>
      <c r="R54" s="9">
        <f>IF(N54="","",MIN('Léeme'!$B$15,N54-'Léeme'!$B$16))</f>
        <v/>
      </c>
      <c r="S54" s="16">
        <f>IF(OR(E54="",Q54=""),"",IFERROR(IF(E54&lt;=0,"",E54*(((1+Q54)/(1+N54))+((1+Q54)/(1+N54))^2+((1+Q54)/(1+N54))^3+((1+Q54)/(1+N54))^4+((1+Q54)/(1+N54))^5)+E54*(1+Q54)^5*(1+R54)/((N54-R54)*(1+N54)^5)),""))</f>
        <v/>
      </c>
      <c r="T54" s="9">
        <f>IF(OR(E54="",N54=""),"",IFERROR((C54*N54-E54)/(C54+E54),""))</f>
        <v/>
      </c>
      <c r="U54" s="9">
        <f>IF(OR(H54="",T54=""),"",IFERROR(MIN(MAX(H54,'Léeme'!$B$17),'Léeme'!$B$18)-T54,""))</f>
        <v/>
      </c>
      <c r="V54" s="16">
        <f>IF(OR(I54="",M54="",L54=""),"",IFERROR((I54/M54-J54-K54)/L54,""))</f>
        <v/>
      </c>
      <c r="W54" s="11">
        <f>IFERROR(P54/C54-1,"")</f>
        <v/>
      </c>
      <c r="X54" s="11">
        <f>IFERROR(S54/C54-1,"")</f>
        <v/>
      </c>
      <c r="Y54" s="11">
        <f>IFERROR(V54/C54-1,"")</f>
        <v/>
      </c>
      <c r="Z54" s="3">
        <f>IF(OR(W54="",ISTEXT(W54)),"sin dato",IF(W54&gt;='Léeme'!$B$19,"barato",IF(W54&lt;=-'Léeme'!$B$19,"caro","medio")))</f>
        <v/>
      </c>
      <c r="AA54" s="3">
        <f>IF(OR(X54="",ISTEXT(X54)),"sin dato",IF(X54&gt;='Léeme'!$B$19,"barato",IF(X54&lt;=-'Léeme'!$B$19,"caro","medio")))</f>
        <v/>
      </c>
      <c r="AB54" s="3">
        <f>IF(OR(U54="",ISTEXT(U54)),"sin dato",IF(U54&gt;='Léeme'!$B$20,"barato",IF(U54&lt;=-'Léeme'!$B$20,"caro","medio")))</f>
        <v/>
      </c>
      <c r="AC54" s="3">
        <f>IF(OR(Y54="",ISTEXT(Y54)),"sin dato",IF(Y54&gt;='Léeme'!$B$19,"barato",IF(Y54&lt;=-'Léeme'!$B$19,"caro","medio")))</f>
        <v/>
      </c>
      <c r="AD54" s="7" t="n">
        <v>0.6649484536082474</v>
      </c>
      <c r="AE54" s="7" t="n">
        <v>0.4295774647887324</v>
      </c>
      <c r="AF54" s="7" t="n">
        <v>0.5563380281690141</v>
      </c>
      <c r="AG54" s="7" t="n"/>
    </row>
    <row r="55">
      <c r="A55" s="3" t="inlineStr">
        <is>
          <t>2011-T2</t>
        </is>
      </c>
      <c r="B55" s="13" t="n">
        <v>40724</v>
      </c>
      <c r="C55" s="14" t="n">
        <v>40.499999</v>
      </c>
      <c r="D55" s="14" t="n">
        <v>2.2</v>
      </c>
      <c r="E55" s="14" t="n">
        <v>3.27</v>
      </c>
      <c r="F55" s="5" t="n">
        <v>0.0318</v>
      </c>
      <c r="G55" s="5" t="n">
        <v>0.03910962435561904</v>
      </c>
      <c r="H55" s="5" t="n">
        <v>0.05265351817220321</v>
      </c>
      <c r="N55" s="9">
        <f>IF(F55="","",F55+'Léeme'!$B$10)</f>
        <v/>
      </c>
      <c r="O55" s="9">
        <f>IF(OR(G55="",N55=""),"",MIN(MAX(G55,'Léeme'!$B$11),'Léeme'!$B$12,N55-'Léeme'!$B$16))</f>
        <v/>
      </c>
      <c r="P55" s="16">
        <f>IF(OR(D55="",O55=""),"",IFERROR(IF(D55&lt;=0,"",D55*(1+O55)/(N55-O55)),""))</f>
        <v/>
      </c>
      <c r="Q55" s="9">
        <f>IF(H55="","",MIN(MAX(H55,'Léeme'!$B$13),'Léeme'!$B$14))</f>
        <v/>
      </c>
      <c r="R55" s="9">
        <f>IF(N55="","",MIN('Léeme'!$B$15,N55-'Léeme'!$B$16))</f>
        <v/>
      </c>
      <c r="S55" s="16">
        <f>IF(OR(E55="",Q55=""),"",IFERROR(IF(E55&lt;=0,"",E55*(((1+Q55)/(1+N55))+((1+Q55)/(1+N55))^2+((1+Q55)/(1+N55))^3+((1+Q55)/(1+N55))^4+((1+Q55)/(1+N55))^5)+E55*(1+Q55)^5*(1+R55)/((N55-R55)*(1+N55)^5)),""))</f>
        <v/>
      </c>
      <c r="T55" s="9">
        <f>IF(OR(E55="",N55=""),"",IFERROR((C55*N55-E55)/(C55+E55),""))</f>
        <v/>
      </c>
      <c r="U55" s="9">
        <f>IF(OR(H55="",T55=""),"",IFERROR(MIN(MAX(H55,'Léeme'!$B$17),'Léeme'!$B$18)-T55,""))</f>
        <v/>
      </c>
      <c r="V55" s="16">
        <f>IF(OR(I55="",M55="",L55=""),"",IFERROR((I55/M55-J55-K55)/L55,""))</f>
        <v/>
      </c>
      <c r="W55" s="11">
        <f>IFERROR(P55/C55-1,"")</f>
        <v/>
      </c>
      <c r="X55" s="11">
        <f>IFERROR(S55/C55-1,"")</f>
        <v/>
      </c>
      <c r="Y55" s="11">
        <f>IFERROR(V55/C55-1,"")</f>
        <v/>
      </c>
      <c r="Z55" s="3">
        <f>IF(OR(W55="",ISTEXT(W55)),"sin dato",IF(W55&gt;='Léeme'!$B$19,"barato",IF(W55&lt;=-'Léeme'!$B$19,"caro","medio")))</f>
        <v/>
      </c>
      <c r="AA55" s="3">
        <f>IF(OR(X55="",ISTEXT(X55)),"sin dato",IF(X55&gt;='Léeme'!$B$19,"barato",IF(X55&lt;=-'Léeme'!$B$19,"caro","medio")))</f>
        <v/>
      </c>
      <c r="AB55" s="3">
        <f>IF(OR(U55="",ISTEXT(U55)),"sin dato",IF(U55&gt;='Léeme'!$B$20,"barato",IF(U55&lt;=-'Léeme'!$B$20,"caro","medio")))</f>
        <v/>
      </c>
      <c r="AC55" s="3">
        <f>IF(OR(Y55="",ISTEXT(Y55)),"sin dato",IF(Y55&gt;='Léeme'!$B$19,"barato",IF(Y55&lt;=-'Léeme'!$B$19,"caro","medio")))</f>
        <v/>
      </c>
      <c r="AD55" s="7" t="n">
        <v>0.925</v>
      </c>
      <c r="AE55" s="7" t="n">
        <v>0.3175675675675675</v>
      </c>
      <c r="AF55" s="7" t="n">
        <v>0.4527027027027027</v>
      </c>
      <c r="AG55" s="7" t="n"/>
    </row>
    <row r="56">
      <c r="A56" s="3" t="inlineStr">
        <is>
          <t>2011-T3</t>
        </is>
      </c>
      <c r="B56" s="13" t="n">
        <v>40816</v>
      </c>
      <c r="C56" s="14" t="n">
        <v>36.430001</v>
      </c>
      <c r="D56" s="14" t="n">
        <v>2.24</v>
      </c>
      <c r="E56" s="14" t="n">
        <v>3.27</v>
      </c>
      <c r="F56" s="5" t="n">
        <v>0.0192</v>
      </c>
      <c r="G56" s="5" t="n">
        <v>0.04194462074695648</v>
      </c>
      <c r="H56" s="5" t="n">
        <v>0.05265351817220321</v>
      </c>
      <c r="N56" s="9">
        <f>IF(F56="","",F56+'Léeme'!$B$10)</f>
        <v/>
      </c>
      <c r="O56" s="9">
        <f>IF(OR(G56="",N56=""),"",MIN(MAX(G56,'Léeme'!$B$11),'Léeme'!$B$12,N56-'Léeme'!$B$16))</f>
        <v/>
      </c>
      <c r="P56" s="16">
        <f>IF(OR(D56="",O56=""),"",IFERROR(IF(D56&lt;=0,"",D56*(1+O56)/(N56-O56)),""))</f>
        <v/>
      </c>
      <c r="Q56" s="9">
        <f>IF(H56="","",MIN(MAX(H56,'Léeme'!$B$13),'Léeme'!$B$14))</f>
        <v/>
      </c>
      <c r="R56" s="9">
        <f>IF(N56="","",MIN('Léeme'!$B$15,N56-'Léeme'!$B$16))</f>
        <v/>
      </c>
      <c r="S56" s="16">
        <f>IF(OR(E56="",Q56=""),"",IFERROR(IF(E56&lt;=0,"",E56*(((1+Q56)/(1+N56))+((1+Q56)/(1+N56))^2+((1+Q56)/(1+N56))^3+((1+Q56)/(1+N56))^4+((1+Q56)/(1+N56))^5)+E56*(1+Q56)^5*(1+R56)/((N56-R56)*(1+N56)^5)),""))</f>
        <v/>
      </c>
      <c r="T56" s="9">
        <f>IF(OR(E56="",N56=""),"",IFERROR((C56*N56-E56)/(C56+E56),""))</f>
        <v/>
      </c>
      <c r="U56" s="9">
        <f>IF(OR(H56="",T56=""),"",IFERROR(MIN(MAX(H56,'Léeme'!$B$17),'Léeme'!$B$18)-T56,""))</f>
        <v/>
      </c>
      <c r="V56" s="16">
        <f>IF(OR(I56="",M56="",L56=""),"",IFERROR((I56/M56-J56-K56)/L56,""))</f>
        <v/>
      </c>
      <c r="W56" s="11">
        <f>IFERROR(P56/C56-1,"")</f>
        <v/>
      </c>
      <c r="X56" s="11">
        <f>IFERROR(S56/C56-1,"")</f>
        <v/>
      </c>
      <c r="Y56" s="11">
        <f>IFERROR(V56/C56-1,"")</f>
        <v/>
      </c>
      <c r="Z56" s="3">
        <f>IF(OR(W56="",ISTEXT(W56)),"sin dato",IF(W56&gt;='Léeme'!$B$19,"barato",IF(W56&lt;=-'Léeme'!$B$19,"caro","medio")))</f>
        <v/>
      </c>
      <c r="AA56" s="3">
        <f>IF(OR(X56="",ISTEXT(X56)),"sin dato",IF(X56&gt;='Léeme'!$B$19,"barato",IF(X56&lt;=-'Léeme'!$B$19,"caro","medio")))</f>
        <v/>
      </c>
      <c r="AB56" s="3">
        <f>IF(OR(U56="",ISTEXT(U56)),"sin dato",IF(U56&gt;='Léeme'!$B$20,"barato",IF(U56&lt;=-'Léeme'!$B$20,"caro","medio")))</f>
        <v/>
      </c>
      <c r="AC56" s="3">
        <f>IF(OR(Y56="",ISTEXT(Y56)),"sin dato",IF(Y56&gt;='Léeme'!$B$19,"barato",IF(Y56&lt;=-'Léeme'!$B$19,"caro","medio")))</f>
        <v/>
      </c>
      <c r="AD56" s="7" t="n">
        <v>0.9757281553398058</v>
      </c>
      <c r="AE56" s="7" t="n">
        <v>0.9285714285714286</v>
      </c>
      <c r="AF56" s="7" t="n">
        <v>0.7077922077922078</v>
      </c>
      <c r="AG56" s="7" t="n"/>
    </row>
    <row r="57">
      <c r="A57" s="3" t="inlineStr">
        <is>
          <t>2011-T4</t>
        </is>
      </c>
      <c r="B57" s="13" t="n">
        <v>40907</v>
      </c>
      <c r="C57" s="14" t="n">
        <v>40.939999</v>
      </c>
      <c r="D57" s="14" t="n">
        <v>2.252</v>
      </c>
      <c r="E57" s="14" t="n">
        <v>3.27</v>
      </c>
      <c r="F57" s="5" t="n">
        <v>0.0189</v>
      </c>
      <c r="G57" s="5" t="n">
        <v>0.04214604181714154</v>
      </c>
      <c r="H57" s="5" t="n">
        <v>0.05265351817220321</v>
      </c>
      <c r="N57" s="9">
        <f>IF(F57="","",F57+'Léeme'!$B$10)</f>
        <v/>
      </c>
      <c r="O57" s="9">
        <f>IF(OR(G57="",N57=""),"",MIN(MAX(G57,'Léeme'!$B$11),'Léeme'!$B$12,N57-'Léeme'!$B$16))</f>
        <v/>
      </c>
      <c r="P57" s="16">
        <f>IF(OR(D57="",O57=""),"",IFERROR(IF(D57&lt;=0,"",D57*(1+O57)/(N57-O57)),""))</f>
        <v/>
      </c>
      <c r="Q57" s="9">
        <f>IF(H57="","",MIN(MAX(H57,'Léeme'!$B$13),'Léeme'!$B$14))</f>
        <v/>
      </c>
      <c r="R57" s="9">
        <f>IF(N57="","",MIN('Léeme'!$B$15,N57-'Léeme'!$B$16))</f>
        <v/>
      </c>
      <c r="S57" s="16">
        <f>IF(OR(E57="",Q57=""),"",IFERROR(IF(E57&lt;=0,"",E57*(((1+Q57)/(1+N57))+((1+Q57)/(1+N57))^2+((1+Q57)/(1+N57))^3+((1+Q57)/(1+N57))^4+((1+Q57)/(1+N57))^5)+E57*(1+Q57)^5*(1+R57)/((N57-R57)*(1+N57)^5)),""))</f>
        <v/>
      </c>
      <c r="T57" s="9">
        <f>IF(OR(E57="",N57=""),"",IFERROR((C57*N57-E57)/(C57+E57),""))</f>
        <v/>
      </c>
      <c r="U57" s="9">
        <f>IF(OR(H57="",T57=""),"",IFERROR(MIN(MAX(H57,'Léeme'!$B$17),'Léeme'!$B$18)-T57,""))</f>
        <v/>
      </c>
      <c r="V57" s="16">
        <f>IF(OR(I57="",M57="",L57=""),"",IFERROR((I57/M57-J57-K57)/L57,""))</f>
        <v/>
      </c>
      <c r="W57" s="11">
        <f>IFERROR(P57/C57-1,"")</f>
        <v/>
      </c>
      <c r="X57" s="11">
        <f>IFERROR(S57/C57-1,"")</f>
        <v/>
      </c>
      <c r="Y57" s="11">
        <f>IFERROR(V57/C57-1,"")</f>
        <v/>
      </c>
      <c r="Z57" s="3">
        <f>IF(OR(W57="",ISTEXT(W57)),"sin dato",IF(W57&gt;='Léeme'!$B$19,"barato",IF(W57&lt;=-'Léeme'!$B$19,"caro","medio")))</f>
        <v/>
      </c>
      <c r="AA57" s="3">
        <f>IF(OR(X57="",ISTEXT(X57)),"sin dato",IF(X57&gt;='Léeme'!$B$19,"barato",IF(X57&lt;=-'Léeme'!$B$19,"caro","medio")))</f>
        <v/>
      </c>
      <c r="AB57" s="3">
        <f>IF(OR(U57="",ISTEXT(U57)),"sin dato",IF(U57&gt;='Léeme'!$B$20,"barato",IF(U57&lt;=-'Léeme'!$B$20,"caro","medio")))</f>
        <v/>
      </c>
      <c r="AC57" s="3">
        <f>IF(OR(Y57="",ISTEXT(Y57)),"sin dato",IF(Y57&gt;='Léeme'!$B$19,"barato",IF(Y57&lt;=-'Léeme'!$B$19,"caro","medio")))</f>
        <v/>
      </c>
      <c r="AD57" s="7" t="n">
        <v>0.9198113207547169</v>
      </c>
      <c r="AE57" s="7" t="n">
        <v>0.86875</v>
      </c>
      <c r="AF57" s="7" t="n">
        <v>0.60625</v>
      </c>
      <c r="AG57" s="7" t="n"/>
    </row>
    <row r="58">
      <c r="A58" s="3" t="inlineStr">
        <is>
          <t>2012-T1</t>
        </is>
      </c>
      <c r="B58" s="13" t="n">
        <v>40998</v>
      </c>
      <c r="C58" s="14" t="n">
        <v>46.519998</v>
      </c>
      <c r="D58" s="14" t="n">
        <v>2.26</v>
      </c>
      <c r="E58" s="14" t="n">
        <v>4.71</v>
      </c>
      <c r="F58" s="5" t="n">
        <v>0.0223</v>
      </c>
      <c r="G58" s="5" t="n">
        <v>0.0410732664718505</v>
      </c>
      <c r="H58" s="5" t="n">
        <v>0.07439753148644912</v>
      </c>
      <c r="N58" s="9">
        <f>IF(F58="","",F58+'Léeme'!$B$10)</f>
        <v/>
      </c>
      <c r="O58" s="9">
        <f>IF(OR(G58="",N58=""),"",MIN(MAX(G58,'Léeme'!$B$11),'Léeme'!$B$12,N58-'Léeme'!$B$16))</f>
        <v/>
      </c>
      <c r="P58" s="16">
        <f>IF(OR(D58="",O58=""),"",IFERROR(IF(D58&lt;=0,"",D58*(1+O58)/(N58-O58)),""))</f>
        <v/>
      </c>
      <c r="Q58" s="9">
        <f>IF(H58="","",MIN(MAX(H58,'Léeme'!$B$13),'Léeme'!$B$14))</f>
        <v/>
      </c>
      <c r="R58" s="9">
        <f>IF(N58="","",MIN('Léeme'!$B$15,N58-'Léeme'!$B$16))</f>
        <v/>
      </c>
      <c r="S58" s="16">
        <f>IF(OR(E58="",Q58=""),"",IFERROR(IF(E58&lt;=0,"",E58*(((1+Q58)/(1+N58))+((1+Q58)/(1+N58))^2+((1+Q58)/(1+N58))^3+((1+Q58)/(1+N58))^4+((1+Q58)/(1+N58))^5)+E58*(1+Q58)^5*(1+R58)/((N58-R58)*(1+N58)^5)),""))</f>
        <v/>
      </c>
      <c r="T58" s="9">
        <f>IF(OR(E58="",N58=""),"",IFERROR((C58*N58-E58)/(C58+E58),""))</f>
        <v/>
      </c>
      <c r="U58" s="9">
        <f>IF(OR(H58="",T58=""),"",IFERROR(MIN(MAX(H58,'Léeme'!$B$17),'Léeme'!$B$18)-T58,""))</f>
        <v/>
      </c>
      <c r="V58" s="16">
        <f>IF(OR(I58="",M58="",L58=""),"",IFERROR((I58/M58-J58-K58)/L58,""))</f>
        <v/>
      </c>
      <c r="W58" s="11">
        <f>IFERROR(P58/C58-1,"")</f>
        <v/>
      </c>
      <c r="X58" s="11">
        <f>IFERROR(S58/C58-1,"")</f>
        <v/>
      </c>
      <c r="Y58" s="11">
        <f>IFERROR(V58/C58-1,"")</f>
        <v/>
      </c>
      <c r="Z58" s="3">
        <f>IF(OR(W58="",ISTEXT(W58)),"sin dato",IF(W58&gt;='Léeme'!$B$19,"barato",IF(W58&lt;=-'Léeme'!$B$19,"caro","medio")))</f>
        <v/>
      </c>
      <c r="AA58" s="3">
        <f>IF(OR(X58="",ISTEXT(X58)),"sin dato",IF(X58&gt;='Léeme'!$B$19,"barato",IF(X58&lt;=-'Léeme'!$B$19,"caro","medio")))</f>
        <v/>
      </c>
      <c r="AB58" s="3">
        <f>IF(OR(U58="",ISTEXT(U58)),"sin dato",IF(U58&gt;='Léeme'!$B$20,"barato",IF(U58&lt;=-'Léeme'!$B$20,"caro","medio")))</f>
        <v/>
      </c>
      <c r="AC58" s="3">
        <f>IF(OR(Y58="",ISTEXT(Y58)),"sin dato",IF(Y58&gt;='Léeme'!$B$19,"barato",IF(Y58&lt;=-'Léeme'!$B$19,"caro","medio")))</f>
        <v/>
      </c>
      <c r="AD58" s="7" t="n">
        <v>0.8669724770642202</v>
      </c>
      <c r="AE58" s="7" t="n">
        <v>0.9337349397590361</v>
      </c>
      <c r="AF58" s="7" t="n">
        <v>0.8493975903614458</v>
      </c>
      <c r="AG58" s="7" t="n"/>
    </row>
    <row r="59">
      <c r="A59" s="3" t="inlineStr">
        <is>
          <t>2012-T2</t>
        </is>
      </c>
      <c r="B59" s="13" t="n">
        <v>41089</v>
      </c>
      <c r="C59" s="14" t="n">
        <v>46.03</v>
      </c>
      <c r="D59" s="14" t="n">
        <v>2.268</v>
      </c>
      <c r="E59" s="14" t="n">
        <v>4.71</v>
      </c>
      <c r="F59" s="5" t="n">
        <v>0.0167</v>
      </c>
      <c r="G59" s="5" t="n">
        <v>0.03956879731773499</v>
      </c>
      <c r="H59" s="5" t="n">
        <v>0.07439753148644912</v>
      </c>
      <c r="N59" s="9">
        <f>IF(F59="","",F59+'Léeme'!$B$10)</f>
        <v/>
      </c>
      <c r="O59" s="9">
        <f>IF(OR(G59="",N59=""),"",MIN(MAX(G59,'Léeme'!$B$11),'Léeme'!$B$12,N59-'Léeme'!$B$16))</f>
        <v/>
      </c>
      <c r="P59" s="16">
        <f>IF(OR(D59="",O59=""),"",IFERROR(IF(D59&lt;=0,"",D59*(1+O59)/(N59-O59)),""))</f>
        <v/>
      </c>
      <c r="Q59" s="9">
        <f>IF(H59="","",MIN(MAX(H59,'Léeme'!$B$13),'Léeme'!$B$14))</f>
        <v/>
      </c>
      <c r="R59" s="9">
        <f>IF(N59="","",MIN('Léeme'!$B$15,N59-'Léeme'!$B$16))</f>
        <v/>
      </c>
      <c r="S59" s="16">
        <f>IF(OR(E59="",Q59=""),"",IFERROR(IF(E59&lt;=0,"",E59*(((1+Q59)/(1+N59))+((1+Q59)/(1+N59))^2+((1+Q59)/(1+N59))^3+((1+Q59)/(1+N59))^4+((1+Q59)/(1+N59))^5)+E59*(1+Q59)^5*(1+R59)/((N59-R59)*(1+N59)^5)),""))</f>
        <v/>
      </c>
      <c r="T59" s="9">
        <f>IF(OR(E59="",N59=""),"",IFERROR((C59*N59-E59)/(C59+E59),""))</f>
        <v/>
      </c>
      <c r="U59" s="9">
        <f>IF(OR(H59="",T59=""),"",IFERROR(MIN(MAX(H59,'Léeme'!$B$17),'Léeme'!$B$18)-T59,""))</f>
        <v/>
      </c>
      <c r="V59" s="16">
        <f>IF(OR(I59="",M59="",L59=""),"",IFERROR((I59/M59-J59-K59)/L59,""))</f>
        <v/>
      </c>
      <c r="W59" s="11">
        <f>IFERROR(P59/C59-1,"")</f>
        <v/>
      </c>
      <c r="X59" s="11">
        <f>IFERROR(S59/C59-1,"")</f>
        <v/>
      </c>
      <c r="Y59" s="11">
        <f>IFERROR(V59/C59-1,"")</f>
        <v/>
      </c>
      <c r="Z59" s="3">
        <f>IF(OR(W59="",ISTEXT(W59)),"sin dato",IF(W59&gt;='Léeme'!$B$19,"barato",IF(W59&lt;=-'Léeme'!$B$19,"caro","medio")))</f>
        <v/>
      </c>
      <c r="AA59" s="3">
        <f>IF(OR(X59="",ISTEXT(X59)),"sin dato",IF(X59&gt;='Léeme'!$B$19,"barato",IF(X59&lt;=-'Léeme'!$B$19,"caro","medio")))</f>
        <v/>
      </c>
      <c r="AB59" s="3">
        <f>IF(OR(U59="",ISTEXT(U59)),"sin dato",IF(U59&gt;='Léeme'!$B$20,"barato",IF(U59&lt;=-'Léeme'!$B$20,"caro","medio")))</f>
        <v/>
      </c>
      <c r="AC59" s="3">
        <f>IF(OR(Y59="",ISTEXT(Y59)),"sin dato",IF(Y59&gt;='Léeme'!$B$19,"barato",IF(Y59&lt;=-'Léeme'!$B$19,"caro","medio")))</f>
        <v/>
      </c>
      <c r="AD59" s="7" t="n">
        <v>0.8705357142857143</v>
      </c>
      <c r="AE59" s="7" t="n">
        <v>0.9825581395348837</v>
      </c>
      <c r="AF59" s="7" t="n">
        <v>0.8662790697674418</v>
      </c>
      <c r="AG59" s="7" t="n"/>
    </row>
    <row r="60">
      <c r="A60" s="3" t="inlineStr">
        <is>
          <t>2012-T3</t>
        </is>
      </c>
      <c r="B60" s="13" t="n">
        <v>41180</v>
      </c>
      <c r="C60" s="14" t="n">
        <v>49</v>
      </c>
      <c r="D60" s="14" t="n">
        <v>2.6</v>
      </c>
      <c r="E60" s="14" t="n">
        <v>4.71</v>
      </c>
      <c r="F60" s="5" t="n">
        <v>0.0165</v>
      </c>
      <c r="G60" s="5" t="n">
        <v>0.06609098668129465</v>
      </c>
      <c r="H60" s="5" t="n">
        <v>0.07439753148644912</v>
      </c>
      <c r="N60" s="9">
        <f>IF(F60="","",F60+'Léeme'!$B$10)</f>
        <v/>
      </c>
      <c r="O60" s="9">
        <f>IF(OR(G60="",N60=""),"",MIN(MAX(G60,'Léeme'!$B$11),'Léeme'!$B$12,N60-'Léeme'!$B$16))</f>
        <v/>
      </c>
      <c r="P60" s="16">
        <f>IF(OR(D60="",O60=""),"",IFERROR(IF(D60&lt;=0,"",D60*(1+O60)/(N60-O60)),""))</f>
        <v/>
      </c>
      <c r="Q60" s="9">
        <f>IF(H60="","",MIN(MAX(H60,'Léeme'!$B$13),'Léeme'!$B$14))</f>
        <v/>
      </c>
      <c r="R60" s="9">
        <f>IF(N60="","",MIN('Léeme'!$B$15,N60-'Léeme'!$B$16))</f>
        <v/>
      </c>
      <c r="S60" s="16">
        <f>IF(OR(E60="",Q60=""),"",IFERROR(IF(E60&lt;=0,"",E60*(((1+Q60)/(1+N60))+((1+Q60)/(1+N60))^2+((1+Q60)/(1+N60))^3+((1+Q60)/(1+N60))^4+((1+Q60)/(1+N60))^5)+E60*(1+Q60)^5*(1+R60)/((N60-R60)*(1+N60)^5)),""))</f>
        <v/>
      </c>
      <c r="T60" s="9">
        <f>IF(OR(E60="",N60=""),"",IFERROR((C60*N60-E60)/(C60+E60),""))</f>
        <v/>
      </c>
      <c r="U60" s="9">
        <f>IF(OR(H60="",T60=""),"",IFERROR(MIN(MAX(H60,'Léeme'!$B$17),'Léeme'!$B$18)-T60,""))</f>
        <v/>
      </c>
      <c r="V60" s="16">
        <f>IF(OR(I60="",M60="",L60=""),"",IFERROR((I60/M60-J60-K60)/L60,""))</f>
        <v/>
      </c>
      <c r="W60" s="11">
        <f>IFERROR(P60/C60-1,"")</f>
        <v/>
      </c>
      <c r="X60" s="11">
        <f>IFERROR(S60/C60-1,"")</f>
        <v/>
      </c>
      <c r="Y60" s="11">
        <f>IFERROR(V60/C60-1,"")</f>
        <v/>
      </c>
      <c r="Z60" s="3">
        <f>IF(OR(W60="",ISTEXT(W60)),"sin dato",IF(W60&gt;='Léeme'!$B$19,"barato",IF(W60&lt;=-'Léeme'!$B$19,"caro","medio")))</f>
        <v/>
      </c>
      <c r="AA60" s="3">
        <f>IF(OR(X60="",ISTEXT(X60)),"sin dato",IF(X60&gt;='Léeme'!$B$19,"barato",IF(X60&lt;=-'Léeme'!$B$19,"caro","medio")))</f>
        <v/>
      </c>
      <c r="AB60" s="3">
        <f>IF(OR(U60="",ISTEXT(U60)),"sin dato",IF(U60&gt;='Léeme'!$B$20,"barato",IF(U60&lt;=-'Léeme'!$B$20,"caro","medio")))</f>
        <v/>
      </c>
      <c r="AC60" s="3">
        <f>IF(OR(Y60="",ISTEXT(Y60)),"sin dato",IF(Y60&gt;='Léeme'!$B$19,"barato",IF(Y60&lt;=-'Léeme'!$B$19,"caro","medio")))</f>
        <v/>
      </c>
      <c r="AD60" s="7" t="n">
        <v>0.8826086956521739</v>
      </c>
      <c r="AE60" s="7" t="n">
        <v>0.9382022471910112</v>
      </c>
      <c r="AF60" s="7" t="n">
        <v>0.8146067415730337</v>
      </c>
      <c r="AG60" s="7" t="n"/>
    </row>
    <row r="61">
      <c r="A61" s="3" t="inlineStr">
        <is>
          <t>2012-T4</t>
        </is>
      </c>
      <c r="B61" s="13" t="n">
        <v>41274</v>
      </c>
      <c r="C61" s="14" t="n">
        <v>52.149998</v>
      </c>
      <c r="D61" s="14" t="n">
        <v>2.64</v>
      </c>
      <c r="E61" s="14" t="n">
        <v>4.71</v>
      </c>
      <c r="F61" s="5" t="n">
        <v>0.0178</v>
      </c>
      <c r="G61" s="5" t="n">
        <v>0.06709997885652763</v>
      </c>
      <c r="H61" s="5" t="n">
        <v>0.07439753148644912</v>
      </c>
      <c r="N61" s="9">
        <f>IF(F61="","",F61+'Léeme'!$B$10)</f>
        <v/>
      </c>
      <c r="O61" s="9">
        <f>IF(OR(G61="",N61=""),"",MIN(MAX(G61,'Léeme'!$B$11),'Léeme'!$B$12,N61-'Léeme'!$B$16))</f>
        <v/>
      </c>
      <c r="P61" s="16">
        <f>IF(OR(D61="",O61=""),"",IFERROR(IF(D61&lt;=0,"",D61*(1+O61)/(N61-O61)),""))</f>
        <v/>
      </c>
      <c r="Q61" s="9">
        <f>IF(H61="","",MIN(MAX(H61,'Léeme'!$B$13),'Léeme'!$B$14))</f>
        <v/>
      </c>
      <c r="R61" s="9">
        <f>IF(N61="","",MIN('Léeme'!$B$15,N61-'Léeme'!$B$16))</f>
        <v/>
      </c>
      <c r="S61" s="16">
        <f>IF(OR(E61="",Q61=""),"",IFERROR(IF(E61&lt;=0,"",E61*(((1+Q61)/(1+N61))+((1+Q61)/(1+N61))^2+((1+Q61)/(1+N61))^3+((1+Q61)/(1+N61))^4+((1+Q61)/(1+N61))^5)+E61*(1+Q61)^5*(1+R61)/((N61-R61)*(1+N61)^5)),""))</f>
        <v/>
      </c>
      <c r="T61" s="9">
        <f>IF(OR(E61="",N61=""),"",IFERROR((C61*N61-E61)/(C61+E61),""))</f>
        <v/>
      </c>
      <c r="U61" s="9">
        <f>IF(OR(H61="",T61=""),"",IFERROR(MIN(MAX(H61,'Léeme'!$B$17),'Léeme'!$B$18)-T61,""))</f>
        <v/>
      </c>
      <c r="V61" s="16">
        <f>IF(OR(I61="",M61="",L61=""),"",IFERROR((I61/M61-J61-K61)/L61,""))</f>
        <v/>
      </c>
      <c r="W61" s="11">
        <f>IFERROR(P61/C61-1,"")</f>
        <v/>
      </c>
      <c r="X61" s="11">
        <f>IFERROR(S61/C61-1,"")</f>
        <v/>
      </c>
      <c r="Y61" s="11">
        <f>IFERROR(V61/C61-1,"")</f>
        <v/>
      </c>
      <c r="Z61" s="3">
        <f>IF(OR(W61="",ISTEXT(W61)),"sin dato",IF(W61&gt;='Léeme'!$B$19,"barato",IF(W61&lt;=-'Léeme'!$B$19,"caro","medio")))</f>
        <v/>
      </c>
      <c r="AA61" s="3">
        <f>IF(OR(X61="",ISTEXT(X61)),"sin dato",IF(X61&gt;='Léeme'!$B$19,"barato",IF(X61&lt;=-'Léeme'!$B$19,"caro","medio")))</f>
        <v/>
      </c>
      <c r="AB61" s="3">
        <f>IF(OR(U61="",ISTEXT(U61)),"sin dato",IF(U61&gt;='Léeme'!$B$20,"barato",IF(U61&lt;=-'Léeme'!$B$20,"caro","medio")))</f>
        <v/>
      </c>
      <c r="AC61" s="3">
        <f>IF(OR(Y61="",ISTEXT(Y61)),"sin dato",IF(Y61&gt;='Léeme'!$B$19,"barato",IF(Y61&lt;=-'Léeme'!$B$19,"caro","medio")))</f>
        <v/>
      </c>
      <c r="AD61" s="7" t="n">
        <v>0.8686440677966102</v>
      </c>
      <c r="AE61" s="7" t="n">
        <v>0.8641304347826086</v>
      </c>
      <c r="AF61" s="7" t="n">
        <v>0.7554347826086957</v>
      </c>
      <c r="AG61" s="7" t="n"/>
    </row>
    <row r="62">
      <c r="A62" s="3" t="inlineStr">
        <is>
          <t>2013-T1</t>
        </is>
      </c>
      <c r="B62" s="13" t="n">
        <v>41361</v>
      </c>
      <c r="C62" s="14" t="n">
        <v>67.399998</v>
      </c>
      <c r="D62" s="14" t="n">
        <v>3.28</v>
      </c>
      <c r="E62" s="14" t="n">
        <v>3.76</v>
      </c>
      <c r="F62" s="5" t="n">
        <v>0.0187</v>
      </c>
      <c r="G62" s="5" t="n">
        <v>0.1121243835034029</v>
      </c>
      <c r="H62" s="5" t="n">
        <v>0.02397245831888006</v>
      </c>
      <c r="N62" s="9">
        <f>IF(F62="","",F62+'Léeme'!$B$10)</f>
        <v/>
      </c>
      <c r="O62" s="9">
        <f>IF(OR(G62="",N62=""),"",MIN(MAX(G62,'Léeme'!$B$11),'Léeme'!$B$12,N62-'Léeme'!$B$16))</f>
        <v/>
      </c>
      <c r="P62" s="16">
        <f>IF(OR(D62="",O62=""),"",IFERROR(IF(D62&lt;=0,"",D62*(1+O62)/(N62-O62)),""))</f>
        <v/>
      </c>
      <c r="Q62" s="9">
        <f>IF(H62="","",MIN(MAX(H62,'Léeme'!$B$13),'Léeme'!$B$14))</f>
        <v/>
      </c>
      <c r="R62" s="9">
        <f>IF(N62="","",MIN('Léeme'!$B$15,N62-'Léeme'!$B$16))</f>
        <v/>
      </c>
      <c r="S62" s="16">
        <f>IF(OR(E62="",Q62=""),"",IFERROR(IF(E62&lt;=0,"",E62*(((1+Q62)/(1+N62))+((1+Q62)/(1+N62))^2+((1+Q62)/(1+N62))^3+((1+Q62)/(1+N62))^4+((1+Q62)/(1+N62))^5)+E62*(1+Q62)^5*(1+R62)/((N62-R62)*(1+N62)^5)),""))</f>
        <v/>
      </c>
      <c r="T62" s="9">
        <f>IF(OR(E62="",N62=""),"",IFERROR((C62*N62-E62)/(C62+E62),""))</f>
        <v/>
      </c>
      <c r="U62" s="9">
        <f>IF(OR(H62="",T62=""),"",IFERROR(MIN(MAX(H62,'Léeme'!$B$17),'Léeme'!$B$18)-T62,""))</f>
        <v/>
      </c>
      <c r="V62" s="16">
        <f>IF(OR(I62="",M62="",L62=""),"",IFERROR((I62/M62-J62-K62)/L62,""))</f>
        <v/>
      </c>
      <c r="W62" s="11">
        <f>IFERROR(P62/C62-1,"")</f>
        <v/>
      </c>
      <c r="X62" s="11">
        <f>IFERROR(S62/C62-1,"")</f>
        <v/>
      </c>
      <c r="Y62" s="11">
        <f>IFERROR(V62/C62-1,"")</f>
        <v/>
      </c>
      <c r="Z62" s="3">
        <f>IF(OR(W62="",ISTEXT(W62)),"sin dato",IF(W62&gt;='Léeme'!$B$19,"barato",IF(W62&lt;=-'Léeme'!$B$19,"caro","medio")))</f>
        <v/>
      </c>
      <c r="AA62" s="3">
        <f>IF(OR(X62="",ISTEXT(X62)),"sin dato",IF(X62&gt;='Léeme'!$B$19,"barato",IF(X62&lt;=-'Léeme'!$B$19,"caro","medio")))</f>
        <v/>
      </c>
      <c r="AB62" s="3">
        <f>IF(OR(U62="",ISTEXT(U62)),"sin dato",IF(U62&gt;='Léeme'!$B$20,"barato",IF(U62&lt;=-'Léeme'!$B$20,"caro","medio")))</f>
        <v/>
      </c>
      <c r="AC62" s="3">
        <f>IF(OR(Y62="",ISTEXT(Y62)),"sin dato",IF(Y62&gt;='Léeme'!$B$19,"barato",IF(Y62&lt;=-'Léeme'!$B$19,"caro","medio")))</f>
        <v/>
      </c>
      <c r="AD62" s="7" t="n">
        <v>0.8140495867768595</v>
      </c>
      <c r="AE62" s="7" t="n">
        <v>0.1421052631578947</v>
      </c>
      <c r="AF62" s="7" t="n">
        <v>0.1631578947368421</v>
      </c>
      <c r="AG62" s="7" t="n"/>
    </row>
    <row r="63">
      <c r="A63" s="3" t="inlineStr">
        <is>
          <t>2013-T2</t>
        </is>
      </c>
      <c r="B63" s="13" t="n">
        <v>41453</v>
      </c>
      <c r="C63" s="14" t="n">
        <v>66.17000299999999</v>
      </c>
      <c r="D63" s="14" t="n">
        <v>3.36</v>
      </c>
      <c r="E63" s="14" t="n">
        <v>3.76</v>
      </c>
      <c r="F63" s="5" t="n">
        <v>0.0252</v>
      </c>
      <c r="G63" s="5" t="n">
        <v>0.1151930776704468</v>
      </c>
      <c r="H63" s="5" t="n">
        <v>0.02397245831888006</v>
      </c>
      <c r="N63" s="9">
        <f>IF(F63="","",F63+'Léeme'!$B$10)</f>
        <v/>
      </c>
      <c r="O63" s="9">
        <f>IF(OR(G63="",N63=""),"",MIN(MAX(G63,'Léeme'!$B$11),'Léeme'!$B$12,N63-'Léeme'!$B$16))</f>
        <v/>
      </c>
      <c r="P63" s="16">
        <f>IF(OR(D63="",O63=""),"",IFERROR(IF(D63&lt;=0,"",D63*(1+O63)/(N63-O63)),""))</f>
        <v/>
      </c>
      <c r="Q63" s="9">
        <f>IF(H63="","",MIN(MAX(H63,'Léeme'!$B$13),'Léeme'!$B$14))</f>
        <v/>
      </c>
      <c r="R63" s="9">
        <f>IF(N63="","",MIN('Léeme'!$B$15,N63-'Léeme'!$B$16))</f>
        <v/>
      </c>
      <c r="S63" s="16">
        <f>IF(OR(E63="",Q63=""),"",IFERROR(IF(E63&lt;=0,"",E63*(((1+Q63)/(1+N63))+((1+Q63)/(1+N63))^2+((1+Q63)/(1+N63))^3+((1+Q63)/(1+N63))^4+((1+Q63)/(1+N63))^5)+E63*(1+Q63)^5*(1+R63)/((N63-R63)*(1+N63)^5)),""))</f>
        <v/>
      </c>
      <c r="T63" s="9">
        <f>IF(OR(E63="",N63=""),"",IFERROR((C63*N63-E63)/(C63+E63),""))</f>
        <v/>
      </c>
      <c r="U63" s="9">
        <f>IF(OR(H63="",T63=""),"",IFERROR(MIN(MAX(H63,'Léeme'!$B$17),'Léeme'!$B$18)-T63,""))</f>
        <v/>
      </c>
      <c r="V63" s="16">
        <f>IF(OR(I63="",M63="",L63=""),"",IFERROR((I63/M63-J63-K63)/L63,""))</f>
        <v/>
      </c>
      <c r="W63" s="11">
        <f>IFERROR(P63/C63-1,"")</f>
        <v/>
      </c>
      <c r="X63" s="11">
        <f>IFERROR(S63/C63-1,"")</f>
        <v/>
      </c>
      <c r="Y63" s="11">
        <f>IFERROR(V63/C63-1,"")</f>
        <v/>
      </c>
      <c r="Z63" s="3">
        <f>IF(OR(W63="",ISTEXT(W63)),"sin dato",IF(W63&gt;='Léeme'!$B$19,"barato",IF(W63&lt;=-'Léeme'!$B$19,"caro","medio")))</f>
        <v/>
      </c>
      <c r="AA63" s="3">
        <f>IF(OR(X63="",ISTEXT(X63)),"sin dato",IF(X63&gt;='Léeme'!$B$19,"barato",IF(X63&lt;=-'Léeme'!$B$19,"caro","medio")))</f>
        <v/>
      </c>
      <c r="AB63" s="3">
        <f>IF(OR(U63="",ISTEXT(U63)),"sin dato",IF(U63&gt;='Léeme'!$B$20,"barato",IF(U63&lt;=-'Léeme'!$B$20,"caro","medio")))</f>
        <v/>
      </c>
      <c r="AC63" s="3">
        <f>IF(OR(Y63="",ISTEXT(Y63)),"sin dato",IF(Y63&gt;='Léeme'!$B$19,"barato",IF(Y63&lt;=-'Léeme'!$B$19,"caro","medio")))</f>
        <v/>
      </c>
      <c r="AD63" s="7" t="n">
        <v>0.875</v>
      </c>
      <c r="AE63" s="7" t="n">
        <v>0.1071428571428571</v>
      </c>
      <c r="AF63" s="7" t="n">
        <v>0.1275510204081633</v>
      </c>
      <c r="AG63" s="7" t="n"/>
    </row>
    <row r="64">
      <c r="A64" s="3" t="inlineStr">
        <is>
          <t>2013-T3</t>
        </is>
      </c>
      <c r="B64" s="13" t="n">
        <v>41547</v>
      </c>
      <c r="C64" s="14" t="n">
        <v>64.700002</v>
      </c>
      <c r="D64" s="14" t="n">
        <v>3.44</v>
      </c>
      <c r="E64" s="14" t="n">
        <v>3.76</v>
      </c>
      <c r="F64" s="5" t="n">
        <v>0.0264</v>
      </c>
      <c r="G64" s="5" t="n">
        <v>0.1181665422087985</v>
      </c>
      <c r="H64" s="5" t="n">
        <v>0.02397245831888006</v>
      </c>
      <c r="N64" s="9">
        <f>IF(F64="","",F64+'Léeme'!$B$10)</f>
        <v/>
      </c>
      <c r="O64" s="9">
        <f>IF(OR(G64="",N64=""),"",MIN(MAX(G64,'Léeme'!$B$11),'Léeme'!$B$12,N64-'Léeme'!$B$16))</f>
        <v/>
      </c>
      <c r="P64" s="16">
        <f>IF(OR(D64="",O64=""),"",IFERROR(IF(D64&lt;=0,"",D64*(1+O64)/(N64-O64)),""))</f>
        <v/>
      </c>
      <c r="Q64" s="9">
        <f>IF(H64="","",MIN(MAX(H64,'Léeme'!$B$13),'Léeme'!$B$14))</f>
        <v/>
      </c>
      <c r="R64" s="9">
        <f>IF(N64="","",MIN('Léeme'!$B$15,N64-'Léeme'!$B$16))</f>
        <v/>
      </c>
      <c r="S64" s="16">
        <f>IF(OR(E64="",Q64=""),"",IFERROR(IF(E64&lt;=0,"",E64*(((1+Q64)/(1+N64))+((1+Q64)/(1+N64))^2+((1+Q64)/(1+N64))^3+((1+Q64)/(1+N64))^4+((1+Q64)/(1+N64))^5)+E64*(1+Q64)^5*(1+R64)/((N64-R64)*(1+N64)^5)),""))</f>
        <v/>
      </c>
      <c r="T64" s="9">
        <f>IF(OR(E64="",N64=""),"",IFERROR((C64*N64-E64)/(C64+E64),""))</f>
        <v/>
      </c>
      <c r="U64" s="9">
        <f>IF(OR(H64="",T64=""),"",IFERROR(MIN(MAX(H64,'Léeme'!$B$17),'Léeme'!$B$18)-T64,""))</f>
        <v/>
      </c>
      <c r="V64" s="16">
        <f>IF(OR(I64="",M64="",L64=""),"",IFERROR((I64/M64-J64-K64)/L64,""))</f>
        <v/>
      </c>
      <c r="W64" s="11">
        <f>IFERROR(P64/C64-1,"")</f>
        <v/>
      </c>
      <c r="X64" s="11">
        <f>IFERROR(S64/C64-1,"")</f>
        <v/>
      </c>
      <c r="Y64" s="11">
        <f>IFERROR(V64/C64-1,"")</f>
        <v/>
      </c>
      <c r="Z64" s="3">
        <f>IF(OR(W64="",ISTEXT(W64)),"sin dato",IF(W64&gt;='Léeme'!$B$19,"barato",IF(W64&lt;=-'Léeme'!$B$19,"caro","medio")))</f>
        <v/>
      </c>
      <c r="AA64" s="3">
        <f>IF(OR(X64="",ISTEXT(X64)),"sin dato",IF(X64&gt;='Léeme'!$B$19,"barato",IF(X64&lt;=-'Léeme'!$B$19,"caro","medio")))</f>
        <v/>
      </c>
      <c r="AB64" s="3">
        <f>IF(OR(U64="",ISTEXT(U64)),"sin dato",IF(U64&gt;='Léeme'!$B$20,"barato",IF(U64&lt;=-'Léeme'!$B$20,"caro","medio")))</f>
        <v/>
      </c>
      <c r="AC64" s="3">
        <f>IF(OR(Y64="",ISTEXT(Y64)),"sin dato",IF(Y64&gt;='Léeme'!$B$19,"barato",IF(Y64&lt;=-'Léeme'!$B$19,"caro","medio")))</f>
        <v/>
      </c>
      <c r="AD64" s="7" t="n">
        <v>0.9094488188976378</v>
      </c>
      <c r="AE64" s="7" t="n">
        <v>0.103960396039604</v>
      </c>
      <c r="AF64" s="7" t="n">
        <v>0.1534653465346535</v>
      </c>
      <c r="AG64" s="7" t="n"/>
    </row>
    <row r="65">
      <c r="A65" s="3" t="inlineStr">
        <is>
          <t>2013-T4</t>
        </is>
      </c>
      <c r="B65" s="13" t="n">
        <v>41639</v>
      </c>
      <c r="C65" s="14" t="n">
        <v>61.350001</v>
      </c>
      <c r="D65" s="14" t="n">
        <v>3.48</v>
      </c>
      <c r="E65" s="14" t="n">
        <v>3.76</v>
      </c>
      <c r="F65" s="5" t="n">
        <v>0.0304</v>
      </c>
      <c r="G65" s="5" t="n">
        <v>0.1198464065479912</v>
      </c>
      <c r="H65" s="5" t="n">
        <v>0.02397245831888006</v>
      </c>
      <c r="N65" s="9">
        <f>IF(F65="","",F65+'Léeme'!$B$10)</f>
        <v/>
      </c>
      <c r="O65" s="9">
        <f>IF(OR(G65="",N65=""),"",MIN(MAX(G65,'Léeme'!$B$11),'Léeme'!$B$12,N65-'Léeme'!$B$16))</f>
        <v/>
      </c>
      <c r="P65" s="16">
        <f>IF(OR(D65="",O65=""),"",IFERROR(IF(D65&lt;=0,"",D65*(1+O65)/(N65-O65)),""))</f>
        <v/>
      </c>
      <c r="Q65" s="9">
        <f>IF(H65="","",MIN(MAX(H65,'Léeme'!$B$13),'Léeme'!$B$14))</f>
        <v/>
      </c>
      <c r="R65" s="9">
        <f>IF(N65="","",MIN('Léeme'!$B$15,N65-'Léeme'!$B$16))</f>
        <v/>
      </c>
      <c r="S65" s="16">
        <f>IF(OR(E65="",Q65=""),"",IFERROR(IF(E65&lt;=0,"",E65*(((1+Q65)/(1+N65))+((1+Q65)/(1+N65))^2+((1+Q65)/(1+N65))^3+((1+Q65)/(1+N65))^4+((1+Q65)/(1+N65))^5)+E65*(1+Q65)^5*(1+R65)/((N65-R65)*(1+N65)^5)),""))</f>
        <v/>
      </c>
      <c r="T65" s="9">
        <f>IF(OR(E65="",N65=""),"",IFERROR((C65*N65-E65)/(C65+E65),""))</f>
        <v/>
      </c>
      <c r="U65" s="9">
        <f>IF(OR(H65="",T65=""),"",IFERROR(MIN(MAX(H65,'Léeme'!$B$17),'Léeme'!$B$18)-T65,""))</f>
        <v/>
      </c>
      <c r="V65" s="16">
        <f>IF(OR(I65="",M65="",L65=""),"",IFERROR((I65/M65-J65-K65)/L65,""))</f>
        <v/>
      </c>
      <c r="W65" s="11">
        <f>IFERROR(P65/C65-1,"")</f>
        <v/>
      </c>
      <c r="X65" s="11">
        <f>IFERROR(S65/C65-1,"")</f>
        <v/>
      </c>
      <c r="Y65" s="11">
        <f>IFERROR(V65/C65-1,"")</f>
        <v/>
      </c>
      <c r="Z65" s="3">
        <f>IF(OR(W65="",ISTEXT(W65)),"sin dato",IF(W65&gt;='Léeme'!$B$19,"barato",IF(W65&lt;=-'Léeme'!$B$19,"caro","medio")))</f>
        <v/>
      </c>
      <c r="AA65" s="3">
        <f>IF(OR(X65="",ISTEXT(X65)),"sin dato",IF(X65&gt;='Léeme'!$B$19,"barato",IF(X65&lt;=-'Léeme'!$B$19,"caro","medio")))</f>
        <v/>
      </c>
      <c r="AB65" s="3">
        <f>IF(OR(U65="",ISTEXT(U65)),"sin dato",IF(U65&gt;='Léeme'!$B$20,"barato",IF(U65&lt;=-'Léeme'!$B$20,"caro","medio")))</f>
        <v/>
      </c>
      <c r="AC65" s="3">
        <f>IF(OR(Y65="",ISTEXT(Y65)),"sin dato",IF(Y65&gt;='Léeme'!$B$19,"barato",IF(Y65&lt;=-'Léeme'!$B$19,"caro","medio")))</f>
        <v/>
      </c>
      <c r="AD65" s="7" t="n">
        <v>0.95</v>
      </c>
      <c r="AE65" s="7" t="n">
        <v>0.0625</v>
      </c>
      <c r="AF65" s="7" t="n">
        <v>0.1490384615384615</v>
      </c>
      <c r="AG65" s="7" t="n"/>
    </row>
    <row r="66">
      <c r="A66" s="3" t="inlineStr">
        <is>
          <t>2014-T1</t>
        </is>
      </c>
      <c r="B66" s="13" t="n">
        <v>41729</v>
      </c>
      <c r="C66" s="14" t="n">
        <v>60.07</v>
      </c>
      <c r="D66" s="14" t="n">
        <v>3.58</v>
      </c>
      <c r="E66" s="14" t="n">
        <v>4.22</v>
      </c>
      <c r="F66" s="5" t="n">
        <v>0.0273</v>
      </c>
      <c r="G66" s="5" t="n">
        <v>0.1252998779456602</v>
      </c>
      <c r="H66" s="5" t="n">
        <v>0.06431649822829133</v>
      </c>
      <c r="N66" s="9">
        <f>IF(F66="","",F66+'Léeme'!$B$10)</f>
        <v/>
      </c>
      <c r="O66" s="9">
        <f>IF(OR(G66="",N66=""),"",MIN(MAX(G66,'Léeme'!$B$11),'Léeme'!$B$12,N66-'Léeme'!$B$16))</f>
        <v/>
      </c>
      <c r="P66" s="16">
        <f>IF(OR(D66="",O66=""),"",IFERROR(IF(D66&lt;=0,"",D66*(1+O66)/(N66-O66)),""))</f>
        <v/>
      </c>
      <c r="Q66" s="9">
        <f>IF(H66="","",MIN(MAX(H66,'Léeme'!$B$13),'Léeme'!$B$14))</f>
        <v/>
      </c>
      <c r="R66" s="9">
        <f>IF(N66="","",MIN('Léeme'!$B$15,N66-'Léeme'!$B$16))</f>
        <v/>
      </c>
      <c r="S66" s="16">
        <f>IF(OR(E66="",Q66=""),"",IFERROR(IF(E66&lt;=0,"",E66*(((1+Q66)/(1+N66))+((1+Q66)/(1+N66))^2+((1+Q66)/(1+N66))^3+((1+Q66)/(1+N66))^4+((1+Q66)/(1+N66))^5)+E66*(1+Q66)^5*(1+R66)/((N66-R66)*(1+N66)^5)),""))</f>
        <v/>
      </c>
      <c r="T66" s="9">
        <f>IF(OR(E66="",N66=""),"",IFERROR((C66*N66-E66)/(C66+E66),""))</f>
        <v/>
      </c>
      <c r="U66" s="9">
        <f>IF(OR(H66="",T66=""),"",IFERROR(MIN(MAX(H66,'Léeme'!$B$17),'Léeme'!$B$18)-T66,""))</f>
        <v/>
      </c>
      <c r="V66" s="16">
        <f>IF(OR(I66="",M66="",L66=""),"",IFERROR((I66/M66-J66-K66)/L66,""))</f>
        <v/>
      </c>
      <c r="W66" s="11">
        <f>IFERROR(P66/C66-1,"")</f>
        <v/>
      </c>
      <c r="X66" s="11">
        <f>IFERROR(S66/C66-1,"")</f>
        <v/>
      </c>
      <c r="Y66" s="11">
        <f>IFERROR(V66/C66-1,"")</f>
        <v/>
      </c>
      <c r="Z66" s="3">
        <f>IF(OR(W66="",ISTEXT(W66)),"sin dato",IF(W66&gt;='Léeme'!$B$19,"barato",IF(W66&lt;=-'Léeme'!$B$19,"caro","medio")))</f>
        <v/>
      </c>
      <c r="AA66" s="3">
        <f>IF(OR(X66="",ISTEXT(X66)),"sin dato",IF(X66&gt;='Léeme'!$B$19,"barato",IF(X66&lt;=-'Léeme'!$B$19,"caro","medio")))</f>
        <v/>
      </c>
      <c r="AB66" s="3">
        <f>IF(OR(U66="",ISTEXT(U66)),"sin dato",IF(U66&gt;='Léeme'!$B$20,"barato",IF(U66&lt;=-'Léeme'!$B$20,"caro","medio")))</f>
        <v/>
      </c>
      <c r="AC66" s="3">
        <f>IF(OR(Y66="",ISTEXT(Y66)),"sin dato",IF(Y66&gt;='Léeme'!$B$19,"barato",IF(Y66&lt;=-'Léeme'!$B$19,"caro","medio")))</f>
        <v/>
      </c>
      <c r="AD66" s="7" t="n">
        <v>0.9736842105263158</v>
      </c>
      <c r="AE66" s="7" t="n">
        <v>0.3598130841121495</v>
      </c>
      <c r="AF66" s="7" t="n">
        <v>0.5</v>
      </c>
      <c r="AG66" s="7" t="n"/>
    </row>
    <row r="67">
      <c r="A67" s="3" t="inlineStr">
        <is>
          <t>2014-T2</t>
        </is>
      </c>
      <c r="B67" s="13" t="n">
        <v>41820</v>
      </c>
      <c r="C67" s="14" t="n">
        <v>64.40000000000001</v>
      </c>
      <c r="D67" s="14" t="n">
        <v>3.6</v>
      </c>
      <c r="E67" s="14" t="n">
        <v>4.22</v>
      </c>
      <c r="F67" s="5" t="n">
        <v>0.0253</v>
      </c>
      <c r="G67" s="5" t="n">
        <v>0.1256480759000549</v>
      </c>
      <c r="H67" s="5" t="n">
        <v>0.06431649822829133</v>
      </c>
      <c r="N67" s="9">
        <f>IF(F67="","",F67+'Léeme'!$B$10)</f>
        <v/>
      </c>
      <c r="O67" s="9">
        <f>IF(OR(G67="",N67=""),"",MIN(MAX(G67,'Léeme'!$B$11),'Léeme'!$B$12,N67-'Léeme'!$B$16))</f>
        <v/>
      </c>
      <c r="P67" s="16">
        <f>IF(OR(D67="",O67=""),"",IFERROR(IF(D67&lt;=0,"",D67*(1+O67)/(N67-O67)),""))</f>
        <v/>
      </c>
      <c r="Q67" s="9">
        <f>IF(H67="","",MIN(MAX(H67,'Léeme'!$B$13),'Léeme'!$B$14))</f>
        <v/>
      </c>
      <c r="R67" s="9">
        <f>IF(N67="","",MIN('Léeme'!$B$15,N67-'Léeme'!$B$16))</f>
        <v/>
      </c>
      <c r="S67" s="16">
        <f>IF(OR(E67="",Q67=""),"",IFERROR(IF(E67&lt;=0,"",E67*(((1+Q67)/(1+N67))+((1+Q67)/(1+N67))^2+((1+Q67)/(1+N67))^3+((1+Q67)/(1+N67))^4+((1+Q67)/(1+N67))^5)+E67*(1+Q67)^5*(1+R67)/((N67-R67)*(1+N67)^5)),""))</f>
        <v/>
      </c>
      <c r="T67" s="9">
        <f>IF(OR(E67="",N67=""),"",IFERROR((C67*N67-E67)/(C67+E67),""))</f>
        <v/>
      </c>
      <c r="U67" s="9">
        <f>IF(OR(H67="",T67=""),"",IFERROR(MIN(MAX(H67,'Léeme'!$B$17),'Léeme'!$B$18)-T67,""))</f>
        <v/>
      </c>
      <c r="V67" s="16">
        <f>IF(OR(I67="",M67="",L67=""),"",IFERROR((I67/M67-J67-K67)/L67,""))</f>
        <v/>
      </c>
      <c r="W67" s="11">
        <f>IFERROR(P67/C67-1,"")</f>
        <v/>
      </c>
      <c r="X67" s="11">
        <f>IFERROR(S67/C67-1,"")</f>
        <v/>
      </c>
      <c r="Y67" s="11">
        <f>IFERROR(V67/C67-1,"")</f>
        <v/>
      </c>
      <c r="Z67" s="3">
        <f>IF(OR(W67="",ISTEXT(W67)),"sin dato",IF(W67&gt;='Léeme'!$B$19,"barato",IF(W67&lt;=-'Léeme'!$B$19,"caro","medio")))</f>
        <v/>
      </c>
      <c r="AA67" s="3">
        <f>IF(OR(X67="",ISTEXT(X67)),"sin dato",IF(X67&gt;='Léeme'!$B$19,"barato",IF(X67&lt;=-'Léeme'!$B$19,"caro","medio")))</f>
        <v/>
      </c>
      <c r="AB67" s="3">
        <f>IF(OR(U67="",ISTEXT(U67)),"sin dato",IF(U67&gt;='Léeme'!$B$20,"barato",IF(U67&lt;=-'Léeme'!$B$20,"caro","medio")))</f>
        <v/>
      </c>
      <c r="AC67" s="3">
        <f>IF(OR(Y67="",ISTEXT(Y67)),"sin dato",IF(Y67&gt;='Léeme'!$B$19,"barato",IF(Y67&lt;=-'Léeme'!$B$19,"caro","medio")))</f>
        <v/>
      </c>
      <c r="AD67" s="7" t="n">
        <v>0.9227941176470589</v>
      </c>
      <c r="AE67" s="7" t="n">
        <v>0.35</v>
      </c>
      <c r="AF67" s="7" t="n">
        <v>0.4590909090909091</v>
      </c>
      <c r="AG67" s="7" t="n"/>
    </row>
    <row r="68">
      <c r="A68" s="3" t="inlineStr">
        <is>
          <t>2014-T3</t>
        </is>
      </c>
      <c r="B68" s="13" t="n">
        <v>41912</v>
      </c>
      <c r="C68" s="14" t="n">
        <v>63.77</v>
      </c>
      <c r="D68" s="14" t="n">
        <v>3.76</v>
      </c>
      <c r="E68" s="14" t="n">
        <v>4.22</v>
      </c>
      <c r="F68" s="5" t="n">
        <v>0.0252</v>
      </c>
      <c r="G68" s="5" t="n">
        <v>0.1345707157370173</v>
      </c>
      <c r="H68" s="5" t="n">
        <v>0.06431649822829133</v>
      </c>
      <c r="N68" s="9">
        <f>IF(F68="","",F68+'Léeme'!$B$10)</f>
        <v/>
      </c>
      <c r="O68" s="9">
        <f>IF(OR(G68="",N68=""),"",MIN(MAX(G68,'Léeme'!$B$11),'Léeme'!$B$12,N68-'Léeme'!$B$16))</f>
        <v/>
      </c>
      <c r="P68" s="16">
        <f>IF(OR(D68="",O68=""),"",IFERROR(IF(D68&lt;=0,"",D68*(1+O68)/(N68-O68)),""))</f>
        <v/>
      </c>
      <c r="Q68" s="9">
        <f>IF(H68="","",MIN(MAX(H68,'Léeme'!$B$13),'Léeme'!$B$14))</f>
        <v/>
      </c>
      <c r="R68" s="9">
        <f>IF(N68="","",MIN('Léeme'!$B$15,N68-'Léeme'!$B$16))</f>
        <v/>
      </c>
      <c r="S68" s="16">
        <f>IF(OR(E68="",Q68=""),"",IFERROR(IF(E68&lt;=0,"",E68*(((1+Q68)/(1+N68))+((1+Q68)/(1+N68))^2+((1+Q68)/(1+N68))^3+((1+Q68)/(1+N68))^4+((1+Q68)/(1+N68))^5)+E68*(1+Q68)^5*(1+R68)/((N68-R68)*(1+N68)^5)),""))</f>
        <v/>
      </c>
      <c r="T68" s="9">
        <f>IF(OR(E68="",N68=""),"",IFERROR((C68*N68-E68)/(C68+E68),""))</f>
        <v/>
      </c>
      <c r="U68" s="9">
        <f>IF(OR(H68="",T68=""),"",IFERROR(MIN(MAX(H68,'Léeme'!$B$17),'Léeme'!$B$18)-T68,""))</f>
        <v/>
      </c>
      <c r="V68" s="16">
        <f>IF(OR(I68="",M68="",L68=""),"",IFERROR((I68/M68-J68-K68)/L68,""))</f>
        <v/>
      </c>
      <c r="W68" s="11">
        <f>IFERROR(P68/C68-1,"")</f>
        <v/>
      </c>
      <c r="X68" s="11">
        <f>IFERROR(S68/C68-1,"")</f>
        <v/>
      </c>
      <c r="Y68" s="11">
        <f>IFERROR(V68/C68-1,"")</f>
        <v/>
      </c>
      <c r="Z68" s="3">
        <f>IF(OR(W68="",ISTEXT(W68)),"sin dato",IF(W68&gt;='Léeme'!$B$19,"barato",IF(W68&lt;=-'Léeme'!$B$19,"caro","medio")))</f>
        <v/>
      </c>
      <c r="AA68" s="3">
        <f>IF(OR(X68="",ISTEXT(X68)),"sin dato",IF(X68&gt;='Léeme'!$B$19,"barato",IF(X68&lt;=-'Léeme'!$B$19,"caro","medio")))</f>
        <v/>
      </c>
      <c r="AB68" s="3">
        <f>IF(OR(U68="",ISTEXT(U68)),"sin dato",IF(U68&gt;='Léeme'!$B$20,"barato",IF(U68&lt;=-'Léeme'!$B$20,"caro","medio")))</f>
        <v/>
      </c>
      <c r="AC68" s="3">
        <f>IF(OR(Y68="",ISTEXT(Y68)),"sin dato",IF(Y68&gt;='Léeme'!$B$19,"barato",IF(Y68&lt;=-'Léeme'!$B$19,"caro","medio")))</f>
        <v/>
      </c>
      <c r="AD68" s="7" t="n">
        <v>0.960431654676259</v>
      </c>
      <c r="AE68" s="7" t="n">
        <v>0.3761061946902655</v>
      </c>
      <c r="AF68" s="7" t="n">
        <v>0.4734513274336283</v>
      </c>
      <c r="AG68" s="7" t="n"/>
    </row>
    <row r="69">
      <c r="A69" s="3" t="inlineStr">
        <is>
          <t>2014-T4</t>
        </is>
      </c>
      <c r="B69" s="13" t="n">
        <v>42004</v>
      </c>
      <c r="C69" s="14" t="n">
        <v>70.100002</v>
      </c>
      <c r="D69" s="14" t="n">
        <v>3.8</v>
      </c>
      <c r="E69" s="14" t="n">
        <v>4.22</v>
      </c>
      <c r="F69" s="5" t="n">
        <v>0.0217</v>
      </c>
      <c r="G69" s="5" t="n">
        <v>0.1360670858270905</v>
      </c>
      <c r="H69" s="5" t="n">
        <v>0.06431649822829133</v>
      </c>
      <c r="N69" s="9">
        <f>IF(F69="","",F69+'Léeme'!$B$10)</f>
        <v/>
      </c>
      <c r="O69" s="9">
        <f>IF(OR(G69="",N69=""),"",MIN(MAX(G69,'Léeme'!$B$11),'Léeme'!$B$12,N69-'Léeme'!$B$16))</f>
        <v/>
      </c>
      <c r="P69" s="16">
        <f>IF(OR(D69="",O69=""),"",IFERROR(IF(D69&lt;=0,"",D69*(1+O69)/(N69-O69)),""))</f>
        <v/>
      </c>
      <c r="Q69" s="9">
        <f>IF(H69="","",MIN(MAX(H69,'Léeme'!$B$13),'Léeme'!$B$14))</f>
        <v/>
      </c>
      <c r="R69" s="9">
        <f>IF(N69="","",MIN('Léeme'!$B$15,N69-'Léeme'!$B$16))</f>
        <v/>
      </c>
      <c r="S69" s="16">
        <f>IF(OR(E69="",Q69=""),"",IFERROR(IF(E69&lt;=0,"",E69*(((1+Q69)/(1+N69))+((1+Q69)/(1+N69))^2+((1+Q69)/(1+N69))^3+((1+Q69)/(1+N69))^4+((1+Q69)/(1+N69))^5)+E69*(1+Q69)^5*(1+R69)/((N69-R69)*(1+N69)^5)),""))</f>
        <v/>
      </c>
      <c r="T69" s="9">
        <f>IF(OR(E69="",N69=""),"",IFERROR((C69*N69-E69)/(C69+E69),""))</f>
        <v/>
      </c>
      <c r="U69" s="9">
        <f>IF(OR(H69="",T69=""),"",IFERROR(MIN(MAX(H69,'Léeme'!$B$17),'Léeme'!$B$18)-T69,""))</f>
        <v/>
      </c>
      <c r="V69" s="16">
        <f>IF(OR(I69="",M69="",L69=""),"",IFERROR((I69/M69-J69-K69)/L69,""))</f>
        <v/>
      </c>
      <c r="W69" s="11">
        <f>IFERROR(P69/C69-1,"")</f>
        <v/>
      </c>
      <c r="X69" s="11">
        <f>IFERROR(S69/C69-1,"")</f>
        <v/>
      </c>
      <c r="Y69" s="11">
        <f>IFERROR(V69/C69-1,"")</f>
        <v/>
      </c>
      <c r="Z69" s="3">
        <f>IF(OR(W69="",ISTEXT(W69)),"sin dato",IF(W69&gt;='Léeme'!$B$19,"barato",IF(W69&lt;=-'Léeme'!$B$19,"caro","medio")))</f>
        <v/>
      </c>
      <c r="AA69" s="3">
        <f>IF(OR(X69="",ISTEXT(X69)),"sin dato",IF(X69&gt;='Léeme'!$B$19,"barato",IF(X69&lt;=-'Léeme'!$B$19,"caro","medio")))</f>
        <v/>
      </c>
      <c r="AB69" s="3">
        <f>IF(OR(U69="",ISTEXT(U69)),"sin dato",IF(U69&gt;='Léeme'!$B$20,"barato",IF(U69&lt;=-'Léeme'!$B$20,"caro","medio")))</f>
        <v/>
      </c>
      <c r="AC69" s="3">
        <f>IF(OR(Y69="",ISTEXT(Y69)),"sin dato",IF(Y69&gt;='Léeme'!$B$19,"barato",IF(Y69&lt;=-'Léeme'!$B$19,"caro","medio")))</f>
        <v/>
      </c>
      <c r="AD69" s="7" t="n">
        <v>0.8415492957746479</v>
      </c>
      <c r="AE69" s="7" t="n">
        <v>0.418103448275862</v>
      </c>
      <c r="AF69" s="7" t="n">
        <v>0.4353448275862069</v>
      </c>
      <c r="AG69" s="7" t="n"/>
    </row>
    <row r="70">
      <c r="A70" s="3" t="inlineStr">
        <is>
          <t>2015-T1</t>
        </is>
      </c>
      <c r="B70" s="13" t="n">
        <v>42094</v>
      </c>
      <c r="C70" s="14" t="n">
        <v>68.000001</v>
      </c>
      <c r="D70" s="14" t="n">
        <v>3.812</v>
      </c>
      <c r="E70" s="14" t="n">
        <v>4.81</v>
      </c>
      <c r="F70" s="5" t="n">
        <v>0.0194</v>
      </c>
      <c r="G70" s="5" t="n">
        <v>0.1358800524777335</v>
      </c>
      <c r="H70" s="5" t="n">
        <v>0.09253993231926128</v>
      </c>
      <c r="N70" s="9">
        <f>IF(F70="","",F70+'Léeme'!$B$10)</f>
        <v/>
      </c>
      <c r="O70" s="9">
        <f>IF(OR(G70="",N70=""),"",MIN(MAX(G70,'Léeme'!$B$11),'Léeme'!$B$12,N70-'Léeme'!$B$16))</f>
        <v/>
      </c>
      <c r="P70" s="16">
        <f>IF(OR(D70="",O70=""),"",IFERROR(IF(D70&lt;=0,"",D70*(1+O70)/(N70-O70)),""))</f>
        <v/>
      </c>
      <c r="Q70" s="9">
        <f>IF(H70="","",MIN(MAX(H70,'Léeme'!$B$13),'Léeme'!$B$14))</f>
        <v/>
      </c>
      <c r="R70" s="9">
        <f>IF(N70="","",MIN('Léeme'!$B$15,N70-'Léeme'!$B$16))</f>
        <v/>
      </c>
      <c r="S70" s="16">
        <f>IF(OR(E70="",Q70=""),"",IFERROR(IF(E70&lt;=0,"",E70*(((1+Q70)/(1+N70))+((1+Q70)/(1+N70))^2+((1+Q70)/(1+N70))^3+((1+Q70)/(1+N70))^4+((1+Q70)/(1+N70))^5)+E70*(1+Q70)^5*(1+R70)/((N70-R70)*(1+N70)^5)),""))</f>
        <v/>
      </c>
      <c r="T70" s="9">
        <f>IF(OR(E70="",N70=""),"",IFERROR((C70*N70-E70)/(C70+E70),""))</f>
        <v/>
      </c>
      <c r="U70" s="9">
        <f>IF(OR(H70="",T70=""),"",IFERROR(MIN(MAX(H70,'Léeme'!$B$17),'Léeme'!$B$18)-T70,""))</f>
        <v/>
      </c>
      <c r="V70" s="16">
        <f>IF(OR(I70="",M70="",L70=""),"",IFERROR((I70/M70-J70-K70)/L70,""))</f>
        <v/>
      </c>
      <c r="W70" s="11">
        <f>IFERROR(P70/C70-1,"")</f>
        <v/>
      </c>
      <c r="X70" s="11">
        <f>IFERROR(S70/C70-1,"")</f>
        <v/>
      </c>
      <c r="Y70" s="11">
        <f>IFERROR(V70/C70-1,"")</f>
        <v/>
      </c>
      <c r="Z70" s="3">
        <f>IF(OR(W70="",ISTEXT(W70)),"sin dato",IF(W70&gt;='Léeme'!$B$19,"barato",IF(W70&lt;=-'Léeme'!$B$19,"caro","medio")))</f>
        <v/>
      </c>
      <c r="AA70" s="3">
        <f>IF(OR(X70="",ISTEXT(X70)),"sin dato",IF(X70&gt;='Léeme'!$B$19,"barato",IF(X70&lt;=-'Léeme'!$B$19,"caro","medio")))</f>
        <v/>
      </c>
      <c r="AB70" s="3">
        <f>IF(OR(U70="",ISTEXT(U70)),"sin dato",IF(U70&gt;='Léeme'!$B$20,"barato",IF(U70&lt;=-'Léeme'!$B$20,"caro","medio")))</f>
        <v/>
      </c>
      <c r="AC70" s="3">
        <f>IF(OR(Y70="",ISTEXT(Y70)),"sin dato",IF(Y70&gt;='Léeme'!$B$19,"barato",IF(Y70&lt;=-'Léeme'!$B$19,"caro","medio")))</f>
        <v/>
      </c>
      <c r="AD70" s="7" t="n">
        <v>0.9</v>
      </c>
      <c r="AE70" s="7" t="n">
        <v>0.7941176470588235</v>
      </c>
      <c r="AF70" s="7" t="n">
        <v>0.8025210084033614</v>
      </c>
      <c r="AG70" s="7" t="n"/>
    </row>
    <row r="71">
      <c r="A71" s="3" t="inlineStr">
        <is>
          <t>2015-T2</t>
        </is>
      </c>
      <c r="B71" s="13" t="n">
        <v>42185</v>
      </c>
      <c r="C71" s="14" t="n">
        <v>58.94</v>
      </c>
      <c r="D71" s="14" t="n">
        <v>3.816</v>
      </c>
      <c r="E71" s="14" t="n">
        <v>4.81</v>
      </c>
      <c r="F71" s="5" t="n">
        <v>0.0235</v>
      </c>
      <c r="G71" s="5" t="n">
        <v>0.1352187917664602</v>
      </c>
      <c r="H71" s="5" t="n">
        <v>0.09253993231926128</v>
      </c>
      <c r="N71" s="9">
        <f>IF(F71="","",F71+'Léeme'!$B$10)</f>
        <v/>
      </c>
      <c r="O71" s="9">
        <f>IF(OR(G71="",N71=""),"",MIN(MAX(G71,'Léeme'!$B$11),'Léeme'!$B$12,N71-'Léeme'!$B$16))</f>
        <v/>
      </c>
      <c r="P71" s="16">
        <f>IF(OR(D71="",O71=""),"",IFERROR(IF(D71&lt;=0,"",D71*(1+O71)/(N71-O71)),""))</f>
        <v/>
      </c>
      <c r="Q71" s="9">
        <f>IF(H71="","",MIN(MAX(H71,'Léeme'!$B$13),'Léeme'!$B$14))</f>
        <v/>
      </c>
      <c r="R71" s="9">
        <f>IF(N71="","",MIN('Léeme'!$B$15,N71-'Léeme'!$B$16))</f>
        <v/>
      </c>
      <c r="S71" s="16">
        <f>IF(OR(E71="",Q71=""),"",IFERROR(IF(E71&lt;=0,"",E71*(((1+Q71)/(1+N71))+((1+Q71)/(1+N71))^2+((1+Q71)/(1+N71))^3+((1+Q71)/(1+N71))^4+((1+Q71)/(1+N71))^5)+E71*(1+Q71)^5*(1+R71)/((N71-R71)*(1+N71)^5)),""))</f>
        <v/>
      </c>
      <c r="T71" s="9">
        <f>IF(OR(E71="",N71=""),"",IFERROR((C71*N71-E71)/(C71+E71),""))</f>
        <v/>
      </c>
      <c r="U71" s="9">
        <f>IF(OR(H71="",T71=""),"",IFERROR(MIN(MAX(H71,'Léeme'!$B$17),'Léeme'!$B$18)-T71,""))</f>
        <v/>
      </c>
      <c r="V71" s="16">
        <f>IF(OR(I71="",M71="",L71=""),"",IFERROR((I71/M71-J71-K71)/L71,""))</f>
        <v/>
      </c>
      <c r="W71" s="11">
        <f>IFERROR(P71/C71-1,"")</f>
        <v/>
      </c>
      <c r="X71" s="11">
        <f>IFERROR(S71/C71-1,"")</f>
        <v/>
      </c>
      <c r="Y71" s="11">
        <f>IFERROR(V71/C71-1,"")</f>
        <v/>
      </c>
      <c r="Z71" s="3">
        <f>IF(OR(W71="",ISTEXT(W71)),"sin dato",IF(W71&gt;='Léeme'!$B$19,"barato",IF(W71&lt;=-'Léeme'!$B$19,"caro","medio")))</f>
        <v/>
      </c>
      <c r="AA71" s="3">
        <f>IF(OR(X71="",ISTEXT(X71)),"sin dato",IF(X71&gt;='Léeme'!$B$19,"barato",IF(X71&lt;=-'Léeme'!$B$19,"caro","medio")))</f>
        <v/>
      </c>
      <c r="AB71" s="3">
        <f>IF(OR(U71="",ISTEXT(U71)),"sin dato",IF(U71&gt;='Léeme'!$B$20,"barato",IF(U71&lt;=-'Léeme'!$B$20,"caro","medio")))</f>
        <v/>
      </c>
      <c r="AC71" s="3">
        <f>IF(OR(Y71="",ISTEXT(Y71)),"sin dato",IF(Y71&gt;='Léeme'!$B$19,"barato",IF(Y71&lt;=-'Léeme'!$B$19,"caro","medio")))</f>
        <v/>
      </c>
      <c r="AD71" s="7" t="n">
        <v>0.9966216216216216</v>
      </c>
      <c r="AE71" s="7" t="n">
        <v>0.7991803278688525</v>
      </c>
      <c r="AF71" s="7" t="n">
        <v>0.8319672131147541</v>
      </c>
      <c r="AG71" s="7" t="n"/>
    </row>
    <row r="72">
      <c r="A72" s="3" t="inlineStr">
        <is>
          <t>2015-T3</t>
        </is>
      </c>
      <c r="B72" s="13" t="n">
        <v>42277</v>
      </c>
      <c r="C72" s="14" t="n">
        <v>57.81</v>
      </c>
      <c r="D72" s="14" t="n">
        <v>3.819996</v>
      </c>
      <c r="E72" s="14" t="n">
        <v>4.81</v>
      </c>
      <c r="F72" s="5" t="n">
        <v>0.0206</v>
      </c>
      <c r="G72" s="5" t="n">
        <v>0.1345609741140139</v>
      </c>
      <c r="H72" s="5" t="n">
        <v>0.09253993231926128</v>
      </c>
      <c r="N72" s="9">
        <f>IF(F72="","",F72+'Léeme'!$B$10)</f>
        <v/>
      </c>
      <c r="O72" s="9">
        <f>IF(OR(G72="",N72=""),"",MIN(MAX(G72,'Léeme'!$B$11),'Léeme'!$B$12,N72-'Léeme'!$B$16))</f>
        <v/>
      </c>
      <c r="P72" s="16">
        <f>IF(OR(D72="",O72=""),"",IFERROR(IF(D72&lt;=0,"",D72*(1+O72)/(N72-O72)),""))</f>
        <v/>
      </c>
      <c r="Q72" s="9">
        <f>IF(H72="","",MIN(MAX(H72,'Léeme'!$B$13),'Léeme'!$B$14))</f>
        <v/>
      </c>
      <c r="R72" s="9">
        <f>IF(N72="","",MIN('Léeme'!$B$15,N72-'Léeme'!$B$16))</f>
        <v/>
      </c>
      <c r="S72" s="16">
        <f>IF(OR(E72="",Q72=""),"",IFERROR(IF(E72&lt;=0,"",E72*(((1+Q72)/(1+N72))+((1+Q72)/(1+N72))^2+((1+Q72)/(1+N72))^3+((1+Q72)/(1+N72))^4+((1+Q72)/(1+N72))^5)+E72*(1+Q72)^5*(1+R72)/((N72-R72)*(1+N72)^5)),""))</f>
        <v/>
      </c>
      <c r="T72" s="9">
        <f>IF(OR(E72="",N72=""),"",IFERROR((C72*N72-E72)/(C72+E72),""))</f>
        <v/>
      </c>
      <c r="U72" s="9">
        <f>IF(OR(H72="",T72=""),"",IFERROR(MIN(MAX(H72,'Léeme'!$B$17),'Léeme'!$B$18)-T72,""))</f>
        <v/>
      </c>
      <c r="V72" s="16">
        <f>IF(OR(I72="",M72="",L72=""),"",IFERROR((I72/M72-J72-K72)/L72,""))</f>
        <v/>
      </c>
      <c r="W72" s="11">
        <f>IFERROR(P72/C72-1,"")</f>
        <v/>
      </c>
      <c r="X72" s="11">
        <f>IFERROR(S72/C72-1,"")</f>
        <v/>
      </c>
      <c r="Y72" s="11">
        <f>IFERROR(V72/C72-1,"")</f>
        <v/>
      </c>
      <c r="Z72" s="3">
        <f>IF(OR(W72="",ISTEXT(W72)),"sin dato",IF(W72&gt;='Léeme'!$B$19,"barato",IF(W72&lt;=-'Léeme'!$B$19,"caro","medio")))</f>
        <v/>
      </c>
      <c r="AA72" s="3">
        <f>IF(OR(X72="",ISTEXT(X72)),"sin dato",IF(X72&gt;='Léeme'!$B$19,"barato",IF(X72&lt;=-'Léeme'!$B$19,"caro","medio")))</f>
        <v/>
      </c>
      <c r="AB72" s="3">
        <f>IF(OR(U72="",ISTEXT(U72)),"sin dato",IF(U72&gt;='Léeme'!$B$20,"barato",IF(U72&lt;=-'Léeme'!$B$20,"caro","medio")))</f>
        <v/>
      </c>
      <c r="AC72" s="3">
        <f>IF(OR(Y72="",ISTEXT(Y72)),"sin dato",IF(Y72&gt;='Léeme'!$B$19,"barato",IF(Y72&lt;=-'Léeme'!$B$19,"caro","medio")))</f>
        <v/>
      </c>
      <c r="AD72" s="7" t="n">
        <v>0.9900662251655629</v>
      </c>
      <c r="AE72" s="7" t="n">
        <v>0.86</v>
      </c>
      <c r="AF72" s="7" t="n">
        <v>0.884</v>
      </c>
      <c r="AG72" s="7" t="n"/>
    </row>
    <row r="73">
      <c r="A73" s="3" t="inlineStr">
        <is>
          <t>2015-T4</t>
        </is>
      </c>
      <c r="B73" s="13" t="n">
        <v>42369</v>
      </c>
      <c r="C73" s="14" t="n">
        <v>59</v>
      </c>
      <c r="D73" s="14" t="n">
        <v>3.86</v>
      </c>
      <c r="E73" s="14" t="n">
        <v>4.81</v>
      </c>
      <c r="F73" s="5" t="n">
        <v>0.0227</v>
      </c>
      <c r="G73" s="5" t="n">
        <v>0.1360342563978807</v>
      </c>
      <c r="H73" s="5" t="n">
        <v>0.09253993231926128</v>
      </c>
      <c r="N73" s="9">
        <f>IF(F73="","",F73+'Léeme'!$B$10)</f>
        <v/>
      </c>
      <c r="O73" s="9">
        <f>IF(OR(G73="",N73=""),"",MIN(MAX(G73,'Léeme'!$B$11),'Léeme'!$B$12,N73-'Léeme'!$B$16))</f>
        <v/>
      </c>
      <c r="P73" s="16">
        <f>IF(OR(D73="",O73=""),"",IFERROR(IF(D73&lt;=0,"",D73*(1+O73)/(N73-O73)),""))</f>
        <v/>
      </c>
      <c r="Q73" s="9">
        <f>IF(H73="","",MIN(MAX(H73,'Léeme'!$B$13),'Léeme'!$B$14))</f>
        <v/>
      </c>
      <c r="R73" s="9">
        <f>IF(N73="","",MIN('Léeme'!$B$15,N73-'Léeme'!$B$16))</f>
        <v/>
      </c>
      <c r="S73" s="16">
        <f>IF(OR(E73="",Q73=""),"",IFERROR(IF(E73&lt;=0,"",E73*(((1+Q73)/(1+N73))+((1+Q73)/(1+N73))^2+((1+Q73)/(1+N73))^3+((1+Q73)/(1+N73))^4+((1+Q73)/(1+N73))^5)+E73*(1+Q73)^5*(1+R73)/((N73-R73)*(1+N73)^5)),""))</f>
        <v/>
      </c>
      <c r="T73" s="9">
        <f>IF(OR(E73="",N73=""),"",IFERROR((C73*N73-E73)/(C73+E73),""))</f>
        <v/>
      </c>
      <c r="U73" s="9">
        <f>IF(OR(H73="",T73=""),"",IFERROR(MIN(MAX(H73,'Léeme'!$B$17),'Léeme'!$B$18)-T73,""))</f>
        <v/>
      </c>
      <c r="V73" s="16">
        <f>IF(OR(I73="",M73="",L73=""),"",IFERROR((I73/M73-J73-K73)/L73,""))</f>
        <v/>
      </c>
      <c r="W73" s="11">
        <f>IFERROR(P73/C73-1,"")</f>
        <v/>
      </c>
      <c r="X73" s="11">
        <f>IFERROR(S73/C73-1,"")</f>
        <v/>
      </c>
      <c r="Y73" s="11">
        <f>IFERROR(V73/C73-1,"")</f>
        <v/>
      </c>
      <c r="Z73" s="3">
        <f>IF(OR(W73="",ISTEXT(W73)),"sin dato",IF(W73&gt;='Léeme'!$B$19,"barato",IF(W73&lt;=-'Léeme'!$B$19,"caro","medio")))</f>
        <v/>
      </c>
      <c r="AA73" s="3">
        <f>IF(OR(X73="",ISTEXT(X73)),"sin dato",IF(X73&gt;='Léeme'!$B$19,"barato",IF(X73&lt;=-'Léeme'!$B$19,"caro","medio")))</f>
        <v/>
      </c>
      <c r="AB73" s="3">
        <f>IF(OR(U73="",ISTEXT(U73)),"sin dato",IF(U73&gt;='Léeme'!$B$20,"barato",IF(U73&lt;=-'Léeme'!$B$20,"caro","medio")))</f>
        <v/>
      </c>
      <c r="AC73" s="3">
        <f>IF(OR(Y73="",ISTEXT(Y73)),"sin dato",IF(Y73&gt;='Léeme'!$B$19,"barato",IF(Y73&lt;=-'Léeme'!$B$19,"caro","medio")))</f>
        <v/>
      </c>
      <c r="AD73" s="7" t="n">
        <v>0.9837662337662337</v>
      </c>
      <c r="AE73" s="7" t="n">
        <v>0.81640625</v>
      </c>
      <c r="AF73" s="7" t="n">
        <v>0.83984375</v>
      </c>
      <c r="AG73" s="7" t="n"/>
    </row>
    <row r="74">
      <c r="A74" s="3" t="inlineStr">
        <is>
          <t>2016-T1</t>
        </is>
      </c>
      <c r="B74" s="13" t="n">
        <v>42460</v>
      </c>
      <c r="C74" s="14" t="n">
        <v>62.239999</v>
      </c>
      <c r="D74" s="14" t="n">
        <v>3.896</v>
      </c>
      <c r="E74" s="14" t="n">
        <v>4.99</v>
      </c>
      <c r="F74" s="5" t="n">
        <v>0.0178</v>
      </c>
      <c r="G74" s="5" t="n">
        <v>0.1372548540806615</v>
      </c>
      <c r="H74" s="5" t="n">
        <v>0.08820460298818311</v>
      </c>
      <c r="N74" s="9">
        <f>IF(F74="","",F74+'Léeme'!$B$10)</f>
        <v/>
      </c>
      <c r="O74" s="9">
        <f>IF(OR(G74="",N74=""),"",MIN(MAX(G74,'Léeme'!$B$11),'Léeme'!$B$12,N74-'Léeme'!$B$16))</f>
        <v/>
      </c>
      <c r="P74" s="16">
        <f>IF(OR(D74="",O74=""),"",IFERROR(IF(D74&lt;=0,"",D74*(1+O74)/(N74-O74)),""))</f>
        <v/>
      </c>
      <c r="Q74" s="9">
        <f>IF(H74="","",MIN(MAX(H74,'Léeme'!$B$13),'Léeme'!$B$14))</f>
        <v/>
      </c>
      <c r="R74" s="9">
        <f>IF(N74="","",MIN('Léeme'!$B$15,N74-'Léeme'!$B$16))</f>
        <v/>
      </c>
      <c r="S74" s="16">
        <f>IF(OR(E74="",Q74=""),"",IFERROR(IF(E74&lt;=0,"",E74*(((1+Q74)/(1+N74))+((1+Q74)/(1+N74))^2+((1+Q74)/(1+N74))^3+((1+Q74)/(1+N74))^4+((1+Q74)/(1+N74))^5)+E74*(1+Q74)^5*(1+R74)/((N74-R74)*(1+N74)^5)),""))</f>
        <v/>
      </c>
      <c r="T74" s="9">
        <f>IF(OR(E74="",N74=""),"",IFERROR((C74*N74-E74)/(C74+E74),""))</f>
        <v/>
      </c>
      <c r="U74" s="9">
        <f>IF(OR(H74="",T74=""),"",IFERROR(MIN(MAX(H74,'Léeme'!$B$17),'Léeme'!$B$18)-T74,""))</f>
        <v/>
      </c>
      <c r="V74" s="16">
        <f>IF(OR(I74="",M74="",L74=""),"",IFERROR((I74/M74-J74-K74)/L74,""))</f>
        <v/>
      </c>
      <c r="W74" s="11">
        <f>IFERROR(P74/C74-1,"")</f>
        <v/>
      </c>
      <c r="X74" s="11">
        <f>IFERROR(S74/C74-1,"")</f>
        <v/>
      </c>
      <c r="Y74" s="11">
        <f>IFERROR(V74/C74-1,"")</f>
        <v/>
      </c>
      <c r="Z74" s="3">
        <f>IF(OR(W74="",ISTEXT(W74)),"sin dato",IF(W74&gt;='Léeme'!$B$19,"barato",IF(W74&lt;=-'Léeme'!$B$19,"caro","medio")))</f>
        <v/>
      </c>
      <c r="AA74" s="3">
        <f>IF(OR(X74="",ISTEXT(X74)),"sin dato",IF(X74&gt;='Léeme'!$B$19,"barato",IF(X74&lt;=-'Léeme'!$B$19,"caro","medio")))</f>
        <v/>
      </c>
      <c r="AB74" s="3">
        <f>IF(OR(U74="",ISTEXT(U74)),"sin dato",IF(U74&gt;='Léeme'!$B$20,"barato",IF(U74&lt;=-'Léeme'!$B$20,"caro","medio")))</f>
        <v/>
      </c>
      <c r="AC74" s="3">
        <f>IF(OR(Y74="",ISTEXT(Y74)),"sin dato",IF(Y74&gt;='Léeme'!$B$19,"barato",IF(Y74&lt;=-'Léeme'!$B$19,"caro","medio")))</f>
        <v/>
      </c>
      <c r="AD74" s="7" t="n">
        <v>0.945859872611465</v>
      </c>
      <c r="AE74" s="7" t="n">
        <v>0.8740458015267175</v>
      </c>
      <c r="AF74" s="7" t="n">
        <v>0.7900763358778626</v>
      </c>
      <c r="AG74" s="7" t="n"/>
    </row>
    <row r="75">
      <c r="A75" s="3" t="inlineStr">
        <is>
          <t>2016-T2</t>
        </is>
      </c>
      <c r="B75" s="13" t="n">
        <v>42551</v>
      </c>
      <c r="C75" s="14" t="n">
        <v>69.42</v>
      </c>
      <c r="D75" s="14" t="n">
        <v>3.92</v>
      </c>
      <c r="E75" s="14" t="n">
        <v>4.99</v>
      </c>
      <c r="F75" s="5" t="n">
        <v>0.0149</v>
      </c>
      <c r="G75" s="5" t="n">
        <v>0.1224646620711394</v>
      </c>
      <c r="H75" s="5" t="n">
        <v>0.08820460298818311</v>
      </c>
      <c r="N75" s="9">
        <f>IF(F75="","",F75+'Léeme'!$B$10)</f>
        <v/>
      </c>
      <c r="O75" s="9">
        <f>IF(OR(G75="",N75=""),"",MIN(MAX(G75,'Léeme'!$B$11),'Léeme'!$B$12,N75-'Léeme'!$B$16))</f>
        <v/>
      </c>
      <c r="P75" s="16">
        <f>IF(OR(D75="",O75=""),"",IFERROR(IF(D75&lt;=0,"",D75*(1+O75)/(N75-O75)),""))</f>
        <v/>
      </c>
      <c r="Q75" s="9">
        <f>IF(H75="","",MIN(MAX(H75,'Léeme'!$B$13),'Léeme'!$B$14))</f>
        <v/>
      </c>
      <c r="R75" s="9">
        <f>IF(N75="","",MIN('Léeme'!$B$15,N75-'Léeme'!$B$16))</f>
        <v/>
      </c>
      <c r="S75" s="16">
        <f>IF(OR(E75="",Q75=""),"",IFERROR(IF(E75&lt;=0,"",E75*(((1+Q75)/(1+N75))+((1+Q75)/(1+N75))^2+((1+Q75)/(1+N75))^3+((1+Q75)/(1+N75))^4+((1+Q75)/(1+N75))^5)+E75*(1+Q75)^5*(1+R75)/((N75-R75)*(1+N75)^5)),""))</f>
        <v/>
      </c>
      <c r="T75" s="9">
        <f>IF(OR(E75="",N75=""),"",IFERROR((C75*N75-E75)/(C75+E75),""))</f>
        <v/>
      </c>
      <c r="U75" s="9">
        <f>IF(OR(H75="",T75=""),"",IFERROR(MIN(MAX(H75,'Léeme'!$B$17),'Léeme'!$B$18)-T75,""))</f>
        <v/>
      </c>
      <c r="V75" s="16">
        <f>IF(OR(I75="",M75="",L75=""),"",IFERROR((I75/M75-J75-K75)/L75,""))</f>
        <v/>
      </c>
      <c r="W75" s="11">
        <f>IFERROR(P75/C75-1,"")</f>
        <v/>
      </c>
      <c r="X75" s="11">
        <f>IFERROR(S75/C75-1,"")</f>
        <v/>
      </c>
      <c r="Y75" s="11">
        <f>IFERROR(V75/C75-1,"")</f>
        <v/>
      </c>
      <c r="Z75" s="3">
        <f>IF(OR(W75="",ISTEXT(W75)),"sin dato",IF(W75&gt;='Léeme'!$B$19,"barato",IF(W75&lt;=-'Léeme'!$B$19,"caro","medio")))</f>
        <v/>
      </c>
      <c r="AA75" s="3">
        <f>IF(OR(X75="",ISTEXT(X75)),"sin dato",IF(X75&gt;='Léeme'!$B$19,"barato",IF(X75&lt;=-'Léeme'!$B$19,"caro","medio")))</f>
        <v/>
      </c>
      <c r="AB75" s="3">
        <f>IF(OR(U75="",ISTEXT(U75)),"sin dato",IF(U75&gt;='Léeme'!$B$20,"barato",IF(U75&lt;=-'Léeme'!$B$20,"caro","medio")))</f>
        <v/>
      </c>
      <c r="AC75" s="3">
        <f>IF(OR(Y75="",ISTEXT(Y75)),"sin dato",IF(Y75&gt;='Léeme'!$B$19,"barato",IF(Y75&lt;=-'Léeme'!$B$19,"caro","medio")))</f>
        <v/>
      </c>
      <c r="AD75" s="7" t="n">
        <v>0.840625</v>
      </c>
      <c r="AE75" s="7" t="n">
        <v>0.8768656716417911</v>
      </c>
      <c r="AF75" s="7" t="n">
        <v>0.7201492537313433</v>
      </c>
      <c r="AG75" s="7" t="n"/>
    </row>
    <row r="76">
      <c r="A76" s="3" t="inlineStr">
        <is>
          <t>2016-T3</t>
        </is>
      </c>
      <c r="B76" s="13" t="n">
        <v>42643</v>
      </c>
      <c r="C76" s="14" t="n">
        <v>64.530001</v>
      </c>
      <c r="D76" s="14" t="n">
        <v>3.94</v>
      </c>
      <c r="E76" s="14" t="n">
        <v>4.99</v>
      </c>
      <c r="F76" s="5" t="n">
        <v>0.016</v>
      </c>
      <c r="G76" s="5" t="n">
        <v>0.1195658446928092</v>
      </c>
      <c r="H76" s="5" t="n">
        <v>0.08820460298818311</v>
      </c>
      <c r="N76" s="9">
        <f>IF(F76="","",F76+'Léeme'!$B$10)</f>
        <v/>
      </c>
      <c r="O76" s="9">
        <f>IF(OR(G76="",N76=""),"",MIN(MAX(G76,'Léeme'!$B$11),'Léeme'!$B$12,N76-'Léeme'!$B$16))</f>
        <v/>
      </c>
      <c r="P76" s="16">
        <f>IF(OR(D76="",O76=""),"",IFERROR(IF(D76&lt;=0,"",D76*(1+O76)/(N76-O76)),""))</f>
        <v/>
      </c>
      <c r="Q76" s="9">
        <f>IF(H76="","",MIN(MAX(H76,'Léeme'!$B$13),'Léeme'!$B$14))</f>
        <v/>
      </c>
      <c r="R76" s="9">
        <f>IF(N76="","",MIN('Léeme'!$B$15,N76-'Léeme'!$B$16))</f>
        <v/>
      </c>
      <c r="S76" s="16">
        <f>IF(OR(E76="",Q76=""),"",IFERROR(IF(E76&lt;=0,"",E76*(((1+Q76)/(1+N76))+((1+Q76)/(1+N76))^2+((1+Q76)/(1+N76))^3+((1+Q76)/(1+N76))^4+((1+Q76)/(1+N76))^5)+E76*(1+Q76)^5*(1+R76)/((N76-R76)*(1+N76)^5)),""))</f>
        <v/>
      </c>
      <c r="T76" s="9">
        <f>IF(OR(E76="",N76=""),"",IFERROR((C76*N76-E76)/(C76+E76),""))</f>
        <v/>
      </c>
      <c r="U76" s="9">
        <f>IF(OR(H76="",T76=""),"",IFERROR(MIN(MAX(H76,'Léeme'!$B$17),'Léeme'!$B$18)-T76,""))</f>
        <v/>
      </c>
      <c r="V76" s="16">
        <f>IF(OR(I76="",M76="",L76=""),"",IFERROR((I76/M76-J76-K76)/L76,""))</f>
        <v/>
      </c>
      <c r="W76" s="11">
        <f>IFERROR(P76/C76-1,"")</f>
        <v/>
      </c>
      <c r="X76" s="11">
        <f>IFERROR(S76/C76-1,"")</f>
        <v/>
      </c>
      <c r="Y76" s="11">
        <f>IFERROR(V76/C76-1,"")</f>
        <v/>
      </c>
      <c r="Z76" s="3">
        <f>IF(OR(W76="",ISTEXT(W76)),"sin dato",IF(W76&gt;='Léeme'!$B$19,"barato",IF(W76&lt;=-'Léeme'!$B$19,"caro","medio")))</f>
        <v/>
      </c>
      <c r="AA76" s="3">
        <f>IF(OR(X76="",ISTEXT(X76)),"sin dato",IF(X76&gt;='Léeme'!$B$19,"barato",IF(X76&lt;=-'Léeme'!$B$19,"caro","medio")))</f>
        <v/>
      </c>
      <c r="AB76" s="3">
        <f>IF(OR(U76="",ISTEXT(U76)),"sin dato",IF(U76&gt;='Léeme'!$B$20,"barato",IF(U76&lt;=-'Léeme'!$B$20,"caro","medio")))</f>
        <v/>
      </c>
      <c r="AC76" s="3">
        <f>IF(OR(Y76="",ISTEXT(Y76)),"sin dato",IF(Y76&gt;='Léeme'!$B$19,"barato",IF(Y76&lt;=-'Léeme'!$B$19,"caro","medio")))</f>
        <v/>
      </c>
      <c r="AD76" s="7" t="n">
        <v>0.9171779141104295</v>
      </c>
      <c r="AE76" s="7" t="n">
        <v>0.8795620437956204</v>
      </c>
      <c r="AF76" s="7" t="n">
        <v>0.7846715328467153</v>
      </c>
      <c r="AG76" s="7" t="n"/>
    </row>
    <row r="77">
      <c r="A77" s="3" t="inlineStr">
        <is>
          <t>2016-T4</t>
        </is>
      </c>
      <c r="B77" s="13" t="n">
        <v>42734</v>
      </c>
      <c r="C77" s="14" t="n">
        <v>59.090001</v>
      </c>
      <c r="D77" s="14" t="n">
        <v>3.96</v>
      </c>
      <c r="E77" s="14" t="n">
        <v>4.99</v>
      </c>
      <c r="F77" s="5" t="n">
        <v>0.0245</v>
      </c>
      <c r="G77" s="5" t="n">
        <v>0.1195032532058069</v>
      </c>
      <c r="H77" s="5" t="n">
        <v>0.08820460298818311</v>
      </c>
      <c r="N77" s="9">
        <f>IF(F77="","",F77+'Léeme'!$B$10)</f>
        <v/>
      </c>
      <c r="O77" s="9">
        <f>IF(OR(G77="",N77=""),"",MIN(MAX(G77,'Léeme'!$B$11),'Léeme'!$B$12,N77-'Léeme'!$B$16))</f>
        <v/>
      </c>
      <c r="P77" s="16">
        <f>IF(OR(D77="",O77=""),"",IFERROR(IF(D77&lt;=0,"",D77*(1+O77)/(N77-O77)),""))</f>
        <v/>
      </c>
      <c r="Q77" s="9">
        <f>IF(H77="","",MIN(MAX(H77,'Léeme'!$B$13),'Léeme'!$B$14))</f>
        <v/>
      </c>
      <c r="R77" s="9">
        <f>IF(N77="","",MIN('Léeme'!$B$15,N77-'Léeme'!$B$16))</f>
        <v/>
      </c>
      <c r="S77" s="16">
        <f>IF(OR(E77="",Q77=""),"",IFERROR(IF(E77&lt;=0,"",E77*(((1+Q77)/(1+N77))+((1+Q77)/(1+N77))^2+((1+Q77)/(1+N77))^3+((1+Q77)/(1+N77))^4+((1+Q77)/(1+N77))^5)+E77*(1+Q77)^5*(1+R77)/((N77-R77)*(1+N77)^5)),""))</f>
        <v/>
      </c>
      <c r="T77" s="9">
        <f>IF(OR(E77="",N77=""),"",IFERROR((C77*N77-E77)/(C77+E77),""))</f>
        <v/>
      </c>
      <c r="U77" s="9">
        <f>IF(OR(H77="",T77=""),"",IFERROR(MIN(MAX(H77,'Léeme'!$B$17),'Léeme'!$B$18)-T77,""))</f>
        <v/>
      </c>
      <c r="V77" s="16">
        <f>IF(OR(I77="",M77="",L77=""),"",IFERROR((I77/M77-J77-K77)/L77,""))</f>
        <v/>
      </c>
      <c r="W77" s="11">
        <f>IFERROR(P77/C77-1,"")</f>
        <v/>
      </c>
      <c r="X77" s="11">
        <f>IFERROR(S77/C77-1,"")</f>
        <v/>
      </c>
      <c r="Y77" s="11">
        <f>IFERROR(V77/C77-1,"")</f>
        <v/>
      </c>
      <c r="Z77" s="3">
        <f>IF(OR(W77="",ISTEXT(W77)),"sin dato",IF(W77&gt;='Léeme'!$B$19,"barato",IF(W77&lt;=-'Léeme'!$B$19,"caro","medio")))</f>
        <v/>
      </c>
      <c r="AA77" s="3">
        <f>IF(OR(X77="",ISTEXT(X77)),"sin dato",IF(X77&gt;='Léeme'!$B$19,"barato",IF(X77&lt;=-'Léeme'!$B$19,"caro","medio")))</f>
        <v/>
      </c>
      <c r="AB77" s="3">
        <f>IF(OR(U77="",ISTEXT(U77)),"sin dato",IF(U77&gt;='Léeme'!$B$20,"barato",IF(U77&lt;=-'Léeme'!$B$20,"caro","medio")))</f>
        <v/>
      </c>
      <c r="AC77" s="3">
        <f>IF(OR(Y77="",ISTEXT(Y77)),"sin dato",IF(Y77&gt;='Léeme'!$B$19,"barato",IF(Y77&lt;=-'Léeme'!$B$19,"caro","medio")))</f>
        <v/>
      </c>
      <c r="AD77" s="7" t="n">
        <v>0.9849397590361446</v>
      </c>
      <c r="AE77" s="7" t="n">
        <v>0.7178571428571429</v>
      </c>
      <c r="AF77" s="7" t="n">
        <v>0.7464285714285714</v>
      </c>
      <c r="AG77" s="7" t="n"/>
    </row>
    <row r="78">
      <c r="A78" s="3" t="inlineStr">
        <is>
          <t>2017-T1</t>
        </is>
      </c>
      <c r="B78" s="13" t="n">
        <v>42825</v>
      </c>
      <c r="C78" s="14" t="n">
        <v>62.22</v>
      </c>
      <c r="D78" s="14" t="n">
        <v>3.98</v>
      </c>
      <c r="E78" s="14" t="n">
        <v>5.12</v>
      </c>
      <c r="F78" s="5" t="n">
        <v>0.024</v>
      </c>
      <c r="G78" s="5" t="n">
        <v>0.1198372936224898</v>
      </c>
      <c r="H78" s="5" t="n">
        <v>0.01683341799788751</v>
      </c>
      <c r="N78" s="9">
        <f>IF(F78="","",F78+'Léeme'!$B$10)</f>
        <v/>
      </c>
      <c r="O78" s="9">
        <f>IF(OR(G78="",N78=""),"",MIN(MAX(G78,'Léeme'!$B$11),'Léeme'!$B$12,N78-'Léeme'!$B$16))</f>
        <v/>
      </c>
      <c r="P78" s="16">
        <f>IF(OR(D78="",O78=""),"",IFERROR(IF(D78&lt;=0,"",D78*(1+O78)/(N78-O78)),""))</f>
        <v/>
      </c>
      <c r="Q78" s="9">
        <f>IF(H78="","",MIN(MAX(H78,'Léeme'!$B$13),'Léeme'!$B$14))</f>
        <v/>
      </c>
      <c r="R78" s="9">
        <f>IF(N78="","",MIN('Léeme'!$B$15,N78-'Léeme'!$B$16))</f>
        <v/>
      </c>
      <c r="S78" s="16">
        <f>IF(OR(E78="",Q78=""),"",IFERROR(IF(E78&lt;=0,"",E78*(((1+Q78)/(1+N78))+((1+Q78)/(1+N78))^2+((1+Q78)/(1+N78))^3+((1+Q78)/(1+N78))^4+((1+Q78)/(1+N78))^5)+E78*(1+Q78)^5*(1+R78)/((N78-R78)*(1+N78)^5)),""))</f>
        <v/>
      </c>
      <c r="T78" s="9">
        <f>IF(OR(E78="",N78=""),"",IFERROR((C78*N78-E78)/(C78+E78),""))</f>
        <v/>
      </c>
      <c r="U78" s="9">
        <f>IF(OR(H78="",T78=""),"",IFERROR(MIN(MAX(H78,'Léeme'!$B$17),'Léeme'!$B$18)-T78,""))</f>
        <v/>
      </c>
      <c r="V78" s="16">
        <f>IF(OR(I78="",M78="",L78=""),"",IFERROR((I78/M78-J78-K78)/L78,""))</f>
        <v/>
      </c>
      <c r="W78" s="11">
        <f>IFERROR(P78/C78-1,"")</f>
        <v/>
      </c>
      <c r="X78" s="11">
        <f>IFERROR(S78/C78-1,"")</f>
        <v/>
      </c>
      <c r="Y78" s="11">
        <f>IFERROR(V78/C78-1,"")</f>
        <v/>
      </c>
      <c r="Z78" s="3">
        <f>IF(OR(W78="",ISTEXT(W78)),"sin dato",IF(W78&gt;='Léeme'!$B$19,"barato",IF(W78&lt;=-'Léeme'!$B$19,"caro","medio")))</f>
        <v/>
      </c>
      <c r="AA78" s="3">
        <f>IF(OR(X78="",ISTEXT(X78)),"sin dato",IF(X78&gt;='Léeme'!$B$19,"barato",IF(X78&lt;=-'Léeme'!$B$19,"caro","medio")))</f>
        <v/>
      </c>
      <c r="AB78" s="3">
        <f>IF(OR(U78="",ISTEXT(U78)),"sin dato",IF(U78&gt;='Léeme'!$B$20,"barato",IF(U78&lt;=-'Léeme'!$B$20,"caro","medio")))</f>
        <v/>
      </c>
      <c r="AC78" s="3">
        <f>IF(OR(Y78="",ISTEXT(Y78)),"sin dato",IF(Y78&gt;='Léeme'!$B$19,"barato",IF(Y78&lt;=-'Léeme'!$B$19,"caro","medio")))</f>
        <v/>
      </c>
      <c r="AD78" s="7" t="n">
        <v>0.9437869822485208</v>
      </c>
      <c r="AE78" s="7" t="n">
        <v>0.3951048951048951</v>
      </c>
      <c r="AF78" s="7" t="n">
        <v>0.2622377622377622</v>
      </c>
      <c r="AG78" s="7" t="n"/>
    </row>
    <row r="79">
      <c r="A79" s="3" t="inlineStr">
        <is>
          <t>2017-T2</t>
        </is>
      </c>
      <c r="B79" s="13" t="n">
        <v>42916</v>
      </c>
      <c r="C79" s="14" t="n">
        <v>66.010004</v>
      </c>
      <c r="D79" s="14" t="n">
        <v>4</v>
      </c>
      <c r="E79" s="14" t="n">
        <v>5.12</v>
      </c>
      <c r="F79" s="5" t="n">
        <v>0.0231</v>
      </c>
      <c r="G79" s="5" t="n">
        <v>0.1201685835995576</v>
      </c>
      <c r="H79" s="5" t="n">
        <v>0.01683341799788751</v>
      </c>
      <c r="N79" s="9">
        <f>IF(F79="","",F79+'Léeme'!$B$10)</f>
        <v/>
      </c>
      <c r="O79" s="9">
        <f>IF(OR(G79="",N79=""),"",MIN(MAX(G79,'Léeme'!$B$11),'Léeme'!$B$12,N79-'Léeme'!$B$16))</f>
        <v/>
      </c>
      <c r="P79" s="16">
        <f>IF(OR(D79="",O79=""),"",IFERROR(IF(D79&lt;=0,"",D79*(1+O79)/(N79-O79)),""))</f>
        <v/>
      </c>
      <c r="Q79" s="9">
        <f>IF(H79="","",MIN(MAX(H79,'Léeme'!$B$13),'Léeme'!$B$14))</f>
        <v/>
      </c>
      <c r="R79" s="9">
        <f>IF(N79="","",MIN('Léeme'!$B$15,N79-'Léeme'!$B$16))</f>
        <v/>
      </c>
      <c r="S79" s="16">
        <f>IF(OR(E79="",Q79=""),"",IFERROR(IF(E79&lt;=0,"",E79*(((1+Q79)/(1+N79))+((1+Q79)/(1+N79))^2+((1+Q79)/(1+N79))^3+((1+Q79)/(1+N79))^4+((1+Q79)/(1+N79))^5)+E79*(1+Q79)^5*(1+R79)/((N79-R79)*(1+N79)^5)),""))</f>
        <v/>
      </c>
      <c r="T79" s="9">
        <f>IF(OR(E79="",N79=""),"",IFERROR((C79*N79-E79)/(C79+E79),""))</f>
        <v/>
      </c>
      <c r="U79" s="9">
        <f>IF(OR(H79="",T79=""),"",IFERROR(MIN(MAX(H79,'Léeme'!$B$17),'Léeme'!$B$18)-T79,""))</f>
        <v/>
      </c>
      <c r="V79" s="16">
        <f>IF(OR(I79="",M79="",L79=""),"",IFERROR((I79/M79-J79-K79)/L79,""))</f>
        <v/>
      </c>
      <c r="W79" s="11">
        <f>IFERROR(P79/C79-1,"")</f>
        <v/>
      </c>
      <c r="X79" s="11">
        <f>IFERROR(S79/C79-1,"")</f>
        <v/>
      </c>
      <c r="Y79" s="11">
        <f>IFERROR(V79/C79-1,"")</f>
        <v/>
      </c>
      <c r="Z79" s="3">
        <f>IF(OR(W79="",ISTEXT(W79)),"sin dato",IF(W79&gt;='Léeme'!$B$19,"barato",IF(W79&lt;=-'Léeme'!$B$19,"caro","medio")))</f>
        <v/>
      </c>
      <c r="AA79" s="3">
        <f>IF(OR(X79="",ISTEXT(X79)),"sin dato",IF(X79&gt;='Léeme'!$B$19,"barato",IF(X79&lt;=-'Léeme'!$B$19,"caro","medio")))</f>
        <v/>
      </c>
      <c r="AB79" s="3">
        <f>IF(OR(U79="",ISTEXT(U79)),"sin dato",IF(U79&gt;='Léeme'!$B$20,"barato",IF(U79&lt;=-'Léeme'!$B$20,"caro","medio")))</f>
        <v/>
      </c>
      <c r="AC79" s="3">
        <f>IF(OR(Y79="",ISTEXT(Y79)),"sin dato",IF(Y79&gt;='Léeme'!$B$19,"barato",IF(Y79&lt;=-'Léeme'!$B$19,"caro","medio")))</f>
        <v/>
      </c>
      <c r="AD79" s="7" t="n">
        <v>0.8691860465116279</v>
      </c>
      <c r="AE79" s="7" t="n">
        <v>0.3253424657534247</v>
      </c>
      <c r="AF79" s="7" t="n">
        <v>0.2363013698630137</v>
      </c>
      <c r="AG79" s="7" t="n"/>
    </row>
    <row r="80">
      <c r="A80" s="3" t="inlineStr">
        <is>
          <t>2017-T3</t>
        </is>
      </c>
      <c r="B80" s="13" t="n">
        <v>43007</v>
      </c>
      <c r="C80" s="14" t="n">
        <v>67.390004</v>
      </c>
      <c r="D80" s="14" t="n">
        <v>4.02</v>
      </c>
      <c r="E80" s="14" t="n">
        <v>5.12</v>
      </c>
      <c r="F80" s="5" t="n">
        <v>0.0233</v>
      </c>
      <c r="G80" s="5" t="n">
        <v>0.0910647905984785</v>
      </c>
      <c r="H80" s="5" t="n">
        <v>0.01683341799788751</v>
      </c>
      <c r="N80" s="9">
        <f>IF(F80="","",F80+'Léeme'!$B$10)</f>
        <v/>
      </c>
      <c r="O80" s="9">
        <f>IF(OR(G80="",N80=""),"",MIN(MAX(G80,'Léeme'!$B$11),'Léeme'!$B$12,N80-'Léeme'!$B$16))</f>
        <v/>
      </c>
      <c r="P80" s="16">
        <f>IF(OR(D80="",O80=""),"",IFERROR(IF(D80&lt;=0,"",D80*(1+O80)/(N80-O80)),""))</f>
        <v/>
      </c>
      <c r="Q80" s="9">
        <f>IF(H80="","",MIN(MAX(H80,'Léeme'!$B$13),'Léeme'!$B$14))</f>
        <v/>
      </c>
      <c r="R80" s="9">
        <f>IF(N80="","",MIN('Léeme'!$B$15,N80-'Léeme'!$B$16))</f>
        <v/>
      </c>
      <c r="S80" s="16">
        <f>IF(OR(E80="",Q80=""),"",IFERROR(IF(E80&lt;=0,"",E80*(((1+Q80)/(1+N80))+((1+Q80)/(1+N80))^2+((1+Q80)/(1+N80))^3+((1+Q80)/(1+N80))^4+((1+Q80)/(1+N80))^5)+E80*(1+Q80)^5*(1+R80)/((N80-R80)*(1+N80)^5)),""))</f>
        <v/>
      </c>
      <c r="T80" s="9">
        <f>IF(OR(E80="",N80=""),"",IFERROR((C80*N80-E80)/(C80+E80),""))</f>
        <v/>
      </c>
      <c r="U80" s="9">
        <f>IF(OR(H80="",T80=""),"",IFERROR(MIN(MAX(H80,'Léeme'!$B$17),'Léeme'!$B$18)-T80,""))</f>
        <v/>
      </c>
      <c r="V80" s="16">
        <f>IF(OR(I80="",M80="",L80=""),"",IFERROR((I80/M80-J80-K80)/L80,""))</f>
        <v/>
      </c>
      <c r="W80" s="11">
        <f>IFERROR(P80/C80-1,"")</f>
        <v/>
      </c>
      <c r="X80" s="11">
        <f>IFERROR(S80/C80-1,"")</f>
        <v/>
      </c>
      <c r="Y80" s="11">
        <f>IFERROR(V80/C80-1,"")</f>
        <v/>
      </c>
      <c r="Z80" s="3">
        <f>IF(OR(W80="",ISTEXT(W80)),"sin dato",IF(W80&gt;='Léeme'!$B$19,"barato",IF(W80&lt;=-'Léeme'!$B$19,"caro","medio")))</f>
        <v/>
      </c>
      <c r="AA80" s="3">
        <f>IF(OR(X80="",ISTEXT(X80)),"sin dato",IF(X80&gt;='Léeme'!$B$19,"barato",IF(X80&lt;=-'Léeme'!$B$19,"caro","medio")))</f>
        <v/>
      </c>
      <c r="AB80" s="3">
        <f>IF(OR(U80="",ISTEXT(U80)),"sin dato",IF(U80&gt;='Léeme'!$B$20,"barato",IF(U80&lt;=-'Léeme'!$B$20,"caro","medio")))</f>
        <v/>
      </c>
      <c r="AC80" s="3">
        <f>IF(OR(Y80="",ISTEXT(Y80)),"sin dato",IF(Y80&gt;='Léeme'!$B$19,"barato",IF(Y80&lt;=-'Léeme'!$B$19,"caro","medio")))</f>
        <v/>
      </c>
      <c r="AD80" s="7" t="n">
        <v>0.8371428571428572</v>
      </c>
      <c r="AE80" s="7" t="n">
        <v>0.2651006711409396</v>
      </c>
      <c r="AF80" s="7" t="n">
        <v>0.238255033557047</v>
      </c>
      <c r="AG80" s="7" t="n"/>
    </row>
    <row r="81">
      <c r="A81" s="3" t="inlineStr">
        <is>
          <t>2017-T4</t>
        </is>
      </c>
      <c r="B81" s="13" t="n">
        <v>43098</v>
      </c>
      <c r="C81" s="14" t="n">
        <v>68.899997</v>
      </c>
      <c r="D81" s="14" t="n">
        <v>4.04</v>
      </c>
      <c r="E81" s="14" t="n">
        <v>5.12</v>
      </c>
      <c r="F81" s="5" t="n">
        <v>0.024</v>
      </c>
      <c r="G81" s="5" t="n">
        <v>0.08881849082043503</v>
      </c>
      <c r="H81" s="5" t="n">
        <v>0.01683341799788751</v>
      </c>
      <c r="N81" s="9">
        <f>IF(F81="","",F81+'Léeme'!$B$10)</f>
        <v/>
      </c>
      <c r="O81" s="9">
        <f>IF(OR(G81="",N81=""),"",MIN(MAX(G81,'Léeme'!$B$11),'Léeme'!$B$12,N81-'Léeme'!$B$16))</f>
        <v/>
      </c>
      <c r="P81" s="16">
        <f>IF(OR(D81="",O81=""),"",IFERROR(IF(D81&lt;=0,"",D81*(1+O81)/(N81-O81)),""))</f>
        <v/>
      </c>
      <c r="Q81" s="9">
        <f>IF(H81="","",MIN(MAX(H81,'Léeme'!$B$13),'Léeme'!$B$14))</f>
        <v/>
      </c>
      <c r="R81" s="9">
        <f>IF(N81="","",MIN('Léeme'!$B$15,N81-'Léeme'!$B$16))</f>
        <v/>
      </c>
      <c r="S81" s="16">
        <f>IF(OR(E81="",Q81=""),"",IFERROR(IF(E81&lt;=0,"",E81*(((1+Q81)/(1+N81))+((1+Q81)/(1+N81))^2+((1+Q81)/(1+N81))^3+((1+Q81)/(1+N81))^4+((1+Q81)/(1+N81))^5)+E81*(1+Q81)^5*(1+R81)/((N81-R81)*(1+N81)^5)),""))</f>
        <v/>
      </c>
      <c r="T81" s="9">
        <f>IF(OR(E81="",N81=""),"",IFERROR((C81*N81-E81)/(C81+E81),""))</f>
        <v/>
      </c>
      <c r="U81" s="9">
        <f>IF(OR(H81="",T81=""),"",IFERROR(MIN(MAX(H81,'Léeme'!$B$17),'Léeme'!$B$18)-T81,""))</f>
        <v/>
      </c>
      <c r="V81" s="16">
        <f>IF(OR(I81="",M81="",L81=""),"",IFERROR((I81/M81-J81-K81)/L81,""))</f>
        <v/>
      </c>
      <c r="W81" s="11">
        <f>IFERROR(P81/C81-1,"")</f>
        <v/>
      </c>
      <c r="X81" s="11">
        <f>IFERROR(S81/C81-1,"")</f>
        <v/>
      </c>
      <c r="Y81" s="11">
        <f>IFERROR(V81/C81-1,"")</f>
        <v/>
      </c>
      <c r="Z81" s="3">
        <f>IF(OR(W81="",ISTEXT(W81)),"sin dato",IF(W81&gt;='Léeme'!$B$19,"barato",IF(W81&lt;=-'Léeme'!$B$19,"caro","medio")))</f>
        <v/>
      </c>
      <c r="AA81" s="3">
        <f>IF(OR(X81="",ISTEXT(X81)),"sin dato",IF(X81&gt;='Léeme'!$B$19,"barato",IF(X81&lt;=-'Léeme'!$B$19,"caro","medio")))</f>
        <v/>
      </c>
      <c r="AB81" s="3">
        <f>IF(OR(U81="",ISTEXT(U81)),"sin dato",IF(U81&gt;='Léeme'!$B$20,"barato",IF(U81&lt;=-'Léeme'!$B$20,"caro","medio")))</f>
        <v/>
      </c>
      <c r="AC81" s="3">
        <f>IF(OR(Y81="",ISTEXT(Y81)),"sin dato",IF(Y81&gt;='Léeme'!$B$19,"barato",IF(Y81&lt;=-'Léeme'!$B$19,"caro","medio")))</f>
        <v/>
      </c>
      <c r="AD81" s="7" t="n">
        <v>0.8174157303370787</v>
      </c>
      <c r="AE81" s="7" t="n">
        <v>0.2269736842105263</v>
      </c>
      <c r="AF81" s="7" t="n">
        <v>0.2203947368421053</v>
      </c>
      <c r="AG81" s="7" t="n"/>
    </row>
    <row r="82">
      <c r="A82" s="3" t="inlineStr">
        <is>
          <t>2018-T1</t>
        </is>
      </c>
      <c r="B82" s="13" t="n">
        <v>43188</v>
      </c>
      <c r="C82" s="14" t="n">
        <v>61.99</v>
      </c>
      <c r="D82" s="14" t="n">
        <v>4.06</v>
      </c>
      <c r="E82" s="14" t="n">
        <v>5.3</v>
      </c>
      <c r="F82" s="5" t="n">
        <v>0.0274</v>
      </c>
      <c r="G82" s="5" t="n">
        <v>0.04359127132757523</v>
      </c>
      <c r="H82" s="5" t="n">
        <v>0.07106938287573095</v>
      </c>
      <c r="N82" s="9">
        <f>IF(F82="","",F82+'Léeme'!$B$10)</f>
        <v/>
      </c>
      <c r="O82" s="9">
        <f>IF(OR(G82="",N82=""),"",MIN(MAX(G82,'Léeme'!$B$11),'Léeme'!$B$12,N82-'Léeme'!$B$16))</f>
        <v/>
      </c>
      <c r="P82" s="16">
        <f>IF(OR(D82="",O82=""),"",IFERROR(IF(D82&lt;=0,"",D82*(1+O82)/(N82-O82)),""))</f>
        <v/>
      </c>
      <c r="Q82" s="9">
        <f>IF(H82="","",MIN(MAX(H82,'Léeme'!$B$13),'Léeme'!$B$14))</f>
        <v/>
      </c>
      <c r="R82" s="9">
        <f>IF(N82="","",MIN('Léeme'!$B$15,N82-'Léeme'!$B$16))</f>
        <v/>
      </c>
      <c r="S82" s="16">
        <f>IF(OR(E82="",Q82=""),"",IFERROR(IF(E82&lt;=0,"",E82*(((1+Q82)/(1+N82))+((1+Q82)/(1+N82))^2+((1+Q82)/(1+N82))^3+((1+Q82)/(1+N82))^4+((1+Q82)/(1+N82))^5)+E82*(1+Q82)^5*(1+R82)/((N82-R82)*(1+N82)^5)),""))</f>
        <v/>
      </c>
      <c r="T82" s="9">
        <f>IF(OR(E82="",N82=""),"",IFERROR((C82*N82-E82)/(C82+E82),""))</f>
        <v/>
      </c>
      <c r="U82" s="9">
        <f>IF(OR(H82="",T82=""),"",IFERROR(MIN(MAX(H82,'Léeme'!$B$17),'Léeme'!$B$18)-T82,""))</f>
        <v/>
      </c>
      <c r="V82" s="16">
        <f>IF(OR(I82="",M82="",L82=""),"",IFERROR((I82/M82-J82-K82)/L82,""))</f>
        <v/>
      </c>
      <c r="W82" s="11">
        <f>IFERROR(P82/C82-1,"")</f>
        <v/>
      </c>
      <c r="X82" s="11">
        <f>IFERROR(S82/C82-1,"")</f>
        <v/>
      </c>
      <c r="Y82" s="11">
        <f>IFERROR(V82/C82-1,"")</f>
        <v/>
      </c>
      <c r="Z82" s="3">
        <f>IF(OR(W82="",ISTEXT(W82)),"sin dato",IF(W82&gt;='Léeme'!$B$19,"barato",IF(W82&lt;=-'Léeme'!$B$19,"caro","medio")))</f>
        <v/>
      </c>
      <c r="AA82" s="3">
        <f>IF(OR(X82="",ISTEXT(X82)),"sin dato",IF(X82&gt;='Léeme'!$B$19,"barato",IF(X82&lt;=-'Léeme'!$B$19,"caro","medio")))</f>
        <v/>
      </c>
      <c r="AB82" s="3">
        <f>IF(OR(U82="",ISTEXT(U82)),"sin dato",IF(U82&gt;='Léeme'!$B$20,"barato",IF(U82&lt;=-'Léeme'!$B$20,"caro","medio")))</f>
        <v/>
      </c>
      <c r="AC82" s="3">
        <f>IF(OR(Y82="",ISTEXT(Y82)),"sin dato",IF(Y82&gt;='Léeme'!$B$19,"barato",IF(Y82&lt;=-'Léeme'!$B$19,"caro","medio")))</f>
        <v/>
      </c>
      <c r="AD82" s="7" t="n">
        <v>0.9585635359116023</v>
      </c>
      <c r="AE82" s="7" t="n">
        <v>0.6225806451612903</v>
      </c>
      <c r="AF82" s="7" t="n">
        <v>0.6548387096774193</v>
      </c>
      <c r="AG82" s="7" t="n"/>
    </row>
    <row r="83">
      <c r="A83" s="3" t="inlineStr">
        <is>
          <t>2018-T2</t>
        </is>
      </c>
      <c r="B83" s="13" t="n">
        <v>43280</v>
      </c>
      <c r="C83" s="14" t="n">
        <v>66.349997</v>
      </c>
      <c r="D83" s="14" t="n">
        <v>4.08</v>
      </c>
      <c r="E83" s="14" t="n">
        <v>5.3</v>
      </c>
      <c r="F83" s="5" t="n">
        <v>0.0285</v>
      </c>
      <c r="G83" s="5" t="n">
        <v>0.03959498820755258</v>
      </c>
      <c r="H83" s="5" t="n">
        <v>0.07106938287573095</v>
      </c>
      <c r="N83" s="9">
        <f>IF(F83="","",F83+'Léeme'!$B$10)</f>
        <v/>
      </c>
      <c r="O83" s="9">
        <f>IF(OR(G83="",N83=""),"",MIN(MAX(G83,'Léeme'!$B$11),'Léeme'!$B$12,N83-'Léeme'!$B$16))</f>
        <v/>
      </c>
      <c r="P83" s="16">
        <f>IF(OR(D83="",O83=""),"",IFERROR(IF(D83&lt;=0,"",D83*(1+O83)/(N83-O83)),""))</f>
        <v/>
      </c>
      <c r="Q83" s="9">
        <f>IF(H83="","",MIN(MAX(H83,'Léeme'!$B$13),'Léeme'!$B$14))</f>
        <v/>
      </c>
      <c r="R83" s="9">
        <f>IF(N83="","",MIN('Léeme'!$B$15,N83-'Léeme'!$B$16))</f>
        <v/>
      </c>
      <c r="S83" s="16">
        <f>IF(OR(E83="",Q83=""),"",IFERROR(IF(E83&lt;=0,"",E83*(((1+Q83)/(1+N83))+((1+Q83)/(1+N83))^2+((1+Q83)/(1+N83))^3+((1+Q83)/(1+N83))^4+((1+Q83)/(1+N83))^5)+E83*(1+Q83)^5*(1+R83)/((N83-R83)*(1+N83)^5)),""))</f>
        <v/>
      </c>
      <c r="T83" s="9">
        <f>IF(OR(E83="",N83=""),"",IFERROR((C83*N83-E83)/(C83+E83),""))</f>
        <v/>
      </c>
      <c r="U83" s="9">
        <f>IF(OR(H83="",T83=""),"",IFERROR(MIN(MAX(H83,'Léeme'!$B$17),'Léeme'!$B$18)-T83,""))</f>
        <v/>
      </c>
      <c r="V83" s="16">
        <f>IF(OR(I83="",M83="",L83=""),"",IFERROR((I83/M83-J83-K83)/L83,""))</f>
        <v/>
      </c>
      <c r="W83" s="11">
        <f>IFERROR(P83/C83-1,"")</f>
        <v/>
      </c>
      <c r="X83" s="11">
        <f>IFERROR(S83/C83-1,"")</f>
        <v/>
      </c>
      <c r="Y83" s="11">
        <f>IFERROR(V83/C83-1,"")</f>
        <v/>
      </c>
      <c r="Z83" s="3">
        <f>IF(OR(W83="",ISTEXT(W83)),"sin dato",IF(W83&gt;='Léeme'!$B$19,"barato",IF(W83&lt;=-'Léeme'!$B$19,"caro","medio")))</f>
        <v/>
      </c>
      <c r="AA83" s="3">
        <f>IF(OR(X83="",ISTEXT(X83)),"sin dato",IF(X83&gt;='Léeme'!$B$19,"barato",IF(X83&lt;=-'Léeme'!$B$19,"caro","medio")))</f>
        <v/>
      </c>
      <c r="AB83" s="3">
        <f>IF(OR(U83="",ISTEXT(U83)),"sin dato",IF(U83&gt;='Léeme'!$B$20,"barato",IF(U83&lt;=-'Léeme'!$B$20,"caro","medio")))</f>
        <v/>
      </c>
      <c r="AC83" s="3">
        <f>IF(OR(Y83="",ISTEXT(Y83)),"sin dato",IF(Y83&gt;='Léeme'!$B$19,"barato",IF(Y83&lt;=-'Léeme'!$B$19,"caro","medio")))</f>
        <v/>
      </c>
      <c r="AD83" s="7" t="n">
        <v>0.8831521739130435</v>
      </c>
      <c r="AE83" s="7" t="n">
        <v>0.5474683544303798</v>
      </c>
      <c r="AF83" s="7" t="n">
        <v>0.6234177215189873</v>
      </c>
      <c r="AG83" s="7" t="n"/>
    </row>
    <row r="84">
      <c r="A84" s="3" t="inlineStr">
        <is>
          <t>2018-T3</t>
        </is>
      </c>
      <c r="B84" s="13" t="n">
        <v>43371</v>
      </c>
      <c r="C84" s="14" t="n">
        <v>64.309999</v>
      </c>
      <c r="D84" s="14" t="n">
        <v>4.1</v>
      </c>
      <c r="E84" s="14" t="n">
        <v>5.3</v>
      </c>
      <c r="F84" s="5" t="n">
        <v>0.0305</v>
      </c>
      <c r="G84" s="5" t="n">
        <v>0.03572648717751004</v>
      </c>
      <c r="H84" s="5" t="n">
        <v>0.07106938287573095</v>
      </c>
      <c r="N84" s="9">
        <f>IF(F84="","",F84+'Léeme'!$B$10)</f>
        <v/>
      </c>
      <c r="O84" s="9">
        <f>IF(OR(G84="",N84=""),"",MIN(MAX(G84,'Léeme'!$B$11),'Léeme'!$B$12,N84-'Léeme'!$B$16))</f>
        <v/>
      </c>
      <c r="P84" s="16">
        <f>IF(OR(D84="",O84=""),"",IFERROR(IF(D84&lt;=0,"",D84*(1+O84)/(N84-O84)),""))</f>
        <v/>
      </c>
      <c r="Q84" s="9">
        <f>IF(H84="","",MIN(MAX(H84,'Léeme'!$B$13),'Léeme'!$B$14))</f>
        <v/>
      </c>
      <c r="R84" s="9">
        <f>IF(N84="","",MIN('Léeme'!$B$15,N84-'Léeme'!$B$16))</f>
        <v/>
      </c>
      <c r="S84" s="16">
        <f>IF(OR(E84="",Q84=""),"",IFERROR(IF(E84&lt;=0,"",E84*(((1+Q84)/(1+N84))+((1+Q84)/(1+N84))^2+((1+Q84)/(1+N84))^3+((1+Q84)/(1+N84))^4+((1+Q84)/(1+N84))^5)+E84*(1+Q84)^5*(1+R84)/((N84-R84)*(1+N84)^5)),""))</f>
        <v/>
      </c>
      <c r="T84" s="9">
        <f>IF(OR(E84="",N84=""),"",IFERROR((C84*N84-E84)/(C84+E84),""))</f>
        <v/>
      </c>
      <c r="U84" s="9">
        <f>IF(OR(H84="",T84=""),"",IFERROR(MIN(MAX(H84,'Léeme'!$B$17),'Léeme'!$B$18)-T84,""))</f>
        <v/>
      </c>
      <c r="V84" s="16">
        <f>IF(OR(I84="",M84="",L84=""),"",IFERROR((I84/M84-J84-K84)/L84,""))</f>
        <v/>
      </c>
      <c r="W84" s="11">
        <f>IFERROR(P84/C84-1,"")</f>
        <v/>
      </c>
      <c r="X84" s="11">
        <f>IFERROR(S84/C84-1,"")</f>
        <v/>
      </c>
      <c r="Y84" s="11">
        <f>IFERROR(V84/C84-1,"")</f>
        <v/>
      </c>
      <c r="Z84" s="3">
        <f>IF(OR(W84="",ISTEXT(W84)),"sin dato",IF(W84&gt;='Léeme'!$B$19,"barato",IF(W84&lt;=-'Léeme'!$B$19,"caro","medio")))</f>
        <v/>
      </c>
      <c r="AA84" s="3">
        <f>IF(OR(X84="",ISTEXT(X84)),"sin dato",IF(X84&gt;='Léeme'!$B$19,"barato",IF(X84&lt;=-'Léeme'!$B$19,"caro","medio")))</f>
        <v/>
      </c>
      <c r="AB84" s="3">
        <f>IF(OR(U84="",ISTEXT(U84)),"sin dato",IF(U84&gt;='Léeme'!$B$20,"barato",IF(U84&lt;=-'Léeme'!$B$20,"caro","medio")))</f>
        <v/>
      </c>
      <c r="AC84" s="3">
        <f>IF(OR(Y84="",ISTEXT(Y84)),"sin dato",IF(Y84&gt;='Léeme'!$B$19,"barato",IF(Y84&lt;=-'Léeme'!$B$19,"caro","medio")))</f>
        <v/>
      </c>
      <c r="AD84" s="7" t="n">
        <v>0.5962566844919787</v>
      </c>
      <c r="AE84" s="7" t="n">
        <v>0.5186335403726708</v>
      </c>
      <c r="AF84" s="7" t="n">
        <v>0.6304347826086957</v>
      </c>
      <c r="AG84" s="7" t="n"/>
    </row>
    <row r="85">
      <c r="A85" s="3" t="inlineStr">
        <is>
          <t>2018-T4</t>
        </is>
      </c>
      <c r="B85" s="13" t="n">
        <v>43465</v>
      </c>
      <c r="C85" s="14" t="n">
        <v>65.34</v>
      </c>
      <c r="D85" s="14" t="n">
        <v>4.12</v>
      </c>
      <c r="E85" s="14" t="n">
        <v>5.3</v>
      </c>
      <c r="F85" s="5" t="n">
        <v>0.0269</v>
      </c>
      <c r="G85" s="5" t="n">
        <v>0.03434065345712578</v>
      </c>
      <c r="H85" s="5" t="n">
        <v>0.07106938287573095</v>
      </c>
      <c r="N85" s="9">
        <f>IF(F85="","",F85+'Léeme'!$B$10)</f>
        <v/>
      </c>
      <c r="O85" s="9">
        <f>IF(OR(G85="",N85=""),"",MIN(MAX(G85,'Léeme'!$B$11),'Léeme'!$B$12,N85-'Léeme'!$B$16))</f>
        <v/>
      </c>
      <c r="P85" s="16">
        <f>IF(OR(D85="",O85=""),"",IFERROR(IF(D85&lt;=0,"",D85*(1+O85)/(N85-O85)),""))</f>
        <v/>
      </c>
      <c r="Q85" s="9">
        <f>IF(H85="","",MIN(MAX(H85,'Léeme'!$B$13),'Léeme'!$B$14))</f>
        <v/>
      </c>
      <c r="R85" s="9">
        <f>IF(N85="","",MIN('Léeme'!$B$15,N85-'Léeme'!$B$16))</f>
        <v/>
      </c>
      <c r="S85" s="16">
        <f>IF(OR(E85="",Q85=""),"",IFERROR(IF(E85&lt;=0,"",E85*(((1+Q85)/(1+N85))+((1+Q85)/(1+N85))^2+((1+Q85)/(1+N85))^3+((1+Q85)/(1+N85))^4+((1+Q85)/(1+N85))^5)+E85*(1+Q85)^5*(1+R85)/((N85-R85)*(1+N85)^5)),""))</f>
        <v/>
      </c>
      <c r="T85" s="9">
        <f>IF(OR(E85="",N85=""),"",IFERROR((C85*N85-E85)/(C85+E85),""))</f>
        <v/>
      </c>
      <c r="U85" s="9">
        <f>IF(OR(H85="",T85=""),"",IFERROR(MIN(MAX(H85,'Léeme'!$B$17),'Léeme'!$B$18)-T85,""))</f>
        <v/>
      </c>
      <c r="V85" s="16">
        <f>IF(OR(I85="",M85="",L85=""),"",IFERROR((I85/M85-J85-K85)/L85,""))</f>
        <v/>
      </c>
      <c r="W85" s="11">
        <f>IFERROR(P85/C85-1,"")</f>
        <v/>
      </c>
      <c r="X85" s="11">
        <f>IFERROR(S85/C85-1,"")</f>
        <v/>
      </c>
      <c r="Y85" s="11">
        <f>IFERROR(V85/C85-1,"")</f>
        <v/>
      </c>
      <c r="Z85" s="3">
        <f>IF(OR(W85="",ISTEXT(W85)),"sin dato",IF(W85&gt;='Léeme'!$B$19,"barato",IF(W85&lt;=-'Léeme'!$B$19,"caro","medio")))</f>
        <v/>
      </c>
      <c r="AA85" s="3">
        <f>IF(OR(X85="",ISTEXT(X85)),"sin dato",IF(X85&gt;='Léeme'!$B$19,"barato",IF(X85&lt;=-'Léeme'!$B$19,"caro","medio")))</f>
        <v/>
      </c>
      <c r="AB85" s="3">
        <f>IF(OR(U85="",ISTEXT(U85)),"sin dato",IF(U85&gt;='Léeme'!$B$20,"barato",IF(U85&lt;=-'Léeme'!$B$20,"caro","medio")))</f>
        <v/>
      </c>
      <c r="AC85" s="3">
        <f>IF(OR(Y85="",ISTEXT(Y85)),"sin dato",IF(Y85&gt;='Léeme'!$B$19,"barato",IF(Y85&lt;=-'Léeme'!$B$19,"caro","medio")))</f>
        <v/>
      </c>
      <c r="AD85" s="7" t="n">
        <v>0.718421052631579</v>
      </c>
      <c r="AE85" s="7" t="n">
        <v>0.6067073170731707</v>
      </c>
      <c r="AF85" s="7" t="n">
        <v>0.6554878048780488</v>
      </c>
      <c r="AG85" s="7" t="n"/>
    </row>
    <row r="86">
      <c r="A86" s="3" t="inlineStr">
        <is>
          <t>2019-T1</t>
        </is>
      </c>
      <c r="B86" s="13" t="n">
        <v>43553</v>
      </c>
      <c r="C86" s="14" t="n">
        <v>78.33</v>
      </c>
      <c r="D86" s="14" t="n">
        <v>4.128</v>
      </c>
      <c r="E86" s="14" t="n">
        <v>5.39</v>
      </c>
      <c r="F86" s="5" t="n">
        <v>0.0241</v>
      </c>
      <c r="G86" s="5" t="n">
        <v>0.02889565306482766</v>
      </c>
      <c r="H86" s="5" t="n">
        <v>0.05015949367764128</v>
      </c>
      <c r="N86" s="9">
        <f>IF(F86="","",F86+'Léeme'!$B$10)</f>
        <v/>
      </c>
      <c r="O86" s="9">
        <f>IF(OR(G86="",N86=""),"",MIN(MAX(G86,'Léeme'!$B$11),'Léeme'!$B$12,N86-'Léeme'!$B$16))</f>
        <v/>
      </c>
      <c r="P86" s="16">
        <f>IF(OR(D86="",O86=""),"",IFERROR(IF(D86&lt;=0,"",D86*(1+O86)/(N86-O86)),""))</f>
        <v/>
      </c>
      <c r="Q86" s="9">
        <f>IF(H86="","",MIN(MAX(H86,'Léeme'!$B$13),'Léeme'!$B$14))</f>
        <v/>
      </c>
      <c r="R86" s="9">
        <f>IF(N86="","",MIN('Léeme'!$B$15,N86-'Léeme'!$B$16))</f>
        <v/>
      </c>
      <c r="S86" s="16">
        <f>IF(OR(E86="",Q86=""),"",IFERROR(IF(E86&lt;=0,"",E86*(((1+Q86)/(1+N86))+((1+Q86)/(1+N86))^2+((1+Q86)/(1+N86))^3+((1+Q86)/(1+N86))^4+((1+Q86)/(1+N86))^5)+E86*(1+Q86)^5*(1+R86)/((N86-R86)*(1+N86)^5)),""))</f>
        <v/>
      </c>
      <c r="T86" s="9">
        <f>IF(OR(E86="",N86=""),"",IFERROR((C86*N86-E86)/(C86+E86),""))</f>
        <v/>
      </c>
      <c r="U86" s="9">
        <f>IF(OR(H86="",T86=""),"",IFERROR(MIN(MAX(H86,'Léeme'!$B$17),'Léeme'!$B$18)-T86,""))</f>
        <v/>
      </c>
      <c r="V86" s="16">
        <f>IF(OR(I86="",M86="",L86=""),"",IFERROR((I86/M86-J86-K86)/L86,""))</f>
        <v/>
      </c>
      <c r="W86" s="11">
        <f>IFERROR(P86/C86-1,"")</f>
        <v/>
      </c>
      <c r="X86" s="11">
        <f>IFERROR(S86/C86-1,"")</f>
        <v/>
      </c>
      <c r="Y86" s="11">
        <f>IFERROR(V86/C86-1,"")</f>
        <v/>
      </c>
      <c r="Z86" s="3">
        <f>IF(OR(W86="",ISTEXT(W86)),"sin dato",IF(W86&gt;='Léeme'!$B$19,"barato",IF(W86&lt;=-'Léeme'!$B$19,"caro","medio")))</f>
        <v/>
      </c>
      <c r="AA86" s="3">
        <f>IF(OR(X86="",ISTEXT(X86)),"sin dato",IF(X86&gt;='Léeme'!$B$19,"barato",IF(X86&lt;=-'Léeme'!$B$19,"caro","medio")))</f>
        <v/>
      </c>
      <c r="AB86" s="3">
        <f>IF(OR(U86="",ISTEXT(U86)),"sin dato",IF(U86&gt;='Léeme'!$B$20,"barato",IF(U86&lt;=-'Léeme'!$B$20,"caro","medio")))</f>
        <v/>
      </c>
      <c r="AC86" s="3">
        <f>IF(OR(Y86="",ISTEXT(Y86)),"sin dato",IF(Y86&gt;='Léeme'!$B$19,"barato",IF(Y86&lt;=-'Léeme'!$B$19,"caro","medio")))</f>
        <v/>
      </c>
      <c r="AD86" s="7" t="n">
        <v>0.4533678756476684</v>
      </c>
      <c r="AE86" s="7" t="n">
        <v>0.3263473053892216</v>
      </c>
      <c r="AF86" s="7" t="n">
        <v>0.3083832335329341</v>
      </c>
      <c r="AG86" s="7" t="n"/>
    </row>
    <row r="87">
      <c r="A87" s="3" t="inlineStr">
        <is>
          <t>2019-T2</t>
        </is>
      </c>
      <c r="B87" s="13" t="n">
        <v>43644</v>
      </c>
      <c r="C87" s="14" t="n">
        <v>81.18000000000001</v>
      </c>
      <c r="D87" s="14" t="n">
        <v>4.136</v>
      </c>
      <c r="E87" s="14" t="n">
        <v>5.39</v>
      </c>
      <c r="F87" s="5" t="n">
        <v>0.02</v>
      </c>
      <c r="G87" s="5" t="n">
        <v>0.02814793091541468</v>
      </c>
      <c r="H87" s="5" t="n">
        <v>0.05015949367764128</v>
      </c>
      <c r="I87" s="17" t="n">
        <v>1017060000</v>
      </c>
      <c r="J87" s="17" t="n">
        <v>5880163000</v>
      </c>
      <c r="K87" s="17" t="n">
        <v>0</v>
      </c>
      <c r="L87" s="17" t="n">
        <v>169636526</v>
      </c>
      <c r="M87" s="5" t="n">
        <v>0.07000000000000001</v>
      </c>
      <c r="N87" s="9">
        <f>IF(F87="","",F87+'Léeme'!$B$10)</f>
        <v/>
      </c>
      <c r="O87" s="9">
        <f>IF(OR(G87="",N87=""),"",MIN(MAX(G87,'Léeme'!$B$11),'Léeme'!$B$12,N87-'Léeme'!$B$16))</f>
        <v/>
      </c>
      <c r="P87" s="16">
        <f>IF(OR(D87="",O87=""),"",IFERROR(IF(D87&lt;=0,"",D87*(1+O87)/(N87-O87)),""))</f>
        <v/>
      </c>
      <c r="Q87" s="9">
        <f>IF(H87="","",MIN(MAX(H87,'Léeme'!$B$13),'Léeme'!$B$14))</f>
        <v/>
      </c>
      <c r="R87" s="9">
        <f>IF(N87="","",MIN('Léeme'!$B$15,N87-'Léeme'!$B$16))</f>
        <v/>
      </c>
      <c r="S87" s="16">
        <f>IF(OR(E87="",Q87=""),"",IFERROR(IF(E87&lt;=0,"",E87*(((1+Q87)/(1+N87))+((1+Q87)/(1+N87))^2+((1+Q87)/(1+N87))^3+((1+Q87)/(1+N87))^4+((1+Q87)/(1+N87))^5)+E87*(1+Q87)^5*(1+R87)/((N87-R87)*(1+N87)^5)),""))</f>
        <v/>
      </c>
      <c r="T87" s="9">
        <f>IF(OR(E87="",N87=""),"",IFERROR((C87*N87-E87)/(C87+E87),""))</f>
        <v/>
      </c>
      <c r="U87" s="9">
        <f>IF(OR(H87="",T87=""),"",IFERROR(MIN(MAX(H87,'Léeme'!$B$17),'Léeme'!$B$18)-T87,""))</f>
        <v/>
      </c>
      <c r="V87" s="16">
        <f>IF(OR(I87="",M87="",L87=""),"",IFERROR((I87/M87-J87-K87)/L87,""))</f>
        <v/>
      </c>
      <c r="W87" s="11">
        <f>IFERROR(P87/C87-1,"")</f>
        <v/>
      </c>
      <c r="X87" s="11">
        <f>IFERROR(S87/C87-1,"")</f>
        <v/>
      </c>
      <c r="Y87" s="11">
        <f>IFERROR(V87/C87-1,"")</f>
        <v/>
      </c>
      <c r="Z87" s="3">
        <f>IF(OR(W87="",ISTEXT(W87)),"sin dato",IF(W87&gt;='Léeme'!$B$19,"barato",IF(W87&lt;=-'Léeme'!$B$19,"caro","medio")))</f>
        <v/>
      </c>
      <c r="AA87" s="3">
        <f>IF(OR(X87="",ISTEXT(X87)),"sin dato",IF(X87&gt;='Léeme'!$B$19,"barato",IF(X87&lt;=-'Léeme'!$B$19,"caro","medio")))</f>
        <v/>
      </c>
      <c r="AB87" s="3">
        <f>IF(OR(U87="",ISTEXT(U87)),"sin dato",IF(U87&gt;='Léeme'!$B$20,"barato",IF(U87&lt;=-'Léeme'!$B$20,"caro","medio")))</f>
        <v/>
      </c>
      <c r="AC87" s="3">
        <f>IF(OR(Y87="",ISTEXT(Y87)),"sin dato",IF(Y87&gt;='Léeme'!$B$19,"barato",IF(Y87&lt;=-'Léeme'!$B$19,"caro","medio")))</f>
        <v/>
      </c>
      <c r="AD87" s="7" t="n">
        <v>0.4923469387755102</v>
      </c>
      <c r="AE87" s="7" t="n">
        <v>0.5205882352941177</v>
      </c>
      <c r="AF87" s="7" t="n">
        <v>0.3441176470588235</v>
      </c>
      <c r="AG87" s="7" t="n"/>
    </row>
    <row r="88">
      <c r="A88" s="3" t="inlineStr">
        <is>
          <t>2019-T3</t>
        </is>
      </c>
      <c r="B88" s="13" t="n">
        <v>43738</v>
      </c>
      <c r="C88" s="14" t="n">
        <v>89.499999</v>
      </c>
      <c r="D88" s="14" t="n">
        <v>4.144</v>
      </c>
      <c r="E88" s="14" t="n">
        <v>5.39</v>
      </c>
      <c r="F88" s="5" t="n">
        <v>0.0168</v>
      </c>
      <c r="G88" s="5" t="n">
        <v>0.01963886380534263</v>
      </c>
      <c r="H88" s="5" t="n">
        <v>0.05015949367764128</v>
      </c>
      <c r="I88" s="17" t="n">
        <v>1037608000</v>
      </c>
      <c r="J88" s="17" t="n">
        <v>5974732000</v>
      </c>
      <c r="K88" s="17" t="n">
        <v>0</v>
      </c>
      <c r="L88" s="17" t="n">
        <v>170756507</v>
      </c>
      <c r="M88" s="5" t="n">
        <v>0.07000000000000001</v>
      </c>
      <c r="N88" s="9">
        <f>IF(F88="","",F88+'Léeme'!$B$10)</f>
        <v/>
      </c>
      <c r="O88" s="9">
        <f>IF(OR(G88="",N88=""),"",MIN(MAX(G88,'Léeme'!$B$11),'Léeme'!$B$12,N88-'Léeme'!$B$16))</f>
        <v/>
      </c>
      <c r="P88" s="16">
        <f>IF(OR(D88="",O88=""),"",IFERROR(IF(D88&lt;=0,"",D88*(1+O88)/(N88-O88)),""))</f>
        <v/>
      </c>
      <c r="Q88" s="9">
        <f>IF(H88="","",MIN(MAX(H88,'Léeme'!$B$13),'Léeme'!$B$14))</f>
        <v/>
      </c>
      <c r="R88" s="9">
        <f>IF(N88="","",MIN('Léeme'!$B$15,N88-'Léeme'!$B$16))</f>
        <v/>
      </c>
      <c r="S88" s="16">
        <f>IF(OR(E88="",Q88=""),"",IFERROR(IF(E88&lt;=0,"",E88*(((1+Q88)/(1+N88))+((1+Q88)/(1+N88))^2+((1+Q88)/(1+N88))^3+((1+Q88)/(1+N88))^4+((1+Q88)/(1+N88))^5)+E88*(1+Q88)^5*(1+R88)/((N88-R88)*(1+N88)^5)),""))</f>
        <v/>
      </c>
      <c r="T88" s="9">
        <f>IF(OR(E88="",N88=""),"",IFERROR((C88*N88-E88)/(C88+E88),""))</f>
        <v/>
      </c>
      <c r="U88" s="9">
        <f>IF(OR(H88="",T88=""),"",IFERROR(MIN(MAX(H88,'Léeme'!$B$17),'Léeme'!$B$18)-T88,""))</f>
        <v/>
      </c>
      <c r="V88" s="16">
        <f>IF(OR(I88="",M88="",L88=""),"",IFERROR((I88/M88-J88-K88)/L88,""))</f>
        <v/>
      </c>
      <c r="W88" s="11">
        <f>IFERROR(P88/C88-1,"")</f>
        <v/>
      </c>
      <c r="X88" s="11">
        <f>IFERROR(S88/C88-1,"")</f>
        <v/>
      </c>
      <c r="Y88" s="11">
        <f>IFERROR(V88/C88-1,"")</f>
        <v/>
      </c>
      <c r="Z88" s="3">
        <f>IF(OR(W88="",ISTEXT(W88)),"sin dato",IF(W88&gt;='Léeme'!$B$19,"barato",IF(W88&lt;=-'Léeme'!$B$19,"caro","medio")))</f>
        <v/>
      </c>
      <c r="AA88" s="3">
        <f>IF(OR(X88="",ISTEXT(X88)),"sin dato",IF(X88&gt;='Léeme'!$B$19,"barato",IF(X88&lt;=-'Léeme'!$B$19,"caro","medio")))</f>
        <v/>
      </c>
      <c r="AB88" s="3">
        <f>IF(OR(U88="",ISTEXT(U88)),"sin dato",IF(U88&gt;='Léeme'!$B$20,"barato",IF(U88&lt;=-'Léeme'!$B$20,"caro","medio")))</f>
        <v/>
      </c>
      <c r="AC88" s="3">
        <f>IF(OR(Y88="",ISTEXT(Y88)),"sin dato",IF(Y88&gt;='Léeme'!$B$19,"barato",IF(Y88&lt;=-'Léeme'!$B$19,"caro","medio")))</f>
        <v/>
      </c>
      <c r="AD88" s="7" t="n">
        <v>0.3693467336683417</v>
      </c>
      <c r="AE88" s="7" t="n">
        <v>0.5520231213872833</v>
      </c>
      <c r="AF88" s="7" t="n">
        <v>0.3034682080924855</v>
      </c>
      <c r="AG88" s="7" t="n"/>
    </row>
    <row r="89">
      <c r="A89" s="3" t="inlineStr">
        <is>
          <t>2019-T4</t>
        </is>
      </c>
      <c r="B89" s="13" t="n">
        <v>43830</v>
      </c>
      <c r="C89" s="14" t="n">
        <v>80.039998</v>
      </c>
      <c r="D89" s="14" t="n">
        <v>4.152</v>
      </c>
      <c r="E89" s="14" t="n">
        <v>5.39</v>
      </c>
      <c r="F89" s="5" t="n">
        <v>0.0192</v>
      </c>
      <c r="G89" s="5" t="n">
        <v>0.01787570744483902</v>
      </c>
      <c r="H89" s="5" t="n">
        <v>0.05015949367764128</v>
      </c>
      <c r="I89" s="17" t="n">
        <v>1088416000</v>
      </c>
      <c r="J89" s="17" t="n">
        <v>5765502000</v>
      </c>
      <c r="K89" s="17" t="n">
        <v>0</v>
      </c>
      <c r="L89" s="17" t="n">
        <v>172276402</v>
      </c>
      <c r="M89" s="5" t="n">
        <v>0.07000000000000001</v>
      </c>
      <c r="N89" s="9">
        <f>IF(F89="","",F89+'Léeme'!$B$10)</f>
        <v/>
      </c>
      <c r="O89" s="9">
        <f>IF(OR(G89="",N89=""),"",MIN(MAX(G89,'Léeme'!$B$11),'Léeme'!$B$12,N89-'Léeme'!$B$16))</f>
        <v/>
      </c>
      <c r="P89" s="16">
        <f>IF(OR(D89="",O89=""),"",IFERROR(IF(D89&lt;=0,"",D89*(1+O89)/(N89-O89)),""))</f>
        <v/>
      </c>
      <c r="Q89" s="9">
        <f>IF(H89="","",MIN(MAX(H89,'Léeme'!$B$13),'Léeme'!$B$14))</f>
        <v/>
      </c>
      <c r="R89" s="9">
        <f>IF(N89="","",MIN('Léeme'!$B$15,N89-'Léeme'!$B$16))</f>
        <v/>
      </c>
      <c r="S89" s="16">
        <f>IF(OR(E89="",Q89=""),"",IFERROR(IF(E89&lt;=0,"",E89*(((1+Q89)/(1+N89))+((1+Q89)/(1+N89))^2+((1+Q89)/(1+N89))^3+((1+Q89)/(1+N89))^4+((1+Q89)/(1+N89))^5)+E89*(1+Q89)^5*(1+R89)/((N89-R89)*(1+N89)^5)),""))</f>
        <v/>
      </c>
      <c r="T89" s="9">
        <f>IF(OR(E89="",N89=""),"",IFERROR((C89*N89-E89)/(C89+E89),""))</f>
        <v/>
      </c>
      <c r="U89" s="9">
        <f>IF(OR(H89="",T89=""),"",IFERROR(MIN(MAX(H89,'Léeme'!$B$17),'Léeme'!$B$18)-T89,""))</f>
        <v/>
      </c>
      <c r="V89" s="16">
        <f>IF(OR(I89="",M89="",L89=""),"",IFERROR((I89/M89-J89-K89)/L89,""))</f>
        <v/>
      </c>
      <c r="W89" s="11">
        <f>IFERROR(P89/C89-1,"")</f>
        <v/>
      </c>
      <c r="X89" s="11">
        <f>IFERROR(S89/C89-1,"")</f>
        <v/>
      </c>
      <c r="Y89" s="11">
        <f>IFERROR(V89/C89-1,"")</f>
        <v/>
      </c>
      <c r="Z89" s="3">
        <f>IF(OR(W89="",ISTEXT(W89)),"sin dato",IF(W89&gt;='Léeme'!$B$19,"barato",IF(W89&lt;=-'Léeme'!$B$19,"caro","medio")))</f>
        <v/>
      </c>
      <c r="AA89" s="3">
        <f>IF(OR(X89="",ISTEXT(X89)),"sin dato",IF(X89&gt;='Léeme'!$B$19,"barato",IF(X89&lt;=-'Léeme'!$B$19,"caro","medio")))</f>
        <v/>
      </c>
      <c r="AB89" s="3">
        <f>IF(OR(U89="",ISTEXT(U89)),"sin dato",IF(U89&gt;='Léeme'!$B$20,"barato",IF(U89&lt;=-'Léeme'!$B$20,"caro","medio")))</f>
        <v/>
      </c>
      <c r="AC89" s="3">
        <f>IF(OR(Y89="",ISTEXT(Y89)),"sin dato",IF(Y89&gt;='Léeme'!$B$19,"barato",IF(Y89&lt;=-'Léeme'!$B$19,"caro","medio")))</f>
        <v/>
      </c>
      <c r="AD89" s="7" t="n">
        <v>0.3688118811881188</v>
      </c>
      <c r="AE89" s="7" t="n">
        <v>0.5880681818181818</v>
      </c>
      <c r="AF89" s="7" t="n">
        <v>0.3664772727272727</v>
      </c>
      <c r="AG89" s="7" t="n"/>
    </row>
    <row r="90">
      <c r="A90" s="3" t="inlineStr">
        <is>
          <t>2020-T1</t>
        </is>
      </c>
      <c r="B90" s="13" t="n">
        <v>43921</v>
      </c>
      <c r="C90" s="14" t="n">
        <v>58.08</v>
      </c>
      <c r="D90" s="14" t="n">
        <v>4.16</v>
      </c>
      <c r="E90" s="14" t="n">
        <v>5.01</v>
      </c>
      <c r="F90" s="5" t="n">
        <v>0.006999999999999999</v>
      </c>
      <c r="G90" s="5" t="n">
        <v>0.01762574977033693</v>
      </c>
      <c r="H90" s="5" t="n">
        <v>0.008181049576469812</v>
      </c>
      <c r="I90" s="17" t="n">
        <v>1083380000</v>
      </c>
      <c r="J90" s="17" t="n">
        <v>5857915000</v>
      </c>
      <c r="K90" s="17" t="n">
        <v>0</v>
      </c>
      <c r="L90" s="17" t="n">
        <v>172278242</v>
      </c>
      <c r="M90" s="5" t="n">
        <v>0.07000000000000001</v>
      </c>
      <c r="N90" s="9">
        <f>IF(F90="","",F90+'Léeme'!$B$10)</f>
        <v/>
      </c>
      <c r="O90" s="9">
        <f>IF(OR(G90="",N90=""),"",MIN(MAX(G90,'Léeme'!$B$11),'Léeme'!$B$12,N90-'Léeme'!$B$16))</f>
        <v/>
      </c>
      <c r="P90" s="16">
        <f>IF(OR(D90="",O90=""),"",IFERROR(IF(D90&lt;=0,"",D90*(1+O90)/(N90-O90)),""))</f>
        <v/>
      </c>
      <c r="Q90" s="9">
        <f>IF(H90="","",MIN(MAX(H90,'Léeme'!$B$13),'Léeme'!$B$14))</f>
        <v/>
      </c>
      <c r="R90" s="9">
        <f>IF(N90="","",MIN('Léeme'!$B$15,N90-'Léeme'!$B$16))</f>
        <v/>
      </c>
      <c r="S90" s="16">
        <f>IF(OR(E90="",Q90=""),"",IFERROR(IF(E90&lt;=0,"",E90*(((1+Q90)/(1+N90))+((1+Q90)/(1+N90))^2+((1+Q90)/(1+N90))^3+((1+Q90)/(1+N90))^4+((1+Q90)/(1+N90))^5)+E90*(1+Q90)^5*(1+R90)/((N90-R90)*(1+N90)^5)),""))</f>
        <v/>
      </c>
      <c r="T90" s="9">
        <f>IF(OR(E90="",N90=""),"",IFERROR((C90*N90-E90)/(C90+E90),""))</f>
        <v/>
      </c>
      <c r="U90" s="9">
        <f>IF(OR(H90="",T90=""),"",IFERROR(MIN(MAX(H90,'Léeme'!$B$17),'Léeme'!$B$18)-T90,""))</f>
        <v/>
      </c>
      <c r="V90" s="16">
        <f>IF(OR(I90="",M90="",L90=""),"",IFERROR((I90/M90-J90-K90)/L90,""))</f>
        <v/>
      </c>
      <c r="W90" s="11">
        <f>IFERROR(P90/C90-1,"")</f>
        <v/>
      </c>
      <c r="X90" s="11">
        <f>IFERROR(S90/C90-1,"")</f>
        <v/>
      </c>
      <c r="Y90" s="11">
        <f>IFERROR(V90/C90-1,"")</f>
        <v/>
      </c>
      <c r="Z90" s="3">
        <f>IF(OR(W90="",ISTEXT(W90)),"sin dato",IF(W90&gt;='Léeme'!$B$19,"barato",IF(W90&lt;=-'Léeme'!$B$19,"caro","medio")))</f>
        <v/>
      </c>
      <c r="AA90" s="3">
        <f>IF(OR(X90="",ISTEXT(X90)),"sin dato",IF(X90&gt;='Léeme'!$B$19,"barato",IF(X90&lt;=-'Léeme'!$B$19,"caro","medio")))</f>
        <v/>
      </c>
      <c r="AB90" s="3">
        <f>IF(OR(U90="",ISTEXT(U90)),"sin dato",IF(U90&gt;='Léeme'!$B$20,"barato",IF(U90&lt;=-'Léeme'!$B$20,"caro","medio")))</f>
        <v/>
      </c>
      <c r="AC90" s="3">
        <f>IF(OR(Y90="",ISTEXT(Y90)),"sin dato",IF(Y90&gt;='Léeme'!$B$19,"barato",IF(Y90&lt;=-'Léeme'!$B$19,"caro","medio")))</f>
        <v/>
      </c>
      <c r="AD90" s="7" t="n">
        <v>0.9975609756097561</v>
      </c>
      <c r="AE90" s="7" t="n">
        <v>0.9189944134078212</v>
      </c>
      <c r="AF90" s="7" t="n">
        <v>0.276536312849162</v>
      </c>
      <c r="AG90" s="7" t="n"/>
    </row>
    <row r="91">
      <c r="A91" s="3" t="inlineStr">
        <is>
          <t>2020-T2</t>
        </is>
      </c>
      <c r="B91" s="13" t="n">
        <v>44012</v>
      </c>
      <c r="C91" s="14" t="n">
        <v>67.649998</v>
      </c>
      <c r="D91" s="14" t="n">
        <v>4.168</v>
      </c>
      <c r="E91" s="14" t="n">
        <v>5.05</v>
      </c>
      <c r="F91" s="5" t="n">
        <v>0.0066</v>
      </c>
      <c r="G91" s="5" t="n">
        <v>0.01780333330087558</v>
      </c>
      <c r="H91" s="5" t="n">
        <v>0.009785802706880009</v>
      </c>
      <c r="I91" s="17" t="n">
        <v>1089484000</v>
      </c>
      <c r="J91" s="17" t="n">
        <v>5900714000</v>
      </c>
      <c r="K91" s="17" t="n">
        <v>0</v>
      </c>
      <c r="L91" s="17" t="n">
        <v>172402516</v>
      </c>
      <c r="M91" s="5" t="n">
        <v>0.067</v>
      </c>
      <c r="N91" s="9">
        <f>IF(F91="","",F91+'Léeme'!$B$10)</f>
        <v/>
      </c>
      <c r="O91" s="9">
        <f>IF(OR(G91="",N91=""),"",MIN(MAX(G91,'Léeme'!$B$11),'Léeme'!$B$12,N91-'Léeme'!$B$16))</f>
        <v/>
      </c>
      <c r="P91" s="16">
        <f>IF(OR(D91="",O91=""),"",IFERROR(IF(D91&lt;=0,"",D91*(1+O91)/(N91-O91)),""))</f>
        <v/>
      </c>
      <c r="Q91" s="9">
        <f>IF(H91="","",MIN(MAX(H91,'Léeme'!$B$13),'Léeme'!$B$14))</f>
        <v/>
      </c>
      <c r="R91" s="9">
        <f>IF(N91="","",MIN('Léeme'!$B$15,N91-'Léeme'!$B$16))</f>
        <v/>
      </c>
      <c r="S91" s="16">
        <f>IF(OR(E91="",Q91=""),"",IFERROR(IF(E91&lt;=0,"",E91*(((1+Q91)/(1+N91))+((1+Q91)/(1+N91))^2+((1+Q91)/(1+N91))^3+((1+Q91)/(1+N91))^4+((1+Q91)/(1+N91))^5)+E91*(1+Q91)^5*(1+R91)/((N91-R91)*(1+N91)^5)),""))</f>
        <v/>
      </c>
      <c r="T91" s="9">
        <f>IF(OR(E91="",N91=""),"",IFERROR((C91*N91-E91)/(C91+E91),""))</f>
        <v/>
      </c>
      <c r="U91" s="9">
        <f>IF(OR(H91="",T91=""),"",IFERROR(MIN(MAX(H91,'Léeme'!$B$17),'Léeme'!$B$18)-T91,""))</f>
        <v/>
      </c>
      <c r="V91" s="16">
        <f>IF(OR(I91="",M91="",L91=""),"",IFERROR((I91/M91-J91-K91)/L91,""))</f>
        <v/>
      </c>
      <c r="W91" s="11">
        <f>IFERROR(P91/C91-1,"")</f>
        <v/>
      </c>
      <c r="X91" s="11">
        <f>IFERROR(S91/C91-1,"")</f>
        <v/>
      </c>
      <c r="Y91" s="11">
        <f>IFERROR(V91/C91-1,"")</f>
        <v/>
      </c>
      <c r="Z91" s="3">
        <f>IF(OR(W91="",ISTEXT(W91)),"sin dato",IF(W91&gt;='Léeme'!$B$19,"barato",IF(W91&lt;=-'Léeme'!$B$19,"caro","medio")))</f>
        <v/>
      </c>
      <c r="AA91" s="3">
        <f>IF(OR(X91="",ISTEXT(X91)),"sin dato",IF(X91&gt;='Léeme'!$B$19,"barato",IF(X91&lt;=-'Léeme'!$B$19,"caro","medio")))</f>
        <v/>
      </c>
      <c r="AB91" s="3">
        <f>IF(OR(U91="",ISTEXT(U91)),"sin dato",IF(U91&gt;='Léeme'!$B$20,"barato",IF(U91&lt;=-'Léeme'!$B$20,"caro","medio")))</f>
        <v/>
      </c>
      <c r="AC91" s="3">
        <f>IF(OR(Y91="",ISTEXT(Y91)),"sin dato",IF(Y91&gt;='Léeme'!$B$19,"barato",IF(Y91&lt;=-'Léeme'!$B$19,"caro","medio")))</f>
        <v/>
      </c>
      <c r="AD91" s="7" t="n">
        <v>0.8389423076923077</v>
      </c>
      <c r="AE91" s="7" t="n">
        <v>0.8434065934065934</v>
      </c>
      <c r="AF91" s="7" t="n">
        <v>0.2774725274725275</v>
      </c>
      <c r="AG91" s="7" t="n"/>
    </row>
    <row r="92">
      <c r="A92" s="3" t="inlineStr">
        <is>
          <t>2020-T3</t>
        </is>
      </c>
      <c r="B92" s="13" t="n">
        <v>44104</v>
      </c>
      <c r="C92" s="14" t="n">
        <v>65.16000200000001</v>
      </c>
      <c r="D92" s="14" t="n">
        <v>4.176</v>
      </c>
      <c r="E92" s="14" t="n">
        <v>4.97</v>
      </c>
      <c r="F92" s="5" t="n">
        <v>0.0069</v>
      </c>
      <c r="G92" s="5" t="n">
        <v>0.01798063465641642</v>
      </c>
      <c r="H92" s="5" t="n">
        <v>0.006566013568346962</v>
      </c>
      <c r="I92" s="17" t="n">
        <v>1028400000</v>
      </c>
      <c r="J92" s="17" t="n">
        <v>5985110000</v>
      </c>
      <c r="K92" s="17" t="n">
        <v>0</v>
      </c>
      <c r="L92" s="17" t="n">
        <v>173890427</v>
      </c>
      <c r="M92" s="5" t="n">
        <v>0.067</v>
      </c>
      <c r="N92" s="9">
        <f>IF(F92="","",F92+'Léeme'!$B$10)</f>
        <v/>
      </c>
      <c r="O92" s="9">
        <f>IF(OR(G92="",N92=""),"",MIN(MAX(G92,'Léeme'!$B$11),'Léeme'!$B$12,N92-'Léeme'!$B$16))</f>
        <v/>
      </c>
      <c r="P92" s="16">
        <f>IF(OR(D92="",O92=""),"",IFERROR(IF(D92&lt;=0,"",D92*(1+O92)/(N92-O92)),""))</f>
        <v/>
      </c>
      <c r="Q92" s="9">
        <f>IF(H92="","",MIN(MAX(H92,'Léeme'!$B$13),'Léeme'!$B$14))</f>
        <v/>
      </c>
      <c r="R92" s="9">
        <f>IF(N92="","",MIN('Léeme'!$B$15,N92-'Léeme'!$B$16))</f>
        <v/>
      </c>
      <c r="S92" s="16">
        <f>IF(OR(E92="",Q92=""),"",IFERROR(IF(E92&lt;=0,"",E92*(((1+Q92)/(1+N92))+((1+Q92)/(1+N92))^2+((1+Q92)/(1+N92))^3+((1+Q92)/(1+N92))^4+((1+Q92)/(1+N92))^5)+E92*(1+Q92)^5*(1+R92)/((N92-R92)*(1+N92)^5)),""))</f>
        <v/>
      </c>
      <c r="T92" s="9">
        <f>IF(OR(E92="",N92=""),"",IFERROR((C92*N92-E92)/(C92+E92),""))</f>
        <v/>
      </c>
      <c r="U92" s="9">
        <f>IF(OR(H92="",T92=""),"",IFERROR(MIN(MAX(H92,'Léeme'!$B$17),'Léeme'!$B$18)-T92,""))</f>
        <v/>
      </c>
      <c r="V92" s="16">
        <f>IF(OR(I92="",M92="",L92=""),"",IFERROR((I92/M92-J92-K92)/L92,""))</f>
        <v/>
      </c>
      <c r="W92" s="11">
        <f>IFERROR(P92/C92-1,"")</f>
        <v/>
      </c>
      <c r="X92" s="11">
        <f>IFERROR(S92/C92-1,"")</f>
        <v/>
      </c>
      <c r="Y92" s="11">
        <f>IFERROR(V92/C92-1,"")</f>
        <v/>
      </c>
      <c r="Z92" s="3">
        <f>IF(OR(W92="",ISTEXT(W92)),"sin dato",IF(W92&gt;='Léeme'!$B$19,"barato",IF(W92&lt;=-'Léeme'!$B$19,"caro","medio")))</f>
        <v/>
      </c>
      <c r="AA92" s="3">
        <f>IF(OR(X92="",ISTEXT(X92)),"sin dato",IF(X92&gt;='Léeme'!$B$19,"barato",IF(X92&lt;=-'Léeme'!$B$19,"caro","medio")))</f>
        <v/>
      </c>
      <c r="AB92" s="3">
        <f>IF(OR(U92="",ISTEXT(U92)),"sin dato",IF(U92&gt;='Léeme'!$B$20,"barato",IF(U92&lt;=-'Léeme'!$B$20,"caro","medio")))</f>
        <v/>
      </c>
      <c r="AC92" s="3">
        <f>IF(OR(Y92="",ISTEXT(Y92)),"sin dato",IF(Y92&gt;='Léeme'!$B$19,"barato",IF(Y92&lt;=-'Léeme'!$B$19,"caro","medio")))</f>
        <v/>
      </c>
      <c r="AD92" s="7" t="n">
        <v>0.9123222748815166</v>
      </c>
      <c r="AE92" s="7" t="n">
        <v>0.845945945945946</v>
      </c>
      <c r="AF92" s="7" t="n">
        <v>0.272972972972973</v>
      </c>
      <c r="AG92" s="7" t="n"/>
    </row>
    <row r="93">
      <c r="A93" s="3" t="inlineStr">
        <is>
          <t>2020-T4</t>
        </is>
      </c>
      <c r="B93" s="13" t="n">
        <v>44196</v>
      </c>
      <c r="C93" s="14" t="n">
        <v>70.579998</v>
      </c>
      <c r="D93" s="14" t="n">
        <v>4.184</v>
      </c>
      <c r="E93" s="14" t="n">
        <v>4.82</v>
      </c>
      <c r="F93" s="5" t="n">
        <v>0.009300000000000001</v>
      </c>
      <c r="G93" s="5" t="n">
        <v>0.01625073858769266</v>
      </c>
      <c r="H93" s="5" t="n">
        <v>0.0004154550665285139</v>
      </c>
      <c r="I93" s="17" t="n">
        <v>1071720000</v>
      </c>
      <c r="J93" s="17" t="n">
        <v>6082245000</v>
      </c>
      <c r="K93" s="17" t="n">
        <v>0</v>
      </c>
      <c r="L93" s="17" t="n">
        <v>175396158</v>
      </c>
      <c r="M93" s="5" t="n">
        <v>0.067</v>
      </c>
      <c r="N93" s="9">
        <f>IF(F93="","",F93+'Léeme'!$B$10)</f>
        <v/>
      </c>
      <c r="O93" s="9">
        <f>IF(OR(G93="",N93=""),"",MIN(MAX(G93,'Léeme'!$B$11),'Léeme'!$B$12,N93-'Léeme'!$B$16))</f>
        <v/>
      </c>
      <c r="P93" s="16">
        <f>IF(OR(D93="",O93=""),"",IFERROR(IF(D93&lt;=0,"",D93*(1+O93)/(N93-O93)),""))</f>
        <v/>
      </c>
      <c r="Q93" s="9">
        <f>IF(H93="","",MIN(MAX(H93,'Léeme'!$B$13),'Léeme'!$B$14))</f>
        <v/>
      </c>
      <c r="R93" s="9">
        <f>IF(N93="","",MIN('Léeme'!$B$15,N93-'Léeme'!$B$16))</f>
        <v/>
      </c>
      <c r="S93" s="16">
        <f>IF(OR(E93="",Q93=""),"",IFERROR(IF(E93&lt;=0,"",E93*(((1+Q93)/(1+N93))+((1+Q93)/(1+N93))^2+((1+Q93)/(1+N93))^3+((1+Q93)/(1+N93))^4+((1+Q93)/(1+N93))^5)+E93*(1+Q93)^5*(1+R93)/((N93-R93)*(1+N93)^5)),""))</f>
        <v/>
      </c>
      <c r="T93" s="9">
        <f>IF(OR(E93="",N93=""),"",IFERROR((C93*N93-E93)/(C93+E93),""))</f>
        <v/>
      </c>
      <c r="U93" s="9">
        <f>IF(OR(H93="",T93=""),"",IFERROR(MIN(MAX(H93,'Léeme'!$B$17),'Léeme'!$B$18)-T93,""))</f>
        <v/>
      </c>
      <c r="V93" s="16">
        <f>IF(OR(I93="",M93="",L93=""),"",IFERROR((I93/M93-J93-K93)/L93,""))</f>
        <v/>
      </c>
      <c r="W93" s="11">
        <f>IFERROR(P93/C93-1,"")</f>
        <v/>
      </c>
      <c r="X93" s="11">
        <f>IFERROR(S93/C93-1,"")</f>
        <v/>
      </c>
      <c r="Y93" s="11">
        <f>IFERROR(V93/C93-1,"")</f>
        <v/>
      </c>
      <c r="Z93" s="3">
        <f>IF(OR(W93="",ISTEXT(W93)),"sin dato",IF(W93&gt;='Léeme'!$B$19,"barato",IF(W93&lt;=-'Léeme'!$B$19,"caro","medio")))</f>
        <v/>
      </c>
      <c r="AA93" s="3">
        <f>IF(OR(X93="",ISTEXT(X93)),"sin dato",IF(X93&gt;='Léeme'!$B$19,"barato",IF(X93&lt;=-'Léeme'!$B$19,"caro","medio")))</f>
        <v/>
      </c>
      <c r="AB93" s="3">
        <f>IF(OR(U93="",ISTEXT(U93)),"sin dato",IF(U93&gt;='Léeme'!$B$20,"barato",IF(U93&lt;=-'Léeme'!$B$20,"caro","medio")))</f>
        <v/>
      </c>
      <c r="AC93" s="3">
        <f>IF(OR(Y93="",ISTEXT(Y93)),"sin dato",IF(Y93&gt;='Léeme'!$B$19,"barato",IF(Y93&lt;=-'Léeme'!$B$19,"caro","medio")))</f>
        <v/>
      </c>
      <c r="AD93" s="7" t="n">
        <v>0.5864485981308412</v>
      </c>
      <c r="AE93" s="7" t="n">
        <v>0.6888297872340425</v>
      </c>
      <c r="AF93" s="7" t="n">
        <v>0.1143617021276596</v>
      </c>
      <c r="AG93" s="7" t="n"/>
    </row>
    <row r="94">
      <c r="A94" s="3" t="inlineStr">
        <is>
          <t>2021-T1</t>
        </is>
      </c>
      <c r="B94" s="13" t="n">
        <v>44286</v>
      </c>
      <c r="C94" s="14" t="n">
        <v>70.76000000000001</v>
      </c>
      <c r="D94" s="14" t="n">
        <v>4.192</v>
      </c>
      <c r="E94" s="14" t="n">
        <v>4.739999999999999</v>
      </c>
      <c r="F94" s="5" t="n">
        <v>0.0174</v>
      </c>
      <c r="G94" s="5" t="n">
        <v>0.01475328323991643</v>
      </c>
      <c r="H94" s="5" t="n">
        <v>-0.01022709871683758</v>
      </c>
      <c r="I94" s="17" t="n">
        <v>1100128000</v>
      </c>
      <c r="J94" s="17" t="n">
        <v>6447336000</v>
      </c>
      <c r="K94" s="17" t="n">
        <v>0</v>
      </c>
      <c r="L94" s="17" t="n">
        <v>175401757</v>
      </c>
      <c r="M94" s="5" t="n">
        <v>0.065</v>
      </c>
      <c r="N94" s="9">
        <f>IF(F94="","",F94+'Léeme'!$B$10)</f>
        <v/>
      </c>
      <c r="O94" s="9">
        <f>IF(OR(G94="",N94=""),"",MIN(MAX(G94,'Léeme'!$B$11),'Léeme'!$B$12,N94-'Léeme'!$B$16))</f>
        <v/>
      </c>
      <c r="P94" s="16">
        <f>IF(OR(D94="",O94=""),"",IFERROR(IF(D94&lt;=0,"",D94*(1+O94)/(N94-O94)),""))</f>
        <v/>
      </c>
      <c r="Q94" s="9">
        <f>IF(H94="","",MIN(MAX(H94,'Léeme'!$B$13),'Léeme'!$B$14))</f>
        <v/>
      </c>
      <c r="R94" s="9">
        <f>IF(N94="","",MIN('Léeme'!$B$15,N94-'Léeme'!$B$16))</f>
        <v/>
      </c>
      <c r="S94" s="16">
        <f>IF(OR(E94="",Q94=""),"",IFERROR(IF(E94&lt;=0,"",E94*(((1+Q94)/(1+N94))+((1+Q94)/(1+N94))^2+((1+Q94)/(1+N94))^3+((1+Q94)/(1+N94))^4+((1+Q94)/(1+N94))^5)+E94*(1+Q94)^5*(1+R94)/((N94-R94)*(1+N94)^5)),""))</f>
        <v/>
      </c>
      <c r="T94" s="9">
        <f>IF(OR(E94="",N94=""),"",IFERROR((C94*N94-E94)/(C94+E94),""))</f>
        <v/>
      </c>
      <c r="U94" s="9">
        <f>IF(OR(H94="",T94=""),"",IFERROR(MIN(MAX(H94,'Léeme'!$B$17),'Léeme'!$B$18)-T94,""))</f>
        <v/>
      </c>
      <c r="V94" s="16">
        <f>IF(OR(I94="",M94="",L94=""),"",IFERROR((I94/M94-J94-K94)/L94,""))</f>
        <v/>
      </c>
      <c r="W94" s="11">
        <f>IFERROR(P94/C94-1,"")</f>
        <v/>
      </c>
      <c r="X94" s="11">
        <f>IFERROR(S94/C94-1,"")</f>
        <v/>
      </c>
      <c r="Y94" s="11">
        <f>IFERROR(V94/C94-1,"")</f>
        <v/>
      </c>
      <c r="Z94" s="3">
        <f>IF(OR(W94="",ISTEXT(W94)),"sin dato",IF(W94&gt;='Léeme'!$B$19,"barato",IF(W94&lt;=-'Léeme'!$B$19,"caro","medio")))</f>
        <v/>
      </c>
      <c r="AA94" s="3">
        <f>IF(OR(X94="",ISTEXT(X94)),"sin dato",IF(X94&gt;='Léeme'!$B$19,"barato",IF(X94&lt;=-'Léeme'!$B$19,"caro","medio")))</f>
        <v/>
      </c>
      <c r="AB94" s="3">
        <f>IF(OR(U94="",ISTEXT(U94)),"sin dato",IF(U94&gt;='Léeme'!$B$20,"barato",IF(U94&lt;=-'Léeme'!$B$20,"caro","medio")))</f>
        <v/>
      </c>
      <c r="AC94" s="3">
        <f>IF(OR(Y94="",ISTEXT(Y94)),"sin dato",IF(Y94&gt;='Léeme'!$B$19,"barato",IF(Y94&lt;=-'Léeme'!$B$19,"caro","medio")))</f>
        <v/>
      </c>
      <c r="AD94" s="7" t="n">
        <v>0.3709677419354839</v>
      </c>
      <c r="AE94" s="7" t="n">
        <v>0.2225130890052356</v>
      </c>
      <c r="AF94" s="7" t="n">
        <v>0.01308900523560209</v>
      </c>
      <c r="AG94" s="7" t="n"/>
    </row>
    <row r="95">
      <c r="A95" s="3" t="inlineStr">
        <is>
          <t>2021-T2</t>
        </is>
      </c>
      <c r="B95" s="13" t="n">
        <v>44377</v>
      </c>
      <c r="C95" s="14" t="n">
        <v>74.620002</v>
      </c>
      <c r="D95" s="14" t="n">
        <v>4.2</v>
      </c>
      <c r="E95" s="14" t="n">
        <v>4.71</v>
      </c>
      <c r="F95" s="5" t="n">
        <v>0.0145</v>
      </c>
      <c r="G95" s="5" t="n">
        <v>0.01389421401466451</v>
      </c>
      <c r="H95" s="5" t="n">
        <v>-0.0114831597463908</v>
      </c>
      <c r="I95" s="17" t="n">
        <v>1106672000</v>
      </c>
      <c r="J95" s="17" t="n">
        <v>6291221000</v>
      </c>
      <c r="K95" s="17" t="n">
        <v>0</v>
      </c>
      <c r="L95" s="17" t="n">
        <v>177520962</v>
      </c>
      <c r="M95" s="5" t="n">
        <v>0.065</v>
      </c>
      <c r="N95" s="9">
        <f>IF(F95="","",F95+'Léeme'!$B$10)</f>
        <v/>
      </c>
      <c r="O95" s="9">
        <f>IF(OR(G95="",N95=""),"",MIN(MAX(G95,'Léeme'!$B$11),'Léeme'!$B$12,N95-'Léeme'!$B$16))</f>
        <v/>
      </c>
      <c r="P95" s="16">
        <f>IF(OR(D95="",O95=""),"",IFERROR(IF(D95&lt;=0,"",D95*(1+O95)/(N95-O95)),""))</f>
        <v/>
      </c>
      <c r="Q95" s="9">
        <f>IF(H95="","",MIN(MAX(H95,'Léeme'!$B$13),'Léeme'!$B$14))</f>
        <v/>
      </c>
      <c r="R95" s="9">
        <f>IF(N95="","",MIN('Léeme'!$B$15,N95-'Léeme'!$B$16))</f>
        <v/>
      </c>
      <c r="S95" s="16">
        <f>IF(OR(E95="",Q95=""),"",IFERROR(IF(E95&lt;=0,"",E95*(((1+Q95)/(1+N95))+((1+Q95)/(1+N95))^2+((1+Q95)/(1+N95))^3+((1+Q95)/(1+N95))^4+((1+Q95)/(1+N95))^5)+E95*(1+Q95)^5*(1+R95)/((N95-R95)*(1+N95)^5)),""))</f>
        <v/>
      </c>
      <c r="T95" s="9">
        <f>IF(OR(E95="",N95=""),"",IFERROR((C95*N95-E95)/(C95+E95),""))</f>
        <v/>
      </c>
      <c r="U95" s="9">
        <f>IF(OR(H95="",T95=""),"",IFERROR(MIN(MAX(H95,'Léeme'!$B$17),'Léeme'!$B$18)-T95,""))</f>
        <v/>
      </c>
      <c r="V95" s="16">
        <f>IF(OR(I95="",M95="",L95=""),"",IFERROR((I95/M95-J95-K95)/L95,""))</f>
        <v/>
      </c>
      <c r="W95" s="11">
        <f>IFERROR(P95/C95-1,"")</f>
        <v/>
      </c>
      <c r="X95" s="11">
        <f>IFERROR(S95/C95-1,"")</f>
        <v/>
      </c>
      <c r="Y95" s="11">
        <f>IFERROR(V95/C95-1,"")</f>
        <v/>
      </c>
      <c r="Z95" s="3">
        <f>IF(OR(W95="",ISTEXT(W95)),"sin dato",IF(W95&gt;='Léeme'!$B$19,"barato",IF(W95&lt;=-'Léeme'!$B$19,"caro","medio")))</f>
        <v/>
      </c>
      <c r="AA95" s="3">
        <f>IF(OR(X95="",ISTEXT(X95)),"sin dato",IF(X95&gt;='Léeme'!$B$19,"barato",IF(X95&lt;=-'Léeme'!$B$19,"caro","medio")))</f>
        <v/>
      </c>
      <c r="AB95" s="3">
        <f>IF(OR(U95="",ISTEXT(U95)),"sin dato",IF(U95&gt;='Léeme'!$B$20,"barato",IF(U95&lt;=-'Léeme'!$B$20,"caro","medio")))</f>
        <v/>
      </c>
      <c r="AC95" s="3">
        <f>IF(OR(Y95="",ISTEXT(Y95)),"sin dato",IF(Y95&gt;='Léeme'!$B$19,"barato",IF(Y95&lt;=-'Léeme'!$B$19,"caro","medio")))</f>
        <v/>
      </c>
      <c r="AD95" s="7" t="n">
        <v>0.3840909090909091</v>
      </c>
      <c r="AE95" s="7" t="n">
        <v>0.3324742268041237</v>
      </c>
      <c r="AF95" s="7" t="n">
        <v>0.01804123711340206</v>
      </c>
      <c r="AG95" s="7" t="n"/>
    </row>
    <row r="96">
      <c r="A96" s="3" t="inlineStr">
        <is>
          <t>2021-T3</t>
        </is>
      </c>
      <c r="B96" s="13" t="n">
        <v>44469</v>
      </c>
      <c r="C96" s="14" t="n">
        <v>73.039996</v>
      </c>
      <c r="D96" s="14" t="n">
        <v>4.208</v>
      </c>
      <c r="E96" s="14" t="n">
        <v>4.84</v>
      </c>
      <c r="F96" s="5" t="n">
        <v>0.0152</v>
      </c>
      <c r="G96" s="5" t="n">
        <v>0.01324834222184812</v>
      </c>
      <c r="H96" s="5" t="n">
        <v>-0.00608564479866025</v>
      </c>
      <c r="I96" s="17" t="n">
        <v>1133404000</v>
      </c>
      <c r="J96" s="17" t="n">
        <v>6651332000</v>
      </c>
      <c r="K96" s="17" t="n">
        <v>0</v>
      </c>
      <c r="L96" s="17" t="n">
        <v>184253151</v>
      </c>
      <c r="M96" s="5" t="n">
        <v>0.065</v>
      </c>
      <c r="N96" s="9">
        <f>IF(F96="","",F96+'Léeme'!$B$10)</f>
        <v/>
      </c>
      <c r="O96" s="9">
        <f>IF(OR(G96="",N96=""),"",MIN(MAX(G96,'Léeme'!$B$11),'Léeme'!$B$12,N96-'Léeme'!$B$16))</f>
        <v/>
      </c>
      <c r="P96" s="16">
        <f>IF(OR(D96="",O96=""),"",IFERROR(IF(D96&lt;=0,"",D96*(1+O96)/(N96-O96)),""))</f>
        <v/>
      </c>
      <c r="Q96" s="9">
        <f>IF(H96="","",MIN(MAX(H96,'Léeme'!$B$13),'Léeme'!$B$14))</f>
        <v/>
      </c>
      <c r="R96" s="9">
        <f>IF(N96="","",MIN('Léeme'!$B$15,N96-'Léeme'!$B$16))</f>
        <v/>
      </c>
      <c r="S96" s="16">
        <f>IF(OR(E96="",Q96=""),"",IFERROR(IF(E96&lt;=0,"",E96*(((1+Q96)/(1+N96))+((1+Q96)/(1+N96))^2+((1+Q96)/(1+N96))^3+((1+Q96)/(1+N96))^4+((1+Q96)/(1+N96))^5)+E96*(1+Q96)^5*(1+R96)/((N96-R96)*(1+N96)^5)),""))</f>
        <v/>
      </c>
      <c r="T96" s="9">
        <f>IF(OR(E96="",N96=""),"",IFERROR((C96*N96-E96)/(C96+E96),""))</f>
        <v/>
      </c>
      <c r="U96" s="9">
        <f>IF(OR(H96="",T96=""),"",IFERROR(MIN(MAX(H96,'Léeme'!$B$17),'Léeme'!$B$18)-T96,""))</f>
        <v/>
      </c>
      <c r="V96" s="16">
        <f>IF(OR(I96="",M96="",L96=""),"",IFERROR((I96/M96-J96-K96)/L96,""))</f>
        <v/>
      </c>
      <c r="W96" s="11">
        <f>IFERROR(P96/C96-1,"")</f>
        <v/>
      </c>
      <c r="X96" s="11">
        <f>IFERROR(S96/C96-1,"")</f>
        <v/>
      </c>
      <c r="Y96" s="11">
        <f>IFERROR(V96/C96-1,"")</f>
        <v/>
      </c>
      <c r="Z96" s="3">
        <f>IF(OR(W96="",ISTEXT(W96)),"sin dato",IF(W96&gt;='Léeme'!$B$19,"barato",IF(W96&lt;=-'Léeme'!$B$19,"caro","medio")))</f>
        <v/>
      </c>
      <c r="AA96" s="3">
        <f>IF(OR(X96="",ISTEXT(X96)),"sin dato",IF(X96&gt;='Léeme'!$B$19,"barato",IF(X96&lt;=-'Léeme'!$B$19,"caro","medio")))</f>
        <v/>
      </c>
      <c r="AB96" s="3">
        <f>IF(OR(U96="",ISTEXT(U96)),"sin dato",IF(U96&gt;='Léeme'!$B$20,"barato",IF(U96&lt;=-'Léeme'!$B$20,"caro","medio")))</f>
        <v/>
      </c>
      <c r="AC96" s="3">
        <f>IF(OR(Y96="",ISTEXT(Y96)),"sin dato",IF(Y96&gt;='Léeme'!$B$19,"barato",IF(Y96&lt;=-'Léeme'!$B$19,"caro","medio")))</f>
        <v/>
      </c>
      <c r="AD96" s="7" t="n">
        <v>0.3699551569506727</v>
      </c>
      <c r="AE96" s="7" t="n">
        <v>0.3781725888324873</v>
      </c>
      <c r="AF96" s="7" t="n">
        <v>0.0583756345177665</v>
      </c>
      <c r="AG96" s="7" t="n"/>
    </row>
    <row r="97">
      <c r="A97" s="3" t="inlineStr">
        <is>
          <t>2021-T4</t>
        </is>
      </c>
      <c r="B97" s="13" t="n">
        <v>44561</v>
      </c>
      <c r="C97" s="14" t="n">
        <v>82.049999</v>
      </c>
      <c r="D97" s="14" t="n">
        <v>4.22</v>
      </c>
      <c r="E97" s="14" t="n">
        <v>4.93</v>
      </c>
      <c r="F97" s="5" t="n">
        <v>0.0152</v>
      </c>
      <c r="G97" s="5" t="n">
        <v>0.01279944108498698</v>
      </c>
      <c r="H97" s="5" t="n">
        <v>-0.002416459990321251</v>
      </c>
      <c r="I97" s="17" t="n">
        <v>1157732000</v>
      </c>
      <c r="J97" s="17" t="n">
        <v>6545231000</v>
      </c>
      <c r="K97" s="17" t="n">
        <v>0</v>
      </c>
      <c r="L97" s="17" t="n">
        <v>186284955</v>
      </c>
      <c r="M97" s="5" t="n">
        <v>0.065</v>
      </c>
      <c r="N97" s="9">
        <f>IF(F97="","",F97+'Léeme'!$B$10)</f>
        <v/>
      </c>
      <c r="O97" s="9">
        <f>IF(OR(G97="",N97=""),"",MIN(MAX(G97,'Léeme'!$B$11),'Léeme'!$B$12,N97-'Léeme'!$B$16))</f>
        <v/>
      </c>
      <c r="P97" s="16">
        <f>IF(OR(D97="",O97=""),"",IFERROR(IF(D97&lt;=0,"",D97*(1+O97)/(N97-O97)),""))</f>
        <v/>
      </c>
      <c r="Q97" s="9">
        <f>IF(H97="","",MIN(MAX(H97,'Léeme'!$B$13),'Léeme'!$B$14))</f>
        <v/>
      </c>
      <c r="R97" s="9">
        <f>IF(N97="","",MIN('Léeme'!$B$15,N97-'Léeme'!$B$16))</f>
        <v/>
      </c>
      <c r="S97" s="16">
        <f>IF(OR(E97="",Q97=""),"",IFERROR(IF(E97&lt;=0,"",E97*(((1+Q97)/(1+N97))+((1+Q97)/(1+N97))^2+((1+Q97)/(1+N97))^3+((1+Q97)/(1+N97))^4+((1+Q97)/(1+N97))^5)+E97*(1+Q97)^5*(1+R97)/((N97-R97)*(1+N97)^5)),""))</f>
        <v/>
      </c>
      <c r="T97" s="9">
        <f>IF(OR(E97="",N97=""),"",IFERROR((C97*N97-E97)/(C97+E97),""))</f>
        <v/>
      </c>
      <c r="U97" s="9">
        <f>IF(OR(H97="",T97=""),"",IFERROR(MIN(MAX(H97,'Léeme'!$B$17),'Léeme'!$B$18)-T97,""))</f>
        <v/>
      </c>
      <c r="V97" s="16">
        <f>IF(OR(I97="",M97="",L97=""),"",IFERROR((I97/M97-J97-K97)/L97,""))</f>
        <v/>
      </c>
      <c r="W97" s="11">
        <f>IFERROR(P97/C97-1,"")</f>
        <v/>
      </c>
      <c r="X97" s="11">
        <f>IFERROR(S97/C97-1,"")</f>
        <v/>
      </c>
      <c r="Y97" s="11">
        <f>IFERROR(V97/C97-1,"")</f>
        <v/>
      </c>
      <c r="Z97" s="3">
        <f>IF(OR(W97="",ISTEXT(W97)),"sin dato",IF(W97&gt;='Léeme'!$B$19,"barato",IF(W97&lt;=-'Léeme'!$B$19,"caro","medio")))</f>
        <v/>
      </c>
      <c r="AA97" s="3">
        <f>IF(OR(X97="",ISTEXT(X97)),"sin dato",IF(X97&gt;='Léeme'!$B$19,"barato",IF(X97&lt;=-'Léeme'!$B$19,"caro","medio")))</f>
        <v/>
      </c>
      <c r="AB97" s="3">
        <f>IF(OR(U97="",ISTEXT(U97)),"sin dato",IF(U97&gt;='Léeme'!$B$20,"barato",IF(U97&lt;=-'Léeme'!$B$20,"caro","medio")))</f>
        <v/>
      </c>
      <c r="AC97" s="3">
        <f>IF(OR(Y97="",ISTEXT(Y97)),"sin dato",IF(Y97&gt;='Léeme'!$B$19,"barato",IF(Y97&lt;=-'Léeme'!$B$19,"caro","medio")))</f>
        <v/>
      </c>
      <c r="AD97" s="7" t="n">
        <v>0.3119469026548672</v>
      </c>
      <c r="AE97" s="7" t="n">
        <v>0.1875</v>
      </c>
      <c r="AF97" s="7" t="n">
        <v>0.0475</v>
      </c>
      <c r="AG97" s="7" t="n"/>
    </row>
    <row r="98">
      <c r="A98" s="3" t="inlineStr">
        <is>
          <t>2022-T1</t>
        </is>
      </c>
      <c r="B98" s="13" t="n">
        <v>44651</v>
      </c>
      <c r="C98" s="14" t="n">
        <v>80.83999900000001</v>
      </c>
      <c r="D98" s="14" t="n">
        <v>4.228</v>
      </c>
      <c r="E98" s="14" t="n">
        <v>5.03</v>
      </c>
      <c r="F98" s="5" t="n">
        <v>0.0232</v>
      </c>
      <c r="G98" s="5" t="n">
        <v>0.01216282252058076</v>
      </c>
      <c r="H98" s="5" t="n">
        <v>-0.00354060820042934</v>
      </c>
      <c r="I98" s="17" t="n">
        <v>1350156000</v>
      </c>
      <c r="J98" s="17" t="n">
        <v>6626189000</v>
      </c>
      <c r="K98" s="17" t="n">
        <v>0</v>
      </c>
      <c r="L98" s="17" t="n">
        <v>190013751</v>
      </c>
      <c r="M98" s="5" t="n">
        <v>0.065</v>
      </c>
      <c r="N98" s="9">
        <f>IF(F98="","",F98+'Léeme'!$B$10)</f>
        <v/>
      </c>
      <c r="O98" s="9">
        <f>IF(OR(G98="",N98=""),"",MIN(MAX(G98,'Léeme'!$B$11),'Léeme'!$B$12,N98-'Léeme'!$B$16))</f>
        <v/>
      </c>
      <c r="P98" s="16">
        <f>IF(OR(D98="",O98=""),"",IFERROR(IF(D98&lt;=0,"",D98*(1+O98)/(N98-O98)),""))</f>
        <v/>
      </c>
      <c r="Q98" s="9">
        <f>IF(H98="","",MIN(MAX(H98,'Léeme'!$B$13),'Léeme'!$B$14))</f>
        <v/>
      </c>
      <c r="R98" s="9">
        <f>IF(N98="","",MIN('Léeme'!$B$15,N98-'Léeme'!$B$16))</f>
        <v/>
      </c>
      <c r="S98" s="16">
        <f>IF(OR(E98="",Q98=""),"",IFERROR(IF(E98&lt;=0,"",E98*(((1+Q98)/(1+N98))+((1+Q98)/(1+N98))^2+((1+Q98)/(1+N98))^3+((1+Q98)/(1+N98))^4+((1+Q98)/(1+N98))^5)+E98*(1+Q98)^5*(1+R98)/((N98-R98)*(1+N98)^5)),""))</f>
        <v/>
      </c>
      <c r="T98" s="9">
        <f>IF(OR(E98="",N98=""),"",IFERROR((C98*N98-E98)/(C98+E98),""))</f>
        <v/>
      </c>
      <c r="U98" s="9">
        <f>IF(OR(H98="",T98=""),"",IFERROR(MIN(MAX(H98,'Léeme'!$B$17),'Léeme'!$B$18)-T98,""))</f>
        <v/>
      </c>
      <c r="V98" s="16">
        <f>IF(OR(I98="",M98="",L98=""),"",IFERROR((I98/M98-J98-K98)/L98,""))</f>
        <v/>
      </c>
      <c r="W98" s="11">
        <f>IFERROR(P98/C98-1,"")</f>
        <v/>
      </c>
      <c r="X98" s="11">
        <f>IFERROR(S98/C98-1,"")</f>
        <v/>
      </c>
      <c r="Y98" s="11">
        <f>IFERROR(V98/C98-1,"")</f>
        <v/>
      </c>
      <c r="Z98" s="3">
        <f>IF(OR(W98="",ISTEXT(W98)),"sin dato",IF(W98&gt;='Léeme'!$B$19,"barato",IF(W98&lt;=-'Léeme'!$B$19,"caro","medio")))</f>
        <v/>
      </c>
      <c r="AA98" s="3">
        <f>IF(OR(X98="",ISTEXT(X98)),"sin dato",IF(X98&gt;='Léeme'!$B$19,"barato",IF(X98&lt;=-'Léeme'!$B$19,"caro","medio")))</f>
        <v/>
      </c>
      <c r="AB98" s="3">
        <f>IF(OR(U98="",ISTEXT(U98)),"sin dato",IF(U98&gt;='Léeme'!$B$20,"barato",IF(U98&lt;=-'Léeme'!$B$20,"caro","medio")))</f>
        <v/>
      </c>
      <c r="AC98" s="3">
        <f>IF(OR(Y98="",ISTEXT(Y98)),"sin dato",IF(Y98&gt;='Léeme'!$B$19,"barato",IF(Y98&lt;=-'Léeme'!$B$19,"caro","medio")))</f>
        <v/>
      </c>
      <c r="AD98" s="7" t="n">
        <v>0.2641921397379913</v>
      </c>
      <c r="AE98" s="7" t="n">
        <v>0.09113300492610837</v>
      </c>
      <c r="AF98" s="7" t="n">
        <v>0.01231527093596059</v>
      </c>
      <c r="AG98" s="7" t="n"/>
    </row>
    <row r="99">
      <c r="A99" s="3" t="inlineStr">
        <is>
          <t>2022-T2</t>
        </is>
      </c>
      <c r="B99" s="13" t="n">
        <v>44742</v>
      </c>
      <c r="C99" s="14" t="n">
        <v>82.86000199999999</v>
      </c>
      <c r="D99" s="14" t="n">
        <v>4.236</v>
      </c>
      <c r="E99" s="14" t="n">
        <v>5.16</v>
      </c>
      <c r="F99" s="5" t="n">
        <v>0.0298</v>
      </c>
      <c r="G99" s="5" t="n">
        <v>0.01153098848339451</v>
      </c>
      <c r="H99" s="5" t="n">
        <v>0.001557639951252465</v>
      </c>
      <c r="I99" s="17" t="n">
        <v>1233896000</v>
      </c>
      <c r="J99" s="17" t="n">
        <v>6572828000</v>
      </c>
      <c r="K99" s="17" t="n">
        <v>0</v>
      </c>
      <c r="L99" s="17" t="n">
        <v>192394960</v>
      </c>
      <c r="M99" s="5" t="n">
        <v>0.065</v>
      </c>
      <c r="N99" s="9">
        <f>IF(F99="","",F99+'Léeme'!$B$10)</f>
        <v/>
      </c>
      <c r="O99" s="9">
        <f>IF(OR(G99="",N99=""),"",MIN(MAX(G99,'Léeme'!$B$11),'Léeme'!$B$12,N99-'Léeme'!$B$16))</f>
        <v/>
      </c>
      <c r="P99" s="16">
        <f>IF(OR(D99="",O99=""),"",IFERROR(IF(D99&lt;=0,"",D99*(1+O99)/(N99-O99)),""))</f>
        <v/>
      </c>
      <c r="Q99" s="9">
        <f>IF(H99="","",MIN(MAX(H99,'Léeme'!$B$13),'Léeme'!$B$14))</f>
        <v/>
      </c>
      <c r="R99" s="9">
        <f>IF(N99="","",MIN('Léeme'!$B$15,N99-'Léeme'!$B$16))</f>
        <v/>
      </c>
      <c r="S99" s="16">
        <f>IF(OR(E99="",Q99=""),"",IFERROR(IF(E99&lt;=0,"",E99*(((1+Q99)/(1+N99))+((1+Q99)/(1+N99))^2+((1+Q99)/(1+N99))^3+((1+Q99)/(1+N99))^4+((1+Q99)/(1+N99))^5)+E99*(1+Q99)^5*(1+R99)/((N99-R99)*(1+N99)^5)),""))</f>
        <v/>
      </c>
      <c r="T99" s="9">
        <f>IF(OR(E99="",N99=""),"",IFERROR((C99*N99-E99)/(C99+E99),""))</f>
        <v/>
      </c>
      <c r="U99" s="9">
        <f>IF(OR(H99="",T99=""),"",IFERROR(MIN(MAX(H99,'Léeme'!$B$17),'Léeme'!$B$18)-T99,""))</f>
        <v/>
      </c>
      <c r="V99" s="16">
        <f>IF(OR(I99="",M99="",L99=""),"",IFERROR((I99/M99-J99-K99)/L99,""))</f>
        <v/>
      </c>
      <c r="W99" s="11">
        <f>IFERROR(P99/C99-1,"")</f>
        <v/>
      </c>
      <c r="X99" s="11">
        <f>IFERROR(S99/C99-1,"")</f>
        <v/>
      </c>
      <c r="Y99" s="11">
        <f>IFERROR(V99/C99-1,"")</f>
        <v/>
      </c>
      <c r="Z99" s="3">
        <f>IF(OR(W99="",ISTEXT(W99)),"sin dato",IF(W99&gt;='Léeme'!$B$19,"barato",IF(W99&lt;=-'Léeme'!$B$19,"caro","medio")))</f>
        <v/>
      </c>
      <c r="AA99" s="3">
        <f>IF(OR(X99="",ISTEXT(X99)),"sin dato",IF(X99&gt;='Léeme'!$B$19,"barato",IF(X99&lt;=-'Léeme'!$B$19,"caro","medio")))</f>
        <v/>
      </c>
      <c r="AB99" s="3">
        <f>IF(OR(U99="",ISTEXT(U99)),"sin dato",IF(U99&gt;='Léeme'!$B$20,"barato",IF(U99&lt;=-'Léeme'!$B$20,"caro","medio")))</f>
        <v/>
      </c>
      <c r="AC99" s="3">
        <f>IF(OR(Y99="",ISTEXT(Y99)),"sin dato",IF(Y99&gt;='Léeme'!$B$19,"barato",IF(Y99&lt;=-'Léeme'!$B$19,"caro","medio")))</f>
        <v/>
      </c>
      <c r="AD99" s="7" t="n">
        <v>0.1918103448275862</v>
      </c>
      <c r="AE99" s="7" t="n">
        <v>0.007281553398058253</v>
      </c>
      <c r="AF99" s="7" t="n">
        <v>0.002427184466019417</v>
      </c>
      <c r="AG99" s="7" t="n">
        <v>0.4342105263157895</v>
      </c>
    </row>
    <row r="100">
      <c r="A100" s="3" t="inlineStr">
        <is>
          <t>2022-T3</t>
        </is>
      </c>
      <c r="B100" s="13" t="n">
        <v>44834</v>
      </c>
      <c r="C100" s="14" t="n">
        <v>69.80000099999999</v>
      </c>
      <c r="D100" s="14" t="n">
        <v>4.244</v>
      </c>
      <c r="E100" s="14" t="n">
        <v>5.2</v>
      </c>
      <c r="F100" s="5" t="n">
        <v>0.0383</v>
      </c>
      <c r="G100" s="5" t="n">
        <v>0.01090388231460593</v>
      </c>
      <c r="H100" s="5" t="n">
        <v>0.003105649876241401</v>
      </c>
      <c r="N100" s="9">
        <f>IF(F100="","",F100+'Léeme'!$B$10)</f>
        <v/>
      </c>
      <c r="O100" s="9">
        <f>IF(OR(G100="",N100=""),"",MIN(MAX(G100,'Léeme'!$B$11),'Léeme'!$B$12,N100-'Léeme'!$B$16))</f>
        <v/>
      </c>
      <c r="P100" s="16">
        <f>IF(OR(D100="",O100=""),"",IFERROR(IF(D100&lt;=0,"",D100*(1+O100)/(N100-O100)),""))</f>
        <v/>
      </c>
      <c r="Q100" s="9">
        <f>IF(H100="","",MIN(MAX(H100,'Léeme'!$B$13),'Léeme'!$B$14))</f>
        <v/>
      </c>
      <c r="R100" s="9">
        <f>IF(N100="","",MIN('Léeme'!$B$15,N100-'Léeme'!$B$16))</f>
        <v/>
      </c>
      <c r="S100" s="16">
        <f>IF(OR(E100="",Q100=""),"",IFERROR(IF(E100&lt;=0,"",E100*(((1+Q100)/(1+N100))+((1+Q100)/(1+N100))^2+((1+Q100)/(1+N100))^3+((1+Q100)/(1+N100))^4+((1+Q100)/(1+N100))^5)+E100*(1+Q100)^5*(1+R100)/((N100-R100)*(1+N100)^5)),""))</f>
        <v/>
      </c>
      <c r="T100" s="9">
        <f>IF(OR(E100="",N100=""),"",IFERROR((C100*N100-E100)/(C100+E100),""))</f>
        <v/>
      </c>
      <c r="U100" s="9">
        <f>IF(OR(H100="",T100=""),"",IFERROR(MIN(MAX(H100,'Léeme'!$B$17),'Léeme'!$B$18)-T100,""))</f>
        <v/>
      </c>
      <c r="V100" s="16">
        <f>IF(OR(I100="",M100="",L100=""),"",IFERROR((I100/M100-J100-K100)/L100,""))</f>
        <v/>
      </c>
      <c r="W100" s="11">
        <f>IFERROR(P100/C100-1,"")</f>
        <v/>
      </c>
      <c r="X100" s="11">
        <f>IFERROR(S100/C100-1,"")</f>
        <v/>
      </c>
      <c r="Y100" s="11">
        <f>IFERROR(V100/C100-1,"")</f>
        <v/>
      </c>
      <c r="Z100" s="3">
        <f>IF(OR(W100="",ISTEXT(W100)),"sin dato",IF(W100&gt;='Léeme'!$B$19,"barato",IF(W100&lt;=-'Léeme'!$B$19,"caro","medio")))</f>
        <v/>
      </c>
      <c r="AA100" s="3">
        <f>IF(OR(X100="",ISTEXT(X100)),"sin dato",IF(X100&gt;='Léeme'!$B$19,"barato",IF(X100&lt;=-'Léeme'!$B$19,"caro","medio")))</f>
        <v/>
      </c>
      <c r="AB100" s="3">
        <f>IF(OR(U100="",ISTEXT(U100)),"sin dato",IF(U100&gt;='Léeme'!$B$20,"barato",IF(U100&lt;=-'Léeme'!$B$20,"caro","medio")))</f>
        <v/>
      </c>
      <c r="AC100" s="3">
        <f>IF(OR(Y100="",ISTEXT(Y100)),"sin dato",IF(Y100&gt;='Léeme'!$B$19,"barato",IF(Y100&lt;=-'Léeme'!$B$19,"caro","medio")))</f>
        <v/>
      </c>
      <c r="AD100" s="7" t="n">
        <v>0.1978723404255319</v>
      </c>
      <c r="AE100" s="7" t="n">
        <v>0.01196172248803828</v>
      </c>
      <c r="AF100" s="7" t="n">
        <v>0.05980861244019139</v>
      </c>
      <c r="AG100" s="7" t="n"/>
    </row>
    <row r="101">
      <c r="A101" s="3" t="inlineStr">
        <is>
          <t>2022-T4</t>
        </is>
      </c>
      <c r="B101" s="13" t="n">
        <v>44925</v>
      </c>
      <c r="C101" s="14" t="n">
        <v>78.149997</v>
      </c>
      <c r="D101" s="14" t="n">
        <v>4.26</v>
      </c>
      <c r="E101" s="14" t="n">
        <v>5.32</v>
      </c>
      <c r="F101" s="5" t="n">
        <v>0.0388</v>
      </c>
      <c r="G101" s="5" t="n">
        <v>0.01066132485227489</v>
      </c>
      <c r="H101" s="5" t="n">
        <v>0.007693214731534503</v>
      </c>
      <c r="N101" s="9">
        <f>IF(F101="","",F101+'Léeme'!$B$10)</f>
        <v/>
      </c>
      <c r="O101" s="9">
        <f>IF(OR(G101="",N101=""),"",MIN(MAX(G101,'Léeme'!$B$11),'Léeme'!$B$12,N101-'Léeme'!$B$16))</f>
        <v/>
      </c>
      <c r="P101" s="16">
        <f>IF(OR(D101="",O101=""),"",IFERROR(IF(D101&lt;=0,"",D101*(1+O101)/(N101-O101)),""))</f>
        <v/>
      </c>
      <c r="Q101" s="9">
        <f>IF(H101="","",MIN(MAX(H101,'Léeme'!$B$13),'Léeme'!$B$14))</f>
        <v/>
      </c>
      <c r="R101" s="9">
        <f>IF(N101="","",MIN('Léeme'!$B$15,N101-'Léeme'!$B$16))</f>
        <v/>
      </c>
      <c r="S101" s="16">
        <f>IF(OR(E101="",Q101=""),"",IFERROR(IF(E101&lt;=0,"",E101*(((1+Q101)/(1+N101))+((1+Q101)/(1+N101))^2+((1+Q101)/(1+N101))^3+((1+Q101)/(1+N101))^4+((1+Q101)/(1+N101))^5)+E101*(1+Q101)^5*(1+R101)/((N101-R101)*(1+N101)^5)),""))</f>
        <v/>
      </c>
      <c r="T101" s="9">
        <f>IF(OR(E101="",N101=""),"",IFERROR((C101*N101-E101)/(C101+E101),""))</f>
        <v/>
      </c>
      <c r="U101" s="9">
        <f>IF(OR(H101="",T101=""),"",IFERROR(MIN(MAX(H101,'Léeme'!$B$17),'Léeme'!$B$18)-T101,""))</f>
        <v/>
      </c>
      <c r="V101" s="16">
        <f>IF(OR(I101="",M101="",L101=""),"",IFERROR((I101/M101-J101-K101)/L101,""))</f>
        <v/>
      </c>
      <c r="W101" s="11">
        <f>IFERROR(P101/C101-1,"")</f>
        <v/>
      </c>
      <c r="X101" s="11">
        <f>IFERROR(S101/C101-1,"")</f>
        <v/>
      </c>
      <c r="Y101" s="11">
        <f>IFERROR(V101/C101-1,"")</f>
        <v/>
      </c>
      <c r="Z101" s="3">
        <f>IF(OR(W101="",ISTEXT(W101)),"sin dato",IF(W101&gt;='Léeme'!$B$19,"barato",IF(W101&lt;=-'Léeme'!$B$19,"caro","medio")))</f>
        <v/>
      </c>
      <c r="AA101" s="3">
        <f>IF(OR(X101="",ISTEXT(X101)),"sin dato",IF(X101&gt;='Léeme'!$B$19,"barato",IF(X101&lt;=-'Léeme'!$B$19,"caro","medio")))</f>
        <v/>
      </c>
      <c r="AB101" s="3">
        <f>IF(OR(U101="",ISTEXT(U101)),"sin dato",IF(U101&gt;='Léeme'!$B$20,"barato",IF(U101&lt;=-'Léeme'!$B$20,"caro","medio")))</f>
        <v/>
      </c>
      <c r="AC101" s="3">
        <f>IF(OR(Y101="",ISTEXT(Y101)),"sin dato",IF(Y101&gt;='Léeme'!$B$19,"barato",IF(Y101&lt;=-'Léeme'!$B$19,"caro","medio")))</f>
        <v/>
      </c>
      <c r="AD101" s="7" t="n">
        <v>0.09453781512605042</v>
      </c>
      <c r="AE101" s="7" t="n">
        <v>0.007075471698113208</v>
      </c>
      <c r="AF101" s="7" t="n">
        <v>0.05424528301886793</v>
      </c>
      <c r="AG101" s="7" t="n"/>
    </row>
    <row r="102">
      <c r="A102" s="3" t="inlineStr">
        <is>
          <t>2023-T1</t>
        </is>
      </c>
      <c r="B102" s="13" t="n">
        <v>45016</v>
      </c>
      <c r="C102" s="14" t="n">
        <v>77.44999900000001</v>
      </c>
      <c r="D102" s="14" t="n">
        <v>4.268</v>
      </c>
      <c r="E102" s="14" t="n">
        <v>5.31</v>
      </c>
      <c r="F102" s="5" t="n">
        <v>0.0348</v>
      </c>
      <c r="G102" s="5" t="n">
        <v>0.01004256341995369</v>
      </c>
      <c r="H102" s="5" t="n">
        <v>0.0003770740136939121</v>
      </c>
      <c r="N102" s="9">
        <f>IF(F102="","",F102+'Léeme'!$B$10)</f>
        <v/>
      </c>
      <c r="O102" s="9">
        <f>IF(OR(G102="",N102=""),"",MIN(MAX(G102,'Léeme'!$B$11),'Léeme'!$B$12,N102-'Léeme'!$B$16))</f>
        <v/>
      </c>
      <c r="P102" s="16">
        <f>IF(OR(D102="",O102=""),"",IFERROR(IF(D102&lt;=0,"",D102*(1+O102)/(N102-O102)),""))</f>
        <v/>
      </c>
      <c r="Q102" s="9">
        <f>IF(H102="","",MIN(MAX(H102,'Léeme'!$B$13),'Léeme'!$B$14))</f>
        <v/>
      </c>
      <c r="R102" s="9">
        <f>IF(N102="","",MIN('Léeme'!$B$15,N102-'Léeme'!$B$16))</f>
        <v/>
      </c>
      <c r="S102" s="16">
        <f>IF(OR(E102="",Q102=""),"",IFERROR(IF(E102&lt;=0,"",E102*(((1+Q102)/(1+N102))+((1+Q102)/(1+N102))^2+((1+Q102)/(1+N102))^3+((1+Q102)/(1+N102))^4+((1+Q102)/(1+N102))^5)+E102*(1+Q102)^5*(1+R102)/((N102-R102)*(1+N102)^5)),""))</f>
        <v/>
      </c>
      <c r="T102" s="9">
        <f>IF(OR(E102="",N102=""),"",IFERROR((C102*N102-E102)/(C102+E102),""))</f>
        <v/>
      </c>
      <c r="U102" s="9">
        <f>IF(OR(H102="",T102=""),"",IFERROR(MIN(MAX(H102,'Léeme'!$B$17),'Léeme'!$B$18)-T102,""))</f>
        <v/>
      </c>
      <c r="V102" s="16">
        <f>IF(OR(I102="",M102="",L102=""),"",IFERROR((I102/M102-J102-K102)/L102,""))</f>
        <v/>
      </c>
      <c r="W102" s="11">
        <f>IFERROR(P102/C102-1,"")</f>
        <v/>
      </c>
      <c r="X102" s="11">
        <f>IFERROR(S102/C102-1,"")</f>
        <v/>
      </c>
      <c r="Y102" s="11">
        <f>IFERROR(V102/C102-1,"")</f>
        <v/>
      </c>
      <c r="Z102" s="3">
        <f>IF(OR(W102="",ISTEXT(W102)),"sin dato",IF(W102&gt;='Léeme'!$B$19,"barato",IF(W102&lt;=-'Léeme'!$B$19,"caro","medio")))</f>
        <v/>
      </c>
      <c r="AA102" s="3">
        <f>IF(OR(X102="",ISTEXT(X102)),"sin dato",IF(X102&gt;='Léeme'!$B$19,"barato",IF(X102&lt;=-'Léeme'!$B$19,"caro","medio")))</f>
        <v/>
      </c>
      <c r="AB102" s="3">
        <f>IF(OR(U102="",ISTEXT(U102)),"sin dato",IF(U102&gt;='Léeme'!$B$20,"barato",IF(U102&lt;=-'Léeme'!$B$20,"caro","medio")))</f>
        <v/>
      </c>
      <c r="AC102" s="3">
        <f>IF(OR(Y102="",ISTEXT(Y102)),"sin dato",IF(Y102&gt;='Léeme'!$B$19,"barato",IF(Y102&lt;=-'Léeme'!$B$19,"caro","medio")))</f>
        <v/>
      </c>
      <c r="AD102" s="7" t="n">
        <v>0.1556016597510373</v>
      </c>
      <c r="AE102" s="7" t="n">
        <v>0.03488372093023256</v>
      </c>
      <c r="AF102" s="7" t="n">
        <v>0.02093023255813953</v>
      </c>
      <c r="AG102" s="7" t="n"/>
    </row>
    <row r="103">
      <c r="A103" s="3" t="inlineStr">
        <is>
          <t>2023-T2</t>
        </is>
      </c>
      <c r="B103" s="13" t="n">
        <v>45107</v>
      </c>
      <c r="C103" s="14" t="n">
        <v>67.559997</v>
      </c>
      <c r="D103" s="14" t="n">
        <v>4.276</v>
      </c>
      <c r="E103" s="14" t="n">
        <v>5.27</v>
      </c>
      <c r="F103" s="5" t="n">
        <v>0.0381</v>
      </c>
      <c r="G103" s="5" t="n">
        <v>0.009428370620649495</v>
      </c>
      <c r="H103" s="5" t="n">
        <v>-0.001134647401259348</v>
      </c>
      <c r="I103" s="17" t="n">
        <v>1455608000</v>
      </c>
      <c r="J103" s="17" t="n">
        <v>8110309000</v>
      </c>
      <c r="K103" s="17" t="n">
        <v>0</v>
      </c>
      <c r="L103" s="17" t="n">
        <v>213890620</v>
      </c>
      <c r="M103" s="5" t="n">
        <v>0.063</v>
      </c>
      <c r="N103" s="9">
        <f>IF(F103="","",F103+'Léeme'!$B$10)</f>
        <v/>
      </c>
      <c r="O103" s="9">
        <f>IF(OR(G103="",N103=""),"",MIN(MAX(G103,'Léeme'!$B$11),'Léeme'!$B$12,N103-'Léeme'!$B$16))</f>
        <v/>
      </c>
      <c r="P103" s="16">
        <f>IF(OR(D103="",O103=""),"",IFERROR(IF(D103&lt;=0,"",D103*(1+O103)/(N103-O103)),""))</f>
        <v/>
      </c>
      <c r="Q103" s="9">
        <f>IF(H103="","",MIN(MAX(H103,'Léeme'!$B$13),'Léeme'!$B$14))</f>
        <v/>
      </c>
      <c r="R103" s="9">
        <f>IF(N103="","",MIN('Léeme'!$B$15,N103-'Léeme'!$B$16))</f>
        <v/>
      </c>
      <c r="S103" s="16">
        <f>IF(OR(E103="",Q103=""),"",IFERROR(IF(E103&lt;=0,"",E103*(((1+Q103)/(1+N103))+((1+Q103)/(1+N103))^2+((1+Q103)/(1+N103))^3+((1+Q103)/(1+N103))^4+((1+Q103)/(1+N103))^5)+E103*(1+Q103)^5*(1+R103)/((N103-R103)*(1+N103)^5)),""))</f>
        <v/>
      </c>
      <c r="T103" s="9">
        <f>IF(OR(E103="",N103=""),"",IFERROR((C103*N103-E103)/(C103+E103),""))</f>
        <v/>
      </c>
      <c r="U103" s="9">
        <f>IF(OR(H103="",T103=""),"",IFERROR(MIN(MAX(H103,'Léeme'!$B$17),'Léeme'!$B$18)-T103,""))</f>
        <v/>
      </c>
      <c r="V103" s="16">
        <f>IF(OR(I103="",M103="",L103=""),"",IFERROR((I103/M103-J103-K103)/L103,""))</f>
        <v/>
      </c>
      <c r="W103" s="11">
        <f>IFERROR(P103/C103-1,"")</f>
        <v/>
      </c>
      <c r="X103" s="11">
        <f>IFERROR(S103/C103-1,"")</f>
        <v/>
      </c>
      <c r="Y103" s="11">
        <f>IFERROR(V103/C103-1,"")</f>
        <v/>
      </c>
      <c r="Z103" s="3">
        <f>IF(OR(W103="",ISTEXT(W103)),"sin dato",IF(W103&gt;='Léeme'!$B$19,"barato",IF(W103&lt;=-'Léeme'!$B$19,"caro","medio")))</f>
        <v/>
      </c>
      <c r="AA103" s="3">
        <f>IF(OR(X103="",ISTEXT(X103)),"sin dato",IF(X103&gt;='Léeme'!$B$19,"barato",IF(X103&lt;=-'Léeme'!$B$19,"caro","medio")))</f>
        <v/>
      </c>
      <c r="AB103" s="3">
        <f>IF(OR(U103="",ISTEXT(U103)),"sin dato",IF(U103&gt;='Léeme'!$B$20,"barato",IF(U103&lt;=-'Léeme'!$B$20,"caro","medio")))</f>
        <v/>
      </c>
      <c r="AC103" s="3">
        <f>IF(OR(Y103="",ISTEXT(Y103)),"sin dato",IF(Y103&gt;='Léeme'!$B$19,"barato",IF(Y103&lt;=-'Léeme'!$B$19,"caro","medio")))</f>
        <v/>
      </c>
      <c r="AD103" s="7" t="n">
        <v>0.2397540983606557</v>
      </c>
      <c r="AE103" s="7" t="n">
        <v>0.06651376146788991</v>
      </c>
      <c r="AF103" s="7" t="n">
        <v>0.08486238532110092</v>
      </c>
      <c r="AG103" s="7" t="n">
        <v>0.9878048780487805</v>
      </c>
    </row>
    <row r="104">
      <c r="A104" s="3" t="inlineStr">
        <is>
          <t>2023-T3</t>
        </is>
      </c>
      <c r="B104" s="13" t="n">
        <v>45198</v>
      </c>
      <c r="C104" s="14" t="n">
        <v>54.079999</v>
      </c>
      <c r="D104" s="14" t="n">
        <v>4.284</v>
      </c>
      <c r="E104" s="14" t="n">
        <v>5.32</v>
      </c>
      <c r="F104" s="5" t="n">
        <v>0.0459</v>
      </c>
      <c r="G104" s="5" t="n">
        <v>0.00881869334460661</v>
      </c>
      <c r="H104" s="5" t="n">
        <v>0.0007535803582054967</v>
      </c>
      <c r="I104" s="17" t="n">
        <v>1556908000</v>
      </c>
      <c r="J104" s="17" t="n">
        <v>8411822000</v>
      </c>
      <c r="K104" s="17" t="n">
        <v>0</v>
      </c>
      <c r="L104" s="17" t="n">
        <v>213901170</v>
      </c>
      <c r="M104" s="5" t="n">
        <v>0.063</v>
      </c>
      <c r="N104" s="9">
        <f>IF(F104="","",F104+'Léeme'!$B$10)</f>
        <v/>
      </c>
      <c r="O104" s="9">
        <f>IF(OR(G104="",N104=""),"",MIN(MAX(G104,'Léeme'!$B$11),'Léeme'!$B$12,N104-'Léeme'!$B$16))</f>
        <v/>
      </c>
      <c r="P104" s="16">
        <f>IF(OR(D104="",O104=""),"",IFERROR(IF(D104&lt;=0,"",D104*(1+O104)/(N104-O104)),""))</f>
        <v/>
      </c>
      <c r="Q104" s="9">
        <f>IF(H104="","",MIN(MAX(H104,'Léeme'!$B$13),'Léeme'!$B$14))</f>
        <v/>
      </c>
      <c r="R104" s="9">
        <f>IF(N104="","",MIN('Léeme'!$B$15,N104-'Léeme'!$B$16))</f>
        <v/>
      </c>
      <c r="S104" s="16">
        <f>IF(OR(E104="",Q104=""),"",IFERROR(IF(E104&lt;=0,"",E104*(((1+Q104)/(1+N104))+((1+Q104)/(1+N104))^2+((1+Q104)/(1+N104))^3+((1+Q104)/(1+N104))^4+((1+Q104)/(1+N104))^5)+E104*(1+Q104)^5*(1+R104)/((N104-R104)*(1+N104)^5)),""))</f>
        <v/>
      </c>
      <c r="T104" s="9">
        <f>IF(OR(E104="",N104=""),"",IFERROR((C104*N104-E104)/(C104+E104),""))</f>
        <v/>
      </c>
      <c r="U104" s="9">
        <f>IF(OR(H104="",T104=""),"",IFERROR(MIN(MAX(H104,'Léeme'!$B$17),'Léeme'!$B$18)-T104,""))</f>
        <v/>
      </c>
      <c r="V104" s="16">
        <f>IF(OR(I104="",M104="",L104=""),"",IFERROR((I104/M104-J104-K104)/L104,""))</f>
        <v/>
      </c>
      <c r="W104" s="11">
        <f>IFERROR(P104/C104-1,"")</f>
        <v/>
      </c>
      <c r="X104" s="11">
        <f>IFERROR(S104/C104-1,"")</f>
        <v/>
      </c>
      <c r="Y104" s="11">
        <f>IFERROR(V104/C104-1,"")</f>
        <v/>
      </c>
      <c r="Z104" s="3">
        <f>IF(OR(W104="",ISTEXT(W104)),"sin dato",IF(W104&gt;='Léeme'!$B$19,"barato",IF(W104&lt;=-'Léeme'!$B$19,"caro","medio")))</f>
        <v/>
      </c>
      <c r="AA104" s="3">
        <f>IF(OR(X104="",ISTEXT(X104)),"sin dato",IF(X104&gt;='Léeme'!$B$19,"barato",IF(X104&lt;=-'Léeme'!$B$19,"caro","medio")))</f>
        <v/>
      </c>
      <c r="AB104" s="3">
        <f>IF(OR(U104="",ISTEXT(U104)),"sin dato",IF(U104&gt;='Léeme'!$B$20,"barato",IF(U104&lt;=-'Léeme'!$B$20,"caro","medio")))</f>
        <v/>
      </c>
      <c r="AC104" s="3">
        <f>IF(OR(Y104="",ISTEXT(Y104)),"sin dato",IF(Y104&gt;='Léeme'!$B$19,"barato",IF(Y104&lt;=-'Léeme'!$B$19,"caro","medio")))</f>
        <v/>
      </c>
      <c r="AD104" s="7" t="n">
        <v>0.305668016194332</v>
      </c>
      <c r="AE104" s="7" t="n">
        <v>0.1244343891402715</v>
      </c>
      <c r="AF104" s="7" t="n">
        <v>0.1832579185520362</v>
      </c>
      <c r="AG104" s="7" t="n">
        <v>0.9886363636363636</v>
      </c>
    </row>
    <row r="105">
      <c r="A105" s="3" t="inlineStr">
        <is>
          <t>2023-T4</t>
        </is>
      </c>
      <c r="B105" s="13" t="n">
        <v>45289</v>
      </c>
      <c r="C105" s="14" t="n">
        <v>64.80999799999999</v>
      </c>
      <c r="D105" s="14" t="n">
        <v>3.44</v>
      </c>
      <c r="E105" s="14" t="n">
        <v>5.28</v>
      </c>
      <c r="F105" s="5" t="n">
        <v>0.0388</v>
      </c>
      <c r="G105" s="5" t="n">
        <v>-0.03543334279817789</v>
      </c>
      <c r="H105" s="5" t="n">
        <v>-0.0007558587627185531</v>
      </c>
      <c r="I105" s="17" t="n">
        <v>1500660000</v>
      </c>
      <c r="J105" s="17" t="n">
        <v>8151276000</v>
      </c>
      <c r="K105" s="17" t="n">
        <v>0</v>
      </c>
      <c r="L105" s="17" t="n">
        <v>213925817</v>
      </c>
      <c r="M105" s="5" t="n">
        <v>0.063</v>
      </c>
      <c r="N105" s="9">
        <f>IF(F105="","",F105+'Léeme'!$B$10)</f>
        <v/>
      </c>
      <c r="O105" s="9">
        <f>IF(OR(G105="",N105=""),"",MIN(MAX(G105,'Léeme'!$B$11),'Léeme'!$B$12,N105-'Léeme'!$B$16))</f>
        <v/>
      </c>
      <c r="P105" s="16">
        <f>IF(OR(D105="",O105=""),"",IFERROR(IF(D105&lt;=0,"",D105*(1+O105)/(N105-O105)),""))</f>
        <v/>
      </c>
      <c r="Q105" s="9">
        <f>IF(H105="","",MIN(MAX(H105,'Léeme'!$B$13),'Léeme'!$B$14))</f>
        <v/>
      </c>
      <c r="R105" s="9">
        <f>IF(N105="","",MIN('Léeme'!$B$15,N105-'Léeme'!$B$16))</f>
        <v/>
      </c>
      <c r="S105" s="16">
        <f>IF(OR(E105="",Q105=""),"",IFERROR(IF(E105&lt;=0,"",E105*(((1+Q105)/(1+N105))+((1+Q105)/(1+N105))^2+((1+Q105)/(1+N105))^3+((1+Q105)/(1+N105))^4+((1+Q105)/(1+N105))^5)+E105*(1+Q105)^5*(1+R105)/((N105-R105)*(1+N105)^5)),""))</f>
        <v/>
      </c>
      <c r="T105" s="9">
        <f>IF(OR(E105="",N105=""),"",IFERROR((C105*N105-E105)/(C105+E105),""))</f>
        <v/>
      </c>
      <c r="U105" s="9">
        <f>IF(OR(H105="",T105=""),"",IFERROR(MIN(MAX(H105,'Léeme'!$B$17),'Léeme'!$B$18)-T105,""))</f>
        <v/>
      </c>
      <c r="V105" s="16">
        <f>IF(OR(I105="",M105="",L105=""),"",IFERROR((I105/M105-J105-K105)/L105,""))</f>
        <v/>
      </c>
      <c r="W105" s="11">
        <f>IFERROR(P105/C105-1,"")</f>
        <v/>
      </c>
      <c r="X105" s="11">
        <f>IFERROR(S105/C105-1,"")</f>
        <v/>
      </c>
      <c r="Y105" s="11">
        <f>IFERROR(V105/C105-1,"")</f>
        <v/>
      </c>
      <c r="Z105" s="3">
        <f>IF(OR(W105="",ISTEXT(W105)),"sin dato",IF(W105&gt;='Léeme'!$B$19,"barato",IF(W105&lt;=-'Léeme'!$B$19,"caro","medio")))</f>
        <v/>
      </c>
      <c r="AA105" s="3">
        <f>IF(OR(X105="",ISTEXT(X105)),"sin dato",IF(X105&gt;='Léeme'!$B$19,"barato",IF(X105&lt;=-'Léeme'!$B$19,"caro","medio")))</f>
        <v/>
      </c>
      <c r="AB105" s="3">
        <f>IF(OR(U105="",ISTEXT(U105)),"sin dato",IF(U105&gt;='Léeme'!$B$20,"barato",IF(U105&lt;=-'Léeme'!$B$20,"caro","medio")))</f>
        <v/>
      </c>
      <c r="AC105" s="3">
        <f>IF(OR(Y105="",ISTEXT(Y105)),"sin dato",IF(Y105&gt;='Léeme'!$B$19,"barato",IF(Y105&lt;=-'Léeme'!$B$19,"caro","medio")))</f>
        <v/>
      </c>
      <c r="AD105" s="7" t="n">
        <v>0.002</v>
      </c>
      <c r="AE105" s="7" t="n">
        <v>0.09598214285714286</v>
      </c>
      <c r="AF105" s="7" t="n">
        <v>0.1272321428571428</v>
      </c>
      <c r="AG105" s="7" t="n">
        <v>0.9042553191489362</v>
      </c>
    </row>
    <row r="106">
      <c r="A106" s="3" t="inlineStr">
        <is>
          <t>2024-T1</t>
        </is>
      </c>
      <c r="B106" s="13" t="n">
        <v>45379</v>
      </c>
      <c r="C106" s="14" t="n">
        <v>56.439999</v>
      </c>
      <c r="D106" s="14" t="n">
        <v>3.46</v>
      </c>
      <c r="E106" s="14" t="n">
        <v>5.18</v>
      </c>
      <c r="F106" s="5" t="n">
        <v>0.042</v>
      </c>
      <c r="G106" s="5" t="n">
        <v>-0.0346889401995063</v>
      </c>
      <c r="H106" s="5" t="n">
        <v>-0.007916563371667462</v>
      </c>
      <c r="I106" s="17" t="n">
        <v>1406828000</v>
      </c>
      <c r="J106" s="17" t="n">
        <v>7510322000</v>
      </c>
      <c r="K106" s="17" t="n">
        <v>0</v>
      </c>
      <c r="L106" s="17" t="n">
        <v>218671874</v>
      </c>
      <c r="M106" s="5" t="n">
        <v>0.076</v>
      </c>
      <c r="N106" s="9">
        <f>IF(F106="","",F106+'Léeme'!$B$10)</f>
        <v/>
      </c>
      <c r="O106" s="9">
        <f>IF(OR(G106="",N106=""),"",MIN(MAX(G106,'Léeme'!$B$11),'Léeme'!$B$12,N106-'Léeme'!$B$16))</f>
        <v/>
      </c>
      <c r="P106" s="16">
        <f>IF(OR(D106="",O106=""),"",IFERROR(IF(D106&lt;=0,"",D106*(1+O106)/(N106-O106)),""))</f>
        <v/>
      </c>
      <c r="Q106" s="9">
        <f>IF(H106="","",MIN(MAX(H106,'Léeme'!$B$13),'Léeme'!$B$14))</f>
        <v/>
      </c>
      <c r="R106" s="9">
        <f>IF(N106="","",MIN('Léeme'!$B$15,N106-'Léeme'!$B$16))</f>
        <v/>
      </c>
      <c r="S106" s="16">
        <f>IF(OR(E106="",Q106=""),"",IFERROR(IF(E106&lt;=0,"",E106*(((1+Q106)/(1+N106))+((1+Q106)/(1+N106))^2+((1+Q106)/(1+N106))^3+((1+Q106)/(1+N106))^4+((1+Q106)/(1+N106))^5)+E106*(1+Q106)^5*(1+R106)/((N106-R106)*(1+N106)^5)),""))</f>
        <v/>
      </c>
      <c r="T106" s="9">
        <f>IF(OR(E106="",N106=""),"",IFERROR((C106*N106-E106)/(C106+E106),""))</f>
        <v/>
      </c>
      <c r="U106" s="9">
        <f>IF(OR(H106="",T106=""),"",IFERROR(MIN(MAX(H106,'Léeme'!$B$17),'Léeme'!$B$18)-T106,""))</f>
        <v/>
      </c>
      <c r="V106" s="16">
        <f>IF(OR(I106="",M106="",L106=""),"",IFERROR((I106/M106-J106-K106)/L106,""))</f>
        <v/>
      </c>
      <c r="W106" s="11">
        <f>IFERROR(P106/C106-1,"")</f>
        <v/>
      </c>
      <c r="X106" s="11">
        <f>IFERROR(S106/C106-1,"")</f>
        <v/>
      </c>
      <c r="Y106" s="11">
        <f>IFERROR(V106/C106-1,"")</f>
        <v/>
      </c>
      <c r="Z106" s="3">
        <f>IF(OR(W106="",ISTEXT(W106)),"sin dato",IF(W106&gt;='Léeme'!$B$19,"barato",IF(W106&lt;=-'Léeme'!$B$19,"caro","medio")))</f>
        <v/>
      </c>
      <c r="AA106" s="3">
        <f>IF(OR(X106="",ISTEXT(X106)),"sin dato",IF(X106&gt;='Léeme'!$B$19,"barato",IF(X106&lt;=-'Léeme'!$B$19,"caro","medio")))</f>
        <v/>
      </c>
      <c r="AB106" s="3">
        <f>IF(OR(U106="",ISTEXT(U106)),"sin dato",IF(U106&gt;='Léeme'!$B$20,"barato",IF(U106&lt;=-'Léeme'!$B$20,"caro","medio")))</f>
        <v/>
      </c>
      <c r="AC106" s="3">
        <f>IF(OR(Y106="",ISTEXT(Y106)),"sin dato",IF(Y106&gt;='Léeme'!$B$19,"barato",IF(Y106&lt;=-'Léeme'!$B$19,"caro","medio")))</f>
        <v/>
      </c>
      <c r="AD106" s="7" t="n">
        <v>0.02569169960474308</v>
      </c>
      <c r="AE106" s="7" t="n">
        <v>0.1431718061674009</v>
      </c>
      <c r="AF106" s="7" t="n">
        <v>0.1167400881057269</v>
      </c>
      <c r="AG106" s="7" t="n">
        <v>0.65</v>
      </c>
    </row>
    <row r="107">
      <c r="A107" s="3" t="inlineStr">
        <is>
          <t>2024-T2</t>
        </is>
      </c>
      <c r="B107" s="13" t="n">
        <v>45471</v>
      </c>
      <c r="C107" s="14" t="n">
        <v>55.049999</v>
      </c>
      <c r="D107" s="14" t="n">
        <v>3.48</v>
      </c>
      <c r="E107" s="14" t="n">
        <v>5.01</v>
      </c>
      <c r="F107" s="5" t="n">
        <v>0.0436</v>
      </c>
      <c r="G107" s="5" t="n">
        <v>-0.03394969319136332</v>
      </c>
      <c r="H107" s="5" t="n">
        <v>-0.01451551320051869</v>
      </c>
      <c r="I107" s="17" t="n">
        <v>1333576000</v>
      </c>
      <c r="J107" s="17" t="n">
        <v>7096249000</v>
      </c>
      <c r="K107" s="17" t="n">
        <v>0</v>
      </c>
      <c r="L107" s="17" t="n">
        <v>218823907</v>
      </c>
      <c r="M107" s="5" t="n">
        <v>0.076</v>
      </c>
      <c r="N107" s="9">
        <f>IF(F107="","",F107+'Léeme'!$B$10)</f>
        <v/>
      </c>
      <c r="O107" s="9">
        <f>IF(OR(G107="",N107=""),"",MIN(MAX(G107,'Léeme'!$B$11),'Léeme'!$B$12,N107-'Léeme'!$B$16))</f>
        <v/>
      </c>
      <c r="P107" s="16">
        <f>IF(OR(D107="",O107=""),"",IFERROR(IF(D107&lt;=0,"",D107*(1+O107)/(N107-O107)),""))</f>
        <v/>
      </c>
      <c r="Q107" s="9">
        <f>IF(H107="","",MIN(MAX(H107,'Léeme'!$B$13),'Léeme'!$B$14))</f>
        <v/>
      </c>
      <c r="R107" s="9">
        <f>IF(N107="","",MIN('Léeme'!$B$15,N107-'Léeme'!$B$16))</f>
        <v/>
      </c>
      <c r="S107" s="16">
        <f>IF(OR(E107="",Q107=""),"",IFERROR(IF(E107&lt;=0,"",E107*(((1+Q107)/(1+N107))+((1+Q107)/(1+N107))^2+((1+Q107)/(1+N107))^3+((1+Q107)/(1+N107))^4+((1+Q107)/(1+N107))^5)+E107*(1+Q107)^5*(1+R107)/((N107-R107)*(1+N107)^5)),""))</f>
        <v/>
      </c>
      <c r="T107" s="9">
        <f>IF(OR(E107="",N107=""),"",IFERROR((C107*N107-E107)/(C107+E107),""))</f>
        <v/>
      </c>
      <c r="U107" s="9">
        <f>IF(OR(H107="",T107=""),"",IFERROR(MIN(MAX(H107,'Léeme'!$B$17),'Léeme'!$B$18)-T107,""))</f>
        <v/>
      </c>
      <c r="V107" s="16">
        <f>IF(OR(I107="",M107="",L107=""),"",IFERROR((I107/M107-J107-K107)/L107,""))</f>
        <v/>
      </c>
      <c r="W107" s="11">
        <f>IFERROR(P107/C107-1,"")</f>
        <v/>
      </c>
      <c r="X107" s="11">
        <f>IFERROR(S107/C107-1,"")</f>
        <v/>
      </c>
      <c r="Y107" s="11">
        <f>IFERROR(V107/C107-1,"")</f>
        <v/>
      </c>
      <c r="Z107" s="3">
        <f>IF(OR(W107="",ISTEXT(W107)),"sin dato",IF(W107&gt;='Léeme'!$B$19,"barato",IF(W107&lt;=-'Léeme'!$B$19,"caro","medio")))</f>
        <v/>
      </c>
      <c r="AA107" s="3">
        <f>IF(OR(X107="",ISTEXT(X107)),"sin dato",IF(X107&gt;='Léeme'!$B$19,"barato",IF(X107&lt;=-'Léeme'!$B$19,"caro","medio")))</f>
        <v/>
      </c>
      <c r="AB107" s="3">
        <f>IF(OR(U107="",ISTEXT(U107)),"sin dato",IF(U107&gt;='Léeme'!$B$20,"barato",IF(U107&lt;=-'Léeme'!$B$20,"caro","medio")))</f>
        <v/>
      </c>
      <c r="AC107" s="3">
        <f>IF(OR(Y107="",ISTEXT(Y107)),"sin dato",IF(Y107&gt;='Léeme'!$B$19,"barato",IF(Y107&lt;=-'Léeme'!$B$19,"caro","medio")))</f>
        <v/>
      </c>
      <c r="AD107" s="7" t="n">
        <v>0.041015625</v>
      </c>
      <c r="AE107" s="7" t="n">
        <v>0.1282608695652174</v>
      </c>
      <c r="AF107" s="7" t="n">
        <v>0.01956521739130435</v>
      </c>
      <c r="AG107" s="7" t="n">
        <v>0.6132075471698113</v>
      </c>
    </row>
    <row r="108">
      <c r="A108" s="3" t="inlineStr">
        <is>
          <t>2024-T3</t>
        </is>
      </c>
      <c r="B108" s="13" t="n">
        <v>45565</v>
      </c>
      <c r="C108" s="14" t="n">
        <v>62.299999</v>
      </c>
      <c r="D108" s="14" t="n">
        <v>3.5</v>
      </c>
      <c r="E108" s="14" t="n">
        <v>4.819999999999999</v>
      </c>
      <c r="F108" s="5" t="n">
        <v>0.0381</v>
      </c>
      <c r="G108" s="5" t="n">
        <v>-0.03321554325357468</v>
      </c>
      <c r="H108" s="5" t="n">
        <v>-0.02210628563522887</v>
      </c>
      <c r="I108" s="17" t="n">
        <v>1336252000</v>
      </c>
      <c r="J108" s="17" t="n">
        <v>7016481000</v>
      </c>
      <c r="K108" s="17" t="n">
        <v>0</v>
      </c>
      <c r="L108" s="17" t="n">
        <v>218831869</v>
      </c>
      <c r="M108" s="5" t="n">
        <v>0.076</v>
      </c>
      <c r="N108" s="9">
        <f>IF(F108="","",F108+'Léeme'!$B$10)</f>
        <v/>
      </c>
      <c r="O108" s="9">
        <f>IF(OR(G108="",N108=""),"",MIN(MAX(G108,'Léeme'!$B$11),'Léeme'!$B$12,N108-'Léeme'!$B$16))</f>
        <v/>
      </c>
      <c r="P108" s="16">
        <f>IF(OR(D108="",O108=""),"",IFERROR(IF(D108&lt;=0,"",D108*(1+O108)/(N108-O108)),""))</f>
        <v/>
      </c>
      <c r="Q108" s="9">
        <f>IF(H108="","",MIN(MAX(H108,'Léeme'!$B$13),'Léeme'!$B$14))</f>
        <v/>
      </c>
      <c r="R108" s="9">
        <f>IF(N108="","",MIN('Léeme'!$B$15,N108-'Léeme'!$B$16))</f>
        <v/>
      </c>
      <c r="S108" s="16">
        <f>IF(OR(E108="",Q108=""),"",IFERROR(IF(E108&lt;=0,"",E108*(((1+Q108)/(1+N108))+((1+Q108)/(1+N108))^2+((1+Q108)/(1+N108))^3+((1+Q108)/(1+N108))^4+((1+Q108)/(1+N108))^5)+E108*(1+Q108)^5*(1+R108)/((N108-R108)*(1+N108)^5)),""))</f>
        <v/>
      </c>
      <c r="T108" s="9">
        <f>IF(OR(E108="",N108=""),"",IFERROR((C108*N108-E108)/(C108+E108),""))</f>
        <v/>
      </c>
      <c r="U108" s="9">
        <f>IF(OR(H108="",T108=""),"",IFERROR(MIN(MAX(H108,'Léeme'!$B$17),'Léeme'!$B$18)-T108,""))</f>
        <v/>
      </c>
      <c r="V108" s="16">
        <f>IF(OR(I108="",M108="",L108=""),"",IFERROR((I108/M108-J108-K108)/L108,""))</f>
        <v/>
      </c>
      <c r="W108" s="11">
        <f>IFERROR(P108/C108-1,"")</f>
        <v/>
      </c>
      <c r="X108" s="11">
        <f>IFERROR(S108/C108-1,"")</f>
        <v/>
      </c>
      <c r="Y108" s="11">
        <f>IFERROR(V108/C108-1,"")</f>
        <v/>
      </c>
      <c r="Z108" s="3">
        <f>IF(OR(W108="",ISTEXT(W108)),"sin dato",IF(W108&gt;='Léeme'!$B$19,"barato",IF(W108&lt;=-'Léeme'!$B$19,"caro","medio")))</f>
        <v/>
      </c>
      <c r="AA108" s="3">
        <f>IF(OR(X108="",ISTEXT(X108)),"sin dato",IF(X108&gt;='Léeme'!$B$19,"barato",IF(X108&lt;=-'Léeme'!$B$19,"caro","medio")))</f>
        <v/>
      </c>
      <c r="AB108" s="3">
        <f>IF(OR(U108="",ISTEXT(U108)),"sin dato",IF(U108&gt;='Léeme'!$B$20,"barato",IF(U108&lt;=-'Léeme'!$B$20,"caro","medio")))</f>
        <v/>
      </c>
      <c r="AC108" s="3">
        <f>IF(OR(Y108="",ISTEXT(Y108)),"sin dato",IF(Y108&gt;='Léeme'!$B$19,"barato",IF(Y108&lt;=-'Léeme'!$B$19,"caro","medio")))</f>
        <v/>
      </c>
      <c r="AD108" s="7" t="n">
        <v>0.01737451737451737</v>
      </c>
      <c r="AE108" s="7" t="n">
        <v>0.07081545064377683</v>
      </c>
      <c r="AF108" s="7" t="n">
        <v>0.002145922746781116</v>
      </c>
      <c r="AG108" s="7" t="n">
        <v>0.2767857142857143</v>
      </c>
    </row>
    <row r="109">
      <c r="A109" s="3" t="inlineStr">
        <is>
          <t>2024-T4</t>
        </is>
      </c>
      <c r="B109" s="13" t="n">
        <v>45657</v>
      </c>
      <c r="C109" s="14" t="n">
        <v>54.48</v>
      </c>
      <c r="D109" s="14" t="n">
        <v>3.52</v>
      </c>
      <c r="E109" s="14" t="n">
        <v>4.68</v>
      </c>
      <c r="F109" s="5" t="n">
        <v>0.0458</v>
      </c>
      <c r="G109" s="5" t="n">
        <v>-0.03248643281928454</v>
      </c>
      <c r="H109" s="5" t="n">
        <v>-0.02785417008483437</v>
      </c>
      <c r="I109" s="17" t="n">
        <v>1366148000</v>
      </c>
      <c r="J109" s="17" t="n">
        <v>7154627000</v>
      </c>
      <c r="K109" s="17" t="n">
        <v>0</v>
      </c>
      <c r="L109" s="17" t="n">
        <v>218847015</v>
      </c>
      <c r="M109" s="5" t="n">
        <v>0.076</v>
      </c>
      <c r="N109" s="9">
        <f>IF(F109="","",F109+'Léeme'!$B$10)</f>
        <v/>
      </c>
      <c r="O109" s="9">
        <f>IF(OR(G109="",N109=""),"",MIN(MAX(G109,'Léeme'!$B$11),'Léeme'!$B$12,N109-'Léeme'!$B$16))</f>
        <v/>
      </c>
      <c r="P109" s="16">
        <f>IF(OR(D109="",O109=""),"",IFERROR(IF(D109&lt;=0,"",D109*(1+O109)/(N109-O109)),""))</f>
        <v/>
      </c>
      <c r="Q109" s="9">
        <f>IF(H109="","",MIN(MAX(H109,'Léeme'!$B$13),'Léeme'!$B$14))</f>
        <v/>
      </c>
      <c r="R109" s="9">
        <f>IF(N109="","",MIN('Léeme'!$B$15,N109-'Léeme'!$B$16))</f>
        <v/>
      </c>
      <c r="S109" s="16">
        <f>IF(OR(E109="",Q109=""),"",IFERROR(IF(E109&lt;=0,"",E109*(((1+Q109)/(1+N109))+((1+Q109)/(1+N109))^2+((1+Q109)/(1+N109))^3+((1+Q109)/(1+N109))^4+((1+Q109)/(1+N109))^5)+E109*(1+Q109)^5*(1+R109)/((N109-R109)*(1+N109)^5)),""))</f>
        <v/>
      </c>
      <c r="T109" s="9">
        <f>IF(OR(E109="",N109=""),"",IFERROR((C109*N109-E109)/(C109+E109),""))</f>
        <v/>
      </c>
      <c r="U109" s="9">
        <f>IF(OR(H109="",T109=""),"",IFERROR(MIN(MAX(H109,'Léeme'!$B$17),'Léeme'!$B$18)-T109,""))</f>
        <v/>
      </c>
      <c r="V109" s="16">
        <f>IF(OR(I109="",M109="",L109=""),"",IFERROR((I109/M109-J109-K109)/L109,""))</f>
        <v/>
      </c>
      <c r="W109" s="11">
        <f>IFERROR(P109/C109-1,"")</f>
        <v/>
      </c>
      <c r="X109" s="11">
        <f>IFERROR(S109/C109-1,"")</f>
        <v/>
      </c>
      <c r="Y109" s="11">
        <f>IFERROR(V109/C109-1,"")</f>
        <v/>
      </c>
      <c r="Z109" s="3">
        <f>IF(OR(W109="",ISTEXT(W109)),"sin dato",IF(W109&gt;='Léeme'!$B$19,"barato",IF(W109&lt;=-'Léeme'!$B$19,"caro","medio")))</f>
        <v/>
      </c>
      <c r="AA109" s="3">
        <f>IF(OR(X109="",ISTEXT(X109)),"sin dato",IF(X109&gt;='Léeme'!$B$19,"barato",IF(X109&lt;=-'Léeme'!$B$19,"caro","medio")))</f>
        <v/>
      </c>
      <c r="AB109" s="3">
        <f>IF(OR(U109="",ISTEXT(U109)),"sin dato",IF(U109&gt;='Léeme'!$B$20,"barato",IF(U109&lt;=-'Léeme'!$B$20,"caro","medio")))</f>
        <v/>
      </c>
      <c r="AC109" s="3">
        <f>IF(OR(Y109="",ISTEXT(Y109)),"sin dato",IF(Y109&gt;='Léeme'!$B$19,"barato",IF(Y109&lt;=-'Léeme'!$B$19,"caro","medio")))</f>
        <v/>
      </c>
      <c r="AD109" s="7" t="n">
        <v>0.04770992366412214</v>
      </c>
      <c r="AE109" s="7" t="n">
        <v>0.03601694915254237</v>
      </c>
      <c r="AF109" s="7" t="n">
        <v>0.00211864406779661</v>
      </c>
      <c r="AG109" s="7" t="n">
        <v>0.7033898305084746</v>
      </c>
    </row>
    <row r="110">
      <c r="A110" s="3" t="inlineStr">
        <is>
          <t>2025-T1</t>
        </is>
      </c>
      <c r="B110" s="13" t="n">
        <v>45747</v>
      </c>
      <c r="C110" s="14" t="n">
        <v>63.110001</v>
      </c>
      <c r="D110" s="14" t="n">
        <v>3.56</v>
      </c>
      <c r="E110" s="14" t="n">
        <v>4.699999999999999</v>
      </c>
      <c r="F110" s="5" t="n">
        <v>0.0423</v>
      </c>
      <c r="G110" s="5" t="n">
        <v>-0.03067071545208055</v>
      </c>
      <c r="H110" s="5" t="n">
        <v>-0.0126934313837932</v>
      </c>
      <c r="I110" s="17" t="n">
        <v>1408620000</v>
      </c>
      <c r="J110" s="17" t="n">
        <v>7398629000</v>
      </c>
      <c r="K110" s="17" t="n">
        <v>0</v>
      </c>
      <c r="L110" s="17" t="n">
        <v>218848844</v>
      </c>
      <c r="M110" s="5" t="n">
        <v>0.075</v>
      </c>
      <c r="N110" s="9">
        <f>IF(F110="","",F110+'Léeme'!$B$10)</f>
        <v/>
      </c>
      <c r="O110" s="9">
        <f>IF(OR(G110="",N110=""),"",MIN(MAX(G110,'Léeme'!$B$11),'Léeme'!$B$12,N110-'Léeme'!$B$16))</f>
        <v/>
      </c>
      <c r="P110" s="16">
        <f>IF(OR(D110="",O110=""),"",IFERROR(IF(D110&lt;=0,"",D110*(1+O110)/(N110-O110)),""))</f>
        <v/>
      </c>
      <c r="Q110" s="9">
        <f>IF(H110="","",MIN(MAX(H110,'Léeme'!$B$13),'Léeme'!$B$14))</f>
        <v/>
      </c>
      <c r="R110" s="9">
        <f>IF(N110="","",MIN('Léeme'!$B$15,N110-'Léeme'!$B$16))</f>
        <v/>
      </c>
      <c r="S110" s="16">
        <f>IF(OR(E110="",Q110=""),"",IFERROR(IF(E110&lt;=0,"",E110*(((1+Q110)/(1+N110))+((1+Q110)/(1+N110))^2+((1+Q110)/(1+N110))^3+((1+Q110)/(1+N110))^4+((1+Q110)/(1+N110))^5)+E110*(1+Q110)^5*(1+R110)/((N110-R110)*(1+N110)^5)),""))</f>
        <v/>
      </c>
      <c r="T110" s="9">
        <f>IF(OR(E110="",N110=""),"",IFERROR((C110*N110-E110)/(C110+E110),""))</f>
        <v/>
      </c>
      <c r="U110" s="9">
        <f>IF(OR(H110="",T110=""),"",IFERROR(MIN(MAX(H110,'Léeme'!$B$17),'Léeme'!$B$18)-T110,""))</f>
        <v/>
      </c>
      <c r="V110" s="16">
        <f>IF(OR(I110="",M110="",L110=""),"",IFERROR((I110/M110-J110-K110)/L110,""))</f>
        <v/>
      </c>
      <c r="W110" s="11">
        <f>IFERROR(P110/C110-1,"")</f>
        <v/>
      </c>
      <c r="X110" s="11">
        <f>IFERROR(S110/C110-1,"")</f>
        <v/>
      </c>
      <c r="Y110" s="11">
        <f>IFERROR(V110/C110-1,"")</f>
        <v/>
      </c>
      <c r="Z110" s="3">
        <f>IF(OR(W110="",ISTEXT(W110)),"sin dato",IF(W110&gt;='Léeme'!$B$19,"barato",IF(W110&lt;=-'Léeme'!$B$19,"caro","medio")))</f>
        <v/>
      </c>
      <c r="AA110" s="3">
        <f>IF(OR(X110="",ISTEXT(X110)),"sin dato",IF(X110&gt;='Léeme'!$B$19,"barato",IF(X110&lt;=-'Léeme'!$B$19,"caro","medio")))</f>
        <v/>
      </c>
      <c r="AB110" s="3">
        <f>IF(OR(U110="",ISTEXT(U110)),"sin dato",IF(U110&gt;='Léeme'!$B$20,"barato",IF(U110&lt;=-'Léeme'!$B$20,"caro","medio")))</f>
        <v/>
      </c>
      <c r="AC110" s="3">
        <f>IF(OR(Y110="",ISTEXT(Y110)),"sin dato",IF(Y110&gt;='Léeme'!$B$19,"barato",IF(Y110&lt;=-'Léeme'!$B$19,"caro","medio")))</f>
        <v/>
      </c>
      <c r="AD110" s="7" t="n">
        <v>0.009433962264150943</v>
      </c>
      <c r="AE110" s="7" t="n">
        <v>0.01882845188284519</v>
      </c>
      <c r="AF110" s="7" t="n">
        <v>0.03138075313807531</v>
      </c>
      <c r="AG110" s="7" t="n">
        <v>0.4919354838709677</v>
      </c>
    </row>
    <row r="111">
      <c r="A111" s="3" t="inlineStr">
        <is>
          <t>2025-T2</t>
        </is>
      </c>
      <c r="B111" s="13" t="n">
        <v>45838</v>
      </c>
      <c r="C111" s="14" t="n">
        <v>62.380001</v>
      </c>
      <c r="D111" s="14" t="n">
        <v>3.6</v>
      </c>
      <c r="E111" s="14" t="n">
        <v>4.73</v>
      </c>
      <c r="F111" s="5" t="n">
        <v>0.0424</v>
      </c>
      <c r="G111" s="5" t="n">
        <v>-0.02887539436042763</v>
      </c>
      <c r="H111" s="5" t="n">
        <v>-0.01300727278933034</v>
      </c>
      <c r="I111" s="17" t="n">
        <v>1419248000</v>
      </c>
      <c r="J111" s="17" t="n">
        <v>7678493000</v>
      </c>
      <c r="K111" s="17" t="n">
        <v>0</v>
      </c>
      <c r="L111" s="17" t="n">
        <v>218975748</v>
      </c>
      <c r="M111" s="5" t="n">
        <v>0.075</v>
      </c>
      <c r="N111" s="9">
        <f>IF(F111="","",F111+'Léeme'!$B$10)</f>
        <v/>
      </c>
      <c r="O111" s="9">
        <f>IF(OR(G111="",N111=""),"",MIN(MAX(G111,'Léeme'!$B$11),'Léeme'!$B$12,N111-'Léeme'!$B$16))</f>
        <v/>
      </c>
      <c r="P111" s="16">
        <f>IF(OR(D111="",O111=""),"",IFERROR(IF(D111&lt;=0,"",D111*(1+O111)/(N111-O111)),""))</f>
        <v/>
      </c>
      <c r="Q111" s="9">
        <f>IF(H111="","",MIN(MAX(H111,'Léeme'!$B$13),'Léeme'!$B$14))</f>
        <v/>
      </c>
      <c r="R111" s="9">
        <f>IF(N111="","",MIN('Léeme'!$B$15,N111-'Léeme'!$B$16))</f>
        <v/>
      </c>
      <c r="S111" s="16">
        <f>IF(OR(E111="",Q111=""),"",IFERROR(IF(E111&lt;=0,"",E111*(((1+Q111)/(1+N111))+((1+Q111)/(1+N111))^2+((1+Q111)/(1+N111))^3+((1+Q111)/(1+N111))^4+((1+Q111)/(1+N111))^5)+E111*(1+Q111)^5*(1+R111)/((N111-R111)*(1+N111)^5)),""))</f>
        <v/>
      </c>
      <c r="T111" s="9">
        <f>IF(OR(E111="",N111=""),"",IFERROR((C111*N111-E111)/(C111+E111),""))</f>
        <v/>
      </c>
      <c r="U111" s="9">
        <f>IF(OR(H111="",T111=""),"",IFERROR(MIN(MAX(H111,'Léeme'!$B$17),'Léeme'!$B$18)-T111,""))</f>
        <v/>
      </c>
      <c r="V111" s="16">
        <f>IF(OR(I111="",M111="",L111=""),"",IFERROR((I111/M111-J111-K111)/L111,""))</f>
        <v/>
      </c>
      <c r="W111" s="11">
        <f>IFERROR(P111/C111-1,"")</f>
        <v/>
      </c>
      <c r="X111" s="11">
        <f>IFERROR(S111/C111-1,"")</f>
        <v/>
      </c>
      <c r="Y111" s="11">
        <f>IFERROR(V111/C111-1,"")</f>
        <v/>
      </c>
      <c r="Z111" s="3">
        <f>IF(OR(W111="",ISTEXT(W111)),"sin dato",IF(W111&gt;='Léeme'!$B$19,"barato",IF(W111&lt;=-'Léeme'!$B$19,"caro","medio")))</f>
        <v/>
      </c>
      <c r="AA111" s="3">
        <f>IF(OR(X111="",ISTEXT(X111)),"sin dato",IF(X111&gt;='Léeme'!$B$19,"barato",IF(X111&lt;=-'Léeme'!$B$19,"caro","medio")))</f>
        <v/>
      </c>
      <c r="AB111" s="3">
        <f>IF(OR(U111="",ISTEXT(U111)),"sin dato",IF(U111&gt;='Léeme'!$B$20,"barato",IF(U111&lt;=-'Léeme'!$B$20,"caro","medio")))</f>
        <v/>
      </c>
      <c r="AC111" s="3">
        <f>IF(OR(Y111="",ISTEXT(Y111)),"sin dato",IF(Y111&gt;='Léeme'!$B$19,"barato",IF(Y111&lt;=-'Léeme'!$B$19,"caro","medio")))</f>
        <v/>
      </c>
      <c r="AD111" s="7" t="n">
        <v>0.02425373134328358</v>
      </c>
      <c r="AE111" s="7" t="n">
        <v>0.03099173553719008</v>
      </c>
      <c r="AF111" s="7" t="n">
        <v>0.04338842975206612</v>
      </c>
      <c r="AG111" s="7" t="n">
        <v>0.5</v>
      </c>
    </row>
    <row r="112">
      <c r="A112" s="3" t="inlineStr">
        <is>
          <t>2025-T3</t>
        </is>
      </c>
      <c r="B112" s="13" t="n">
        <v>45930</v>
      </c>
      <c r="C112" s="14" t="n">
        <v>67.56999999999999</v>
      </c>
      <c r="D112" s="14" t="n">
        <v>3.64</v>
      </c>
      <c r="E112" s="14" t="n">
        <v>4.84</v>
      </c>
      <c r="F112" s="5" t="n">
        <v>0.0416</v>
      </c>
      <c r="G112" s="5" t="n">
        <v>-0.02710005524669179</v>
      </c>
      <c r="H112" s="5" t="n">
        <v>-0.005286998243281382</v>
      </c>
      <c r="I112" s="17" t="n">
        <v>1486320000</v>
      </c>
      <c r="J112" s="17" t="n">
        <v>8391154000</v>
      </c>
      <c r="K112" s="17" t="n">
        <v>0</v>
      </c>
      <c r="L112" s="17" t="n">
        <v>218978908</v>
      </c>
      <c r="M112" s="5" t="n">
        <v>0.075</v>
      </c>
      <c r="N112" s="9">
        <f>IF(F112="","",F112+'Léeme'!$B$10)</f>
        <v/>
      </c>
      <c r="O112" s="9">
        <f>IF(OR(G112="",N112=""),"",MIN(MAX(G112,'Léeme'!$B$11),'Léeme'!$B$12,N112-'Léeme'!$B$16))</f>
        <v/>
      </c>
      <c r="P112" s="16">
        <f>IF(OR(D112="",O112=""),"",IFERROR(IF(D112&lt;=0,"",D112*(1+O112)/(N112-O112)),""))</f>
        <v/>
      </c>
      <c r="Q112" s="9">
        <f>IF(H112="","",MIN(MAX(H112,'Léeme'!$B$13),'Léeme'!$B$14))</f>
        <v/>
      </c>
      <c r="R112" s="9">
        <f>IF(N112="","",MIN('Léeme'!$B$15,N112-'Léeme'!$B$16))</f>
        <v/>
      </c>
      <c r="S112" s="16">
        <f>IF(OR(E112="",Q112=""),"",IFERROR(IF(E112&lt;=0,"",E112*(((1+Q112)/(1+N112))+((1+Q112)/(1+N112))^2+((1+Q112)/(1+N112))^3+((1+Q112)/(1+N112))^4+((1+Q112)/(1+N112))^5)+E112*(1+Q112)^5*(1+R112)/((N112-R112)*(1+N112)^5)),""))</f>
        <v/>
      </c>
      <c r="T112" s="9">
        <f>IF(OR(E112="",N112=""),"",IFERROR((C112*N112-E112)/(C112+E112),""))</f>
        <v/>
      </c>
      <c r="U112" s="9">
        <f>IF(OR(H112="",T112=""),"",IFERROR(MIN(MAX(H112,'Léeme'!$B$17),'Léeme'!$B$18)-T112,""))</f>
        <v/>
      </c>
      <c r="V112" s="16">
        <f>IF(OR(I112="",M112="",L112=""),"",IFERROR((I112/M112-J112-K112)/L112,""))</f>
        <v/>
      </c>
      <c r="W112" s="11">
        <f>IFERROR(P112/C112-1,"")</f>
        <v/>
      </c>
      <c r="X112" s="11">
        <f>IFERROR(S112/C112-1,"")</f>
        <v/>
      </c>
      <c r="Y112" s="11">
        <f>IFERROR(V112/C112-1,"")</f>
        <v/>
      </c>
      <c r="Z112" s="3">
        <f>IF(OR(W112="",ISTEXT(W112)),"sin dato",IF(W112&gt;='Léeme'!$B$19,"barato",IF(W112&lt;=-'Léeme'!$B$19,"caro","medio")))</f>
        <v/>
      </c>
      <c r="AA112" s="3">
        <f>IF(OR(X112="",ISTEXT(X112)),"sin dato",IF(X112&gt;='Léeme'!$B$19,"barato",IF(X112&lt;=-'Léeme'!$B$19,"caro","medio")))</f>
        <v/>
      </c>
      <c r="AB112" s="3">
        <f>IF(OR(U112="",ISTEXT(U112)),"sin dato",IF(U112&gt;='Léeme'!$B$20,"barato",IF(U112&lt;=-'Léeme'!$B$20,"caro","medio")))</f>
        <v/>
      </c>
      <c r="AC112" s="3">
        <f>IF(OR(Y112="",ISTEXT(Y112)),"sin dato",IF(Y112&gt;='Léeme'!$B$19,"barato",IF(Y112&lt;=-'Léeme'!$B$19,"caro","medio")))</f>
        <v/>
      </c>
      <c r="AD112" s="7" t="n">
        <v>0.005535055350553505</v>
      </c>
      <c r="AE112" s="7" t="n">
        <v>0.01428571428571429</v>
      </c>
      <c r="AF112" s="7" t="n">
        <v>0.05510204081632653</v>
      </c>
      <c r="AG112" s="7" t="n">
        <v>0.2279411764705882</v>
      </c>
    </row>
    <row r="113">
      <c r="A113" s="3" t="inlineStr">
        <is>
          <t>2025-T4</t>
        </is>
      </c>
      <c r="B113" s="13" t="n">
        <v>46022</v>
      </c>
      <c r="C113" s="14" t="n">
        <v>64.360001</v>
      </c>
      <c r="D113" s="14" t="n">
        <v>3.68</v>
      </c>
      <c r="E113" s="14" t="n">
        <v>4.91</v>
      </c>
      <c r="F113" s="5" t="n">
        <v>0.0418</v>
      </c>
      <c r="G113" s="5" t="n">
        <v>-0.02534429645468161</v>
      </c>
      <c r="H113" s="5" t="n">
        <v>0.003706856208954834</v>
      </c>
      <c r="I113" s="17" t="n">
        <v>1499524000</v>
      </c>
      <c r="J113" s="17" t="n">
        <v>8435610000</v>
      </c>
      <c r="K113" s="17" t="n">
        <v>0</v>
      </c>
      <c r="L113" s="17" t="n">
        <v>219144586</v>
      </c>
      <c r="M113" s="5" t="n">
        <v>0.075</v>
      </c>
      <c r="N113" s="9">
        <f>IF(F113="","",F113+'Léeme'!$B$10)</f>
        <v/>
      </c>
      <c r="O113" s="9">
        <f>IF(OR(G113="",N113=""),"",MIN(MAX(G113,'Léeme'!$B$11),'Léeme'!$B$12,N113-'Léeme'!$B$16))</f>
        <v/>
      </c>
      <c r="P113" s="16">
        <f>IF(OR(D113="",O113=""),"",IFERROR(IF(D113&lt;=0,"",D113*(1+O113)/(N113-O113)),""))</f>
        <v/>
      </c>
      <c r="Q113" s="9">
        <f>IF(H113="","",MIN(MAX(H113,'Léeme'!$B$13),'Léeme'!$B$14))</f>
        <v/>
      </c>
      <c r="R113" s="9">
        <f>IF(N113="","",MIN('Léeme'!$B$15,N113-'Léeme'!$B$16))</f>
        <v/>
      </c>
      <c r="S113" s="16">
        <f>IF(OR(E113="",Q113=""),"",IFERROR(IF(E113&lt;=0,"",E113*(((1+Q113)/(1+N113))+((1+Q113)/(1+N113))^2+((1+Q113)/(1+N113))^3+((1+Q113)/(1+N113))^4+((1+Q113)/(1+N113))^5)+E113*(1+Q113)^5*(1+R113)/((N113-R113)*(1+N113)^5)),""))</f>
        <v/>
      </c>
      <c r="T113" s="9">
        <f>IF(OR(E113="",N113=""),"",IFERROR((C113*N113-E113)/(C113+E113),""))</f>
        <v/>
      </c>
      <c r="U113" s="9">
        <f>IF(OR(H113="",T113=""),"",IFERROR(MIN(MAX(H113,'Léeme'!$B$17),'Léeme'!$B$18)-T113,""))</f>
        <v/>
      </c>
      <c r="V113" s="16">
        <f>IF(OR(I113="",M113="",L113=""),"",IFERROR((I113/M113-J113-K113)/L113,""))</f>
        <v/>
      </c>
      <c r="W113" s="11">
        <f>IFERROR(P113/C113-1,"")</f>
        <v/>
      </c>
      <c r="X113" s="11">
        <f>IFERROR(S113/C113-1,"")</f>
        <v/>
      </c>
      <c r="Y113" s="11">
        <f>IFERROR(V113/C113-1,"")</f>
        <v/>
      </c>
      <c r="Z113" s="3">
        <f>IF(OR(W113="",ISTEXT(W113)),"sin dato",IF(W113&gt;='Léeme'!$B$19,"barato",IF(W113&lt;=-'Léeme'!$B$19,"caro","medio")))</f>
        <v/>
      </c>
      <c r="AA113" s="3">
        <f>IF(OR(X113="",ISTEXT(X113)),"sin dato",IF(X113&gt;='Léeme'!$B$19,"barato",IF(X113&lt;=-'Léeme'!$B$19,"caro","medio")))</f>
        <v/>
      </c>
      <c r="AB113" s="3">
        <f>IF(OR(U113="",ISTEXT(U113)),"sin dato",IF(U113&gt;='Léeme'!$B$20,"barato",IF(U113&lt;=-'Léeme'!$B$20,"caro","medio")))</f>
        <v/>
      </c>
      <c r="AC113" s="3">
        <f>IF(OR(Y113="",ISTEXT(Y113)),"sin dato",IF(Y113&gt;='Léeme'!$B$19,"barato",IF(Y113&lt;=-'Léeme'!$B$19,"caro","medio")))</f>
        <v/>
      </c>
      <c r="AD113" s="7" t="n">
        <v>0.04197080291970803</v>
      </c>
      <c r="AE113" s="7" t="n">
        <v>0.0625</v>
      </c>
      <c r="AF113" s="7" t="n">
        <v>0.155241935483871</v>
      </c>
      <c r="AG113" s="7" t="n">
        <v>0.5140845070422535</v>
      </c>
    </row>
    <row r="114">
      <c r="A114" s="3" t="inlineStr">
        <is>
          <t>2026-T1</t>
        </is>
      </c>
      <c r="B114" s="13" t="n">
        <v>46112</v>
      </c>
      <c r="C114" s="14" t="n">
        <v>67.959999</v>
      </c>
      <c r="D114" s="14" t="n">
        <v>3.72</v>
      </c>
      <c r="E114" s="14" t="n">
        <v>4.970000000000001</v>
      </c>
      <c r="F114" s="5" t="n">
        <v>0.043</v>
      </c>
      <c r="G114" s="5" t="n">
        <v>-0.02360772845213033</v>
      </c>
      <c r="H114" s="5" t="n">
        <v>0.009521585470366745</v>
      </c>
      <c r="I114" s="17" t="n">
        <v>1561304000</v>
      </c>
      <c r="J114" s="17" t="n">
        <v>8567361000</v>
      </c>
      <c r="K114" s="17" t="n">
        <v>0</v>
      </c>
      <c r="L114" s="17" t="n">
        <v>219145876</v>
      </c>
      <c r="M114" s="5" t="n">
        <v>0.076</v>
      </c>
      <c r="N114" s="9">
        <f>IF(F114="","",F114+'Léeme'!$B$10)</f>
        <v/>
      </c>
      <c r="O114" s="9">
        <f>IF(OR(G114="",N114=""),"",MIN(MAX(G114,'Léeme'!$B$11),'Léeme'!$B$12,N114-'Léeme'!$B$16))</f>
        <v/>
      </c>
      <c r="P114" s="16">
        <f>IF(OR(D114="",O114=""),"",IFERROR(IF(D114&lt;=0,"",D114*(1+O114)/(N114-O114)),""))</f>
        <v/>
      </c>
      <c r="Q114" s="9">
        <f>IF(H114="","",MIN(MAX(H114,'Léeme'!$B$13),'Léeme'!$B$14))</f>
        <v/>
      </c>
      <c r="R114" s="9">
        <f>IF(N114="","",MIN('Léeme'!$B$15,N114-'Léeme'!$B$16))</f>
        <v/>
      </c>
      <c r="S114" s="16">
        <f>IF(OR(E114="",Q114=""),"",IFERROR(IF(E114&lt;=0,"",E114*(((1+Q114)/(1+N114))+((1+Q114)/(1+N114))^2+((1+Q114)/(1+N114))^3+((1+Q114)/(1+N114))^4+((1+Q114)/(1+N114))^5)+E114*(1+Q114)^5*(1+R114)/((N114-R114)*(1+N114)^5)),""))</f>
        <v/>
      </c>
      <c r="T114" s="9">
        <f>IF(OR(E114="",N114=""),"",IFERROR((C114*N114-E114)/(C114+E114),""))</f>
        <v/>
      </c>
      <c r="U114" s="9">
        <f>IF(OR(H114="",T114=""),"",IFERROR(MIN(MAX(H114,'Léeme'!$B$17),'Léeme'!$B$18)-T114,""))</f>
        <v/>
      </c>
      <c r="V114" s="16">
        <f>IF(OR(I114="",M114="",L114=""),"",IFERROR((I114/M114-J114-K114)/L114,""))</f>
        <v/>
      </c>
      <c r="W114" s="11">
        <f>IFERROR(P114/C114-1,"")</f>
        <v/>
      </c>
      <c r="X114" s="11">
        <f>IFERROR(S114/C114-1,"")</f>
        <v/>
      </c>
      <c r="Y114" s="11">
        <f>IFERROR(V114/C114-1,"")</f>
        <v/>
      </c>
      <c r="Z114" s="3">
        <f>IF(OR(W114="",ISTEXT(W114)),"sin dato",IF(W114&gt;='Léeme'!$B$19,"barato",IF(W114&lt;=-'Léeme'!$B$19,"caro","medio")))</f>
        <v/>
      </c>
      <c r="AA114" s="3">
        <f>IF(OR(X114="",ISTEXT(X114)),"sin dato",IF(X114&gt;='Léeme'!$B$19,"barato",IF(X114&lt;=-'Léeme'!$B$19,"caro","medio")))</f>
        <v/>
      </c>
      <c r="AB114" s="3">
        <f>IF(OR(U114="",ISTEXT(U114)),"sin dato",IF(U114&gt;='Léeme'!$B$20,"barato",IF(U114&lt;=-'Léeme'!$B$20,"caro","medio")))</f>
        <v/>
      </c>
      <c r="AC114" s="3">
        <f>IF(OR(Y114="",ISTEXT(Y114)),"sin dato",IF(Y114&gt;='Léeme'!$B$19,"barato",IF(Y114&lt;=-'Léeme'!$B$19,"caro","medio")))</f>
        <v/>
      </c>
      <c r="AD114" s="7" t="n">
        <v>0.01263537906137184</v>
      </c>
      <c r="AE114" s="7" t="n">
        <v>0.04581673306772908</v>
      </c>
      <c r="AF114" s="7" t="n">
        <v>0.1932270916334661</v>
      </c>
      <c r="AG114" s="7" t="n">
        <v>0.4256756756756757</v>
      </c>
    </row>
    <row r="115">
      <c r="A115" s="3" t="inlineStr">
        <is>
          <t>2026-T2</t>
        </is>
      </c>
      <c r="B115" s="13" t="n">
        <v>46203</v>
      </c>
      <c r="C115" s="14" t="n">
        <v>71.5</v>
      </c>
      <c r="D115" s="14" t="n">
        <v>3.76</v>
      </c>
      <c r="E115" s="14" t="n">
        <v>5.100000000000001</v>
      </c>
      <c r="F115" s="5" t="n">
        <v>0.0444</v>
      </c>
      <c r="G115" s="5" t="n">
        <v>-0.02188997333969123</v>
      </c>
      <c r="H115" s="5" t="n">
        <v>0.01603777272118356</v>
      </c>
      <c r="I115" s="17" t="n">
        <v>1611800000</v>
      </c>
      <c r="J115" s="17" t="n">
        <v>8514483000</v>
      </c>
      <c r="K115" s="17" t="n">
        <v>0</v>
      </c>
      <c r="L115" s="17" t="n">
        <v>222738368</v>
      </c>
      <c r="M115" s="5" t="n">
        <v>0.076</v>
      </c>
      <c r="N115" s="9">
        <f>IF(F115="","",F115+'Léeme'!$B$10)</f>
        <v/>
      </c>
      <c r="O115" s="9">
        <f>IF(OR(G115="",N115=""),"",MIN(MAX(G115,'Léeme'!$B$11),'Léeme'!$B$12,N115-'Léeme'!$B$16))</f>
        <v/>
      </c>
      <c r="P115" s="16">
        <f>IF(OR(D115="",O115=""),"",IFERROR(IF(D115&lt;=0,"",D115*(1+O115)/(N115-O115)),""))</f>
        <v/>
      </c>
      <c r="Q115" s="9">
        <f>IF(H115="","",MIN(MAX(H115,'Léeme'!$B$13),'Léeme'!$B$14))</f>
        <v/>
      </c>
      <c r="R115" s="9">
        <f>IF(N115="","",MIN('Léeme'!$B$15,N115-'Léeme'!$B$16))</f>
        <v/>
      </c>
      <c r="S115" s="16">
        <f>IF(OR(E115="",Q115=""),"",IFERROR(IF(E115&lt;=0,"",E115*(((1+Q115)/(1+N115))+((1+Q115)/(1+N115))^2+((1+Q115)/(1+N115))^3+((1+Q115)/(1+N115))^4+((1+Q115)/(1+N115))^5)+E115*(1+Q115)^5*(1+R115)/((N115-R115)*(1+N115)^5)),""))</f>
        <v/>
      </c>
      <c r="T115" s="9">
        <f>IF(OR(E115="",N115=""),"",IFERROR((C115*N115-E115)/(C115+E115),""))</f>
        <v/>
      </c>
      <c r="U115" s="9">
        <f>IF(OR(H115="",T115=""),"",IFERROR(MIN(MAX(H115,'Léeme'!$B$17),'Léeme'!$B$18)-T115,""))</f>
        <v/>
      </c>
      <c r="V115" s="16">
        <f>IF(OR(I115="",M115="",L115=""),"",IFERROR((I115/M115-J115-K115)/L115,""))</f>
        <v/>
      </c>
      <c r="W115" s="11">
        <f>IFERROR(P115/C115-1,"")</f>
        <v/>
      </c>
      <c r="X115" s="11">
        <f>IFERROR(S115/C115-1,"")</f>
        <v/>
      </c>
      <c r="Y115" s="11">
        <f>IFERROR(V115/C115-1,"")</f>
        <v/>
      </c>
      <c r="Z115" s="3">
        <f>IF(OR(W115="",ISTEXT(W115)),"sin dato",IF(W115&gt;='Léeme'!$B$19,"barato",IF(W115&lt;=-'Léeme'!$B$19,"caro","medio")))</f>
        <v/>
      </c>
      <c r="AA115" s="3">
        <f>IF(OR(X115="",ISTEXT(X115)),"sin dato",IF(X115&gt;='Léeme'!$B$19,"barato",IF(X115&lt;=-'Léeme'!$B$19,"caro","medio")))</f>
        <v/>
      </c>
      <c r="AB115" s="3">
        <f>IF(OR(U115="",ISTEXT(U115)),"sin dato",IF(U115&gt;='Léeme'!$B$20,"barato",IF(U115&lt;=-'Léeme'!$B$20,"caro","medio")))</f>
        <v/>
      </c>
      <c r="AC115" s="3">
        <f>IF(OR(Y115="",ISTEXT(Y115)),"sin dato",IF(Y115&gt;='Léeme'!$B$19,"barato",IF(Y115&lt;=-'Léeme'!$B$19,"caro","medio")))</f>
        <v/>
      </c>
      <c r="AD115" s="7" t="n">
        <v>0.008928571428571428</v>
      </c>
      <c r="AE115" s="7" t="n">
        <v>0.04527559055118111</v>
      </c>
      <c r="AF115" s="7" t="n">
        <v>0.2460629921259843</v>
      </c>
      <c r="AG115" s="7" t="n">
        <v>0.3701298701298701</v>
      </c>
    </row>
    <row r="116">
      <c r="A116" s="3" t="inlineStr">
        <is>
          <t>2026-T3</t>
        </is>
      </c>
      <c r="B116" s="13" t="n">
        <v>46293</v>
      </c>
      <c r="C116" s="14" t="n">
        <v>65.81999999999999</v>
      </c>
      <c r="D116" s="14" t="n">
        <v>3.76</v>
      </c>
      <c r="E116" s="14" t="n">
        <v>5.16</v>
      </c>
      <c r="F116" s="5" t="n">
        <v>0.0524</v>
      </c>
      <c r="G116" s="5" t="n">
        <v>-0.02188997333969123</v>
      </c>
      <c r="H116" s="5" t="n">
        <v>0.01288669872745452</v>
      </c>
      <c r="I116" s="17" t="n">
        <v>1613044000</v>
      </c>
      <c r="J116" s="17" t="n">
        <v>8688313000</v>
      </c>
      <c r="K116" s="17" t="n">
        <v>0</v>
      </c>
      <c r="L116" s="17" t="n">
        <v>227807251</v>
      </c>
      <c r="M116" s="5" t="n">
        <v>0.076</v>
      </c>
      <c r="N116" s="9">
        <f>IF(F116="","",F116+'Léeme'!$B$10)</f>
        <v/>
      </c>
      <c r="O116" s="9">
        <f>IF(OR(G116="",N116=""),"",MIN(MAX(G116,'Léeme'!$B$11),'Léeme'!$B$12,N116-'Léeme'!$B$16))</f>
        <v/>
      </c>
      <c r="P116" s="16">
        <f>IF(OR(D116="",O116=""),"",IFERROR(IF(D116&lt;=0,"",D116*(1+O116)/(N116-O116)),""))</f>
        <v/>
      </c>
      <c r="Q116" s="9">
        <f>IF(H116="","",MIN(MAX(H116,'Léeme'!$B$13),'Léeme'!$B$14))</f>
        <v/>
      </c>
      <c r="R116" s="9">
        <f>IF(N116="","",MIN('Léeme'!$B$15,N116-'Léeme'!$B$16))</f>
        <v/>
      </c>
      <c r="S116" s="16">
        <f>IF(OR(E116="",Q116=""),"",IFERROR(IF(E116&lt;=0,"",E116*(((1+Q116)/(1+N116))+((1+Q116)/(1+N116))^2+((1+Q116)/(1+N116))^3+((1+Q116)/(1+N116))^4+((1+Q116)/(1+N116))^5)+E116*(1+Q116)^5*(1+R116)/((N116-R116)*(1+N116)^5)),""))</f>
        <v/>
      </c>
      <c r="T116" s="9">
        <f>IF(OR(E116="",N116=""),"",IFERROR((C116*N116-E116)/(C116+E116),""))</f>
        <v/>
      </c>
      <c r="U116" s="9">
        <f>IF(OR(H116="",T116=""),"",IFERROR(MIN(MAX(H116,'Léeme'!$B$17),'Léeme'!$B$18)-T116,""))</f>
        <v/>
      </c>
      <c r="V116" s="16">
        <f>IF(OR(I116="",M116="",L116=""),"",IFERROR((I116/M116-J116-K116)/L116,""))</f>
        <v/>
      </c>
      <c r="W116" s="11">
        <f>IFERROR(P116/C116-1,"")</f>
        <v/>
      </c>
      <c r="X116" s="11">
        <f>IFERROR(S116/C116-1,"")</f>
        <v/>
      </c>
      <c r="Y116" s="11">
        <f>IFERROR(V116/C116-1,"")</f>
        <v/>
      </c>
      <c r="Z116" s="3">
        <f>IF(OR(W116="",ISTEXT(W116)),"sin dato",IF(W116&gt;='Léeme'!$B$19,"barato",IF(W116&lt;=-'Léeme'!$B$19,"caro","medio")))</f>
        <v/>
      </c>
      <c r="AA116" s="3">
        <f>IF(OR(X116="",ISTEXT(X116)),"sin dato",IF(X116&gt;='Léeme'!$B$19,"barato",IF(X116&lt;=-'Léeme'!$B$19,"caro","medio")))</f>
        <v/>
      </c>
      <c r="AB116" s="3">
        <f>IF(OR(U116="",ISTEXT(U116)),"sin dato",IF(U116&gt;='Léeme'!$B$20,"barato",IF(U116&lt;=-'Léeme'!$B$20,"caro","medio")))</f>
        <v/>
      </c>
      <c r="AC116" s="3">
        <f>IF(OR(Y116="",ISTEXT(Y116)),"sin dato",IF(Y116&gt;='Léeme'!$B$19,"barato",IF(Y116&lt;=-'Léeme'!$B$19,"caro","medio")))</f>
        <v/>
      </c>
      <c r="AD116" s="7" t="n">
        <v>0.01236749116607774</v>
      </c>
      <c r="AE116" s="7" t="n">
        <v>0.009727626459143969</v>
      </c>
      <c r="AF116" s="7" t="n">
        <v>0.1848249027237354</v>
      </c>
      <c r="AG116" s="7" t="n">
        <v>0.64375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2026-10-13T14:40:26Z</dcterms:created>
  <dcterms:modified xmlns:dcterms="http://purl.org/dc/terms/" xmlns:xsi="http://www.w3.org/2001/XMLSchema-instance" xsi:type="dcterms:W3CDTF">2026-10-13T14:40:26Z</dcterms:modified>
</cp:coreProperties>
</file>