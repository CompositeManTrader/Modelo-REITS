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Hoy" sheetId="2" state="visible" r:id="rId2"/>
    <sheet xmlns:r="http://schemas.openxmlformats.org/officeDocument/2006/relationships" name="Asignación" sheetId="3" state="visible" r:id="rId3"/>
    <sheet xmlns:r="http://schemas.openxmlformats.org/officeDocument/2006/relationships" name="Evaluación" sheetId="4" state="visible" r:id="rId4"/>
    <sheet xmlns:r="http://schemas.openxmlformats.org/officeDocument/2006/relationships" name="NNN" sheetId="5" state="visible" r:id="rId5"/>
    <sheet xmlns:r="http://schemas.openxmlformats.org/officeDocument/2006/relationships" name="O" sheetId="6" state="visible" r:id="rId6"/>
    <sheet xmlns:r="http://schemas.openxmlformats.org/officeDocument/2006/relationships" name="WPC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yyyy-mm-dd"/>
    <numFmt numFmtId="166" formatCode="mm-yyyy"/>
    <numFmt numFmtId="167" formatCode="#,##0&quot; bps&quot;"/>
    <numFmt numFmtId="168" formatCode="dd-mm-yyyy"/>
    <numFmt numFmtId="169" formatCode="0.00&quot;x&quot;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FF000000"/>
      <sz val="11"/>
    </font>
    <font>
      <name val="Calibri"/>
      <b val="1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4" fillId="3" borderId="0" pivotButton="0" quotePrefix="0" xfId="0"/>
    <xf numFmtId="0" fontId="2" fillId="0" borderId="0" pivotButton="0" quotePrefix="0" xfId="0"/>
    <xf numFmtId="9" fontId="3" fillId="0" borderId="0" pivotButton="0" quotePrefix="0" xfId="0"/>
    <xf numFmtId="166" fontId="3" fillId="0" borderId="0" pivotButton="0" quotePrefix="0" xfId="0"/>
    <xf numFmtId="10" fontId="3" fillId="0" borderId="0" pivotButton="0" quotePrefix="0" xfId="0"/>
    <xf numFmtId="167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8" fontId="3" fillId="0" borderId="0" pivotButton="0" quotePrefix="0" xfId="0"/>
    <xf numFmtId="4" fontId="4" fillId="3" borderId="0" pivotButton="0" quotePrefix="0" xfId="0"/>
    <xf numFmtId="10" fontId="4" fillId="3" borderId="0" pivotButton="0" quotePrefix="0" xfId="0"/>
    <xf numFmtId="16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8" customWidth="1" min="1" max="1"/>
    <col width="140" customWidth="1" min="2" max="2"/>
  </cols>
  <sheetData>
    <row r="1">
      <c r="A1" s="1" t="inlineStr">
        <is>
          <t>Métodos de valuación en el tiempo</t>
        </is>
      </c>
    </row>
    <row r="2">
      <c r="A2" t="inlineStr">
        <is>
          <t>Emisores: NNN, O, WPC · datos al 28-09-2026 · generado el 29-09-2026</t>
        </is>
      </c>
    </row>
    <row r="3">
      <c r="A3" t="inlineStr">
        <is>
          <t>Azul sobre amarillo: insumo, editable. Negro: fórmula o valor calculado por el estudio. Herramienta de análisis, no asesoría de inversión.</t>
        </is>
      </c>
    </row>
    <row r="5">
      <c r="A5" s="2" t="inlineStr">
        <is>
          <t>Umbrales de la señal (percentil contra la historia propia)</t>
        </is>
      </c>
    </row>
    <row r="6">
      <c r="A6" s="3" t="inlineStr">
        <is>
          <t>Barato desde el percentil</t>
        </is>
      </c>
      <c r="B6" s="4" t="n">
        <v>0.7</v>
      </c>
    </row>
    <row r="7">
      <c r="A7" s="3" t="inlineStr">
        <is>
          <t>Caro abajo del percentil</t>
        </is>
      </c>
      <c r="B7" s="4" t="n">
        <v>0.3</v>
      </c>
    </row>
    <row r="9">
      <c r="A9" s="2" t="inlineStr">
        <is>
          <t>Los métodos</t>
        </is>
      </c>
    </row>
    <row r="10">
      <c r="A10" s="5" t="inlineStr">
        <is>
          <t>Múltiplo P/FFO</t>
        </is>
      </c>
      <c r="B10" t="inlineStr">
        <is>
          <t>Precio ÷ flujo por acción conocido (FFO de Nareit; AFFO en WPC). Barato = múltiplo bajo contra su propia historia.</t>
        </is>
      </c>
    </row>
    <row r="11">
      <c r="A11" s="5" t="inlineStr">
        <is>
          <t>Prima sobre el Treasury</t>
        </is>
      </c>
      <c r="B11" t="inlineStr">
        <is>
          <t>Yield de flujo menos el Treasury a 10 años. Es la Puerta 2 del semáforo.</t>
        </is>
      </c>
    </row>
    <row r="12">
      <c r="A12" s="5" t="inlineStr">
        <is>
          <t>Prima sobre la tasa real</t>
        </is>
      </c>
      <c r="B12" t="inlineStr">
        <is>
          <t>Yield de flujo menos la tasa real: Treasury a 10 años menos la inflación de 12 meses. El flujo de un REIT crece con la inflación; compararlo contra una tasa nominal castiga los años de inflación alta.</t>
        </is>
      </c>
    </row>
    <row r="13">
      <c r="A13" s="5" t="inlineStr">
        <is>
          <t>Prima sobre bonos Baa</t>
        </is>
      </c>
      <c r="B13" t="inlineStr">
        <is>
          <t>Yield de flujo menos el rendimiento de los bonos corporativos Baa (Moody's): contra la alternativa de crédito, no contra la libre de riesgo.</t>
        </is>
      </c>
    </row>
    <row r="14">
      <c r="A14" s="5" t="inlineStr">
        <is>
          <t>Yield de dividendo</t>
        </is>
      </c>
      <c r="B14" t="inlineStr">
        <is>
          <t>Dividendo regular vigente anualizado ÷ precio, contra su propia historia.</t>
        </is>
      </c>
    </row>
    <row r="15">
      <c r="A15" s="5" t="inlineStr">
        <is>
          <t>Dividendo sobre el Treasury</t>
        </is>
      </c>
      <c r="B15" t="inlineStr">
        <is>
          <t>Yield de dividendo menos el Treasury a 10 años: la lente «contra el bono» del estudio.</t>
        </is>
      </c>
    </row>
    <row r="16">
      <c r="A16" s="5" t="inlineStr">
        <is>
          <t>Múltiplo contra sus últimos 5 años</t>
        </is>
      </c>
      <c r="B16" t="inlineStr">
        <is>
          <t>Yield de flujo entre su mediana de los cinco años previos. No compara contra toda la historia sino contra el régimen reciente de tasas.</t>
        </is>
      </c>
    </row>
    <row r="17">
      <c r="A17" s="5" t="inlineStr">
        <is>
          <t>Consenso de los siete</t>
        </is>
      </c>
      <c r="B17" t="inlineStr">
        <is>
          <t>El promedio de los percentiles de los siete métodos (con al menos cuatro disponibles). Es la regla que se recomienda: no se escoge el método que mejor salió, porque con 21 intentos el mejor siempre sale bien por azar.</t>
        </is>
      </c>
    </row>
    <row r="19">
      <c r="A19" s="2" t="inlineStr">
        <is>
          <t>Cómo se calculó</t>
        </is>
      </c>
    </row>
    <row r="20">
      <c r="A20" t="inlineStr">
        <is>
          <t>•</t>
        </is>
      </c>
      <c r="B20" t="inlineStr">
        <is>
          <t>Point-in-time (P1): el flujo por acción es el de los últimos 12 meses conocido a cada fecha, con la fecha real de publicación de cada cifra; el Treasury y los bonos Baa, el dato del día hábil anterior; el CPI de un mes, 45 días después de su fecha, que es cuando se publica.</t>
        </is>
      </c>
    </row>
    <row r="21">
      <c r="A21" t="inlineStr">
        <is>
          <t>•</t>
        </is>
      </c>
      <c r="B21" t="inlineStr">
        <is>
          <t>Percentil expandible (P5): cada fin de mes contra todos los fines de mes anteriores del mismo emisor, con al menos 36. Nunca contra otro emisor (P4): un yield de 7% puede ser caro en uno y barato en otro.</t>
        </is>
      </c>
    </row>
    <row r="22">
      <c r="A22" t="inlineStr">
        <is>
          <t>•</t>
        </is>
      </c>
      <c r="B22" t="inlineStr">
        <is>
          <t>Retornos siguientes: retorno total en dólares con el dividendo neto del 20% de impuesto, anualizado. La alternativa de esperar es el T-bill a 3 meses de esos mismos años, neto del 20%.</t>
        </is>
      </c>
    </row>
    <row r="23">
      <c r="A23" t="inlineStr">
        <is>
          <t>•</t>
        </is>
      </c>
      <c r="B23" t="inlineStr">
        <is>
          <t>La evaluación usa fines de trimestre para no contar tres veces casi el mismo mes. Aun así las ventanas de 5 años se enciman: las independientes son una por cada 20 trimestres.</t>
        </is>
      </c>
    </row>
    <row r="24">
      <c r="A24" t="inlineStr">
        <is>
          <t>•</t>
        </is>
      </c>
      <c r="B24" t="inlineStr">
        <is>
          <t>Backtest por emisor: la regla de «solo compras, reinversión en 12 meses» del estudio de reglas, con el percentil del método en lugar de la prima del semáforo y sin las puertas de calidad ni de deterioro: barato compra todo y la reserva, medio la mitad, caro nada; nunca vende.</t>
        </is>
      </c>
    </row>
    <row r="25">
      <c r="A25" t="inlineStr">
        <is>
          <t>•</t>
        </is>
      </c>
      <c r="B25" t="inlineStr">
        <is>
          <t>Asignación entre emisores: desde el primer mes en que los tres tienen percentil del método; la decisión de fin de mes se ejecuta al cierre de la sesión siguiente; 0.25% de comisión, 20% al dividendo y 10% a la ganancia al vender todo al final. El benchmark reparte en tercios y cada emisor reinvierte sus propios dividendos (P6 llevado a tres papeles).</t>
        </is>
      </c>
    </row>
    <row r="26">
      <c r="A26" t="inlineStr">
        <is>
          <t>•</t>
        </is>
      </c>
      <c r="B26" t="inlineStr">
        <is>
          <t>Controles: el espejo (todo al más caro) y cada mitad del periodo por separado, con su propia TIR, se fijaron antes de ver el resultado. El azar se endureció después: la primera versión sorteaba el emisor cada mes, reparte sola el dinero entre los tres y cualquier método le ganaba; la que queda conserva las rachas del método (200 sorteos, semilla fija, reproducible).</t>
        </is>
      </c>
    </row>
    <row r="27">
      <c r="A27" t="inlineStr">
        <is>
          <t>•</t>
        </is>
      </c>
      <c r="B27" t="inlineStr">
        <is>
          <t>Pruebas múltiples: siete métodos en tres emisores son 21 intentos. Por eso se recomienda el consenso y no el mejor, y por eso se exige que el resultado aparezca en los tres emisores y en las dos mitades. El consenso se definió después de ver los siete: no escoge por resultado, pero tampoco es una prueba a ciegas.</t>
        </is>
      </c>
    </row>
    <row r="28">
      <c r="A28" t="inlineStr">
        <is>
          <t>•</t>
        </is>
      </c>
      <c r="B28" t="inlineStr">
        <is>
          <t>Sesgo de supervivencia: O, NNN y WPC existen hoy y se escogieron hoy. La reversión a la media que aprovecha la asignación es la de emisores que sobrevivieron; en uno que se está muriendo, «barato» es una trampa. La regla solo debe repartir entre emisores que pasan la Puerta 1.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2" t="inlineStr">
        <is>
          <t>Método</t>
        </is>
      </c>
      <c r="B1" s="2" t="inlineStr">
        <is>
          <t>Percentil NNN</t>
        </is>
      </c>
      <c r="C1" s="2" t="inlineStr">
        <is>
          <t>Percentil O</t>
        </is>
      </c>
      <c r="D1" s="2" t="inlineStr">
        <is>
          <t>Percentil WPC</t>
        </is>
      </c>
      <c r="E1" s="2" t="inlineStr">
        <is>
          <t>Señal NNN</t>
        </is>
      </c>
      <c r="F1" s="2" t="inlineStr">
        <is>
          <t>Señal O</t>
        </is>
      </c>
      <c r="G1" s="2" t="inlineStr">
        <is>
          <t>Señal WPC</t>
        </is>
      </c>
    </row>
    <row r="2">
      <c r="A2" s="3" t="inlineStr">
        <is>
          <t>Múltiplo P/FFO</t>
        </is>
      </c>
      <c r="B2" s="6" t="n">
        <v>0.6612903225806451</v>
      </c>
      <c r="C2" s="6" t="n">
        <v>0.7647887323943662</v>
      </c>
      <c r="D2" s="6" t="n">
        <v>0.3675078864353312</v>
      </c>
      <c r="E2" s="3">
        <f>IF(B2="","",IF(B2&gt;='Léeme'!$B$6,"barato",IF(B2&lt;'Léeme'!$B$7,"caro","medio")))</f>
        <v/>
      </c>
      <c r="F2" s="3">
        <f>IF(C2="","",IF(C2&gt;='Léeme'!$B$6,"barato",IF(C2&lt;'Léeme'!$B$7,"caro","medio")))</f>
        <v/>
      </c>
      <c r="G2" s="3">
        <f>IF(D2="","",IF(D2&gt;='Léeme'!$B$6,"barato",IF(D2&lt;'Léeme'!$B$7,"caro","medio")))</f>
        <v/>
      </c>
    </row>
    <row r="3">
      <c r="A3" s="3" t="inlineStr">
        <is>
          <t>Prima sobre el Treasury</t>
        </is>
      </c>
      <c r="B3" s="6" t="n">
        <v>0.4503722084367245</v>
      </c>
      <c r="C3" s="6" t="n">
        <v>0.3619718309859155</v>
      </c>
      <c r="D3" s="6" t="n">
        <v>0.01735015772870662</v>
      </c>
      <c r="E3" s="3">
        <f>IF(B3="","",IF(B3&gt;='Léeme'!$B$6,"barato",IF(B3&lt;'Léeme'!$B$7,"caro","medio")))</f>
        <v/>
      </c>
      <c r="F3" s="3">
        <f>IF(C3="","",IF(C3&gt;='Léeme'!$B$6,"barato",IF(C3&lt;'Léeme'!$B$7,"caro","medio")))</f>
        <v/>
      </c>
      <c r="G3" s="3">
        <f>IF(D3="","",IF(D3&gt;='Léeme'!$B$6,"barato",IF(D3&lt;'Léeme'!$B$7,"caro","medio")))</f>
        <v/>
      </c>
    </row>
    <row r="4">
      <c r="A4" s="3" t="inlineStr">
        <is>
          <t>Prima sobre la tasa real</t>
        </is>
      </c>
      <c r="B4" s="6" t="n">
        <v>0.6315136476426799</v>
      </c>
      <c r="C4" s="6" t="n">
        <v>0.6605633802816901</v>
      </c>
      <c r="D4" s="6" t="n">
        <v>0.1593059936908517</v>
      </c>
      <c r="E4" s="3">
        <f>IF(B4="","",IF(B4&gt;='Léeme'!$B$6,"barato",IF(B4&lt;'Léeme'!$B$7,"caro","medio")))</f>
        <v/>
      </c>
      <c r="F4" s="3">
        <f>IF(C4="","",IF(C4&gt;='Léeme'!$B$6,"barato",IF(C4&lt;'Léeme'!$B$7,"caro","medio")))</f>
        <v/>
      </c>
      <c r="G4" s="3">
        <f>IF(D4="","",IF(D4&gt;='Léeme'!$B$6,"barato",IF(D4&lt;'Léeme'!$B$7,"caro","medio")))</f>
        <v/>
      </c>
    </row>
    <row r="5">
      <c r="A5" s="3" t="inlineStr">
        <is>
          <t>Prima sobre bonos Baa</t>
        </is>
      </c>
      <c r="B5" s="6" t="n">
        <v>0.673697270471464</v>
      </c>
      <c r="C5" s="6" t="n">
        <v>0.7507042253521127</v>
      </c>
      <c r="D5" s="6" t="n">
        <v>0.09305993690851735</v>
      </c>
      <c r="E5" s="3">
        <f>IF(B5="","",IF(B5&gt;='Léeme'!$B$6,"barato",IF(B5&lt;'Léeme'!$B$7,"caro","medio")))</f>
        <v/>
      </c>
      <c r="F5" s="3">
        <f>IF(C5="","",IF(C5&gt;='Léeme'!$B$6,"barato",IF(C5&lt;'Léeme'!$B$7,"caro","medio")))</f>
        <v/>
      </c>
      <c r="G5" s="3">
        <f>IF(D5="","",IF(D5&gt;='Léeme'!$B$6,"barato",IF(D5&lt;'Léeme'!$B$7,"caro","medio")))</f>
        <v/>
      </c>
    </row>
    <row r="6">
      <c r="A6" s="3" t="inlineStr">
        <is>
          <t>Yield de dividendo</t>
        </is>
      </c>
      <c r="B6" s="6" t="n">
        <v>0.4664268585131894</v>
      </c>
      <c r="C6" s="6" t="n">
        <v>0.5794270833333334</v>
      </c>
      <c r="D6" s="6" t="n">
        <v>0.3571428571428572</v>
      </c>
      <c r="E6" s="3">
        <f>IF(B6="","",IF(B6&gt;='Léeme'!$B$6,"barato",IF(B6&lt;'Léeme'!$B$7,"caro","medio")))</f>
        <v/>
      </c>
      <c r="F6" s="3">
        <f>IF(C6="","",IF(C6&gt;='Léeme'!$B$6,"barato",IF(C6&lt;'Léeme'!$B$7,"caro","medio")))</f>
        <v/>
      </c>
      <c r="G6" s="3">
        <f>IF(D6="","",IF(D6&gt;='Léeme'!$B$6,"barato",IF(D6&lt;'Léeme'!$B$7,"caro","medio")))</f>
        <v/>
      </c>
    </row>
    <row r="7">
      <c r="A7" s="3" t="inlineStr">
        <is>
          <t>Dividendo sobre el Treasury</t>
        </is>
      </c>
      <c r="B7" s="6" t="n">
        <v>0.013189448441247</v>
      </c>
      <c r="C7" s="6" t="n">
        <v>0.02213541666666667</v>
      </c>
      <c r="D7" s="6" t="n">
        <v>0.004373177842565598</v>
      </c>
      <c r="E7" s="3">
        <f>IF(B7="","",IF(B7&gt;='Léeme'!$B$6,"barato",IF(B7&lt;'Léeme'!$B$7,"caro","medio")))</f>
        <v/>
      </c>
      <c r="F7" s="3">
        <f>IF(C7="","",IF(C7&gt;='Léeme'!$B$6,"barato",IF(C7&lt;'Léeme'!$B$7,"caro","medio")))</f>
        <v/>
      </c>
      <c r="G7" s="3">
        <f>IF(D7="","",IF(D7&gt;='Léeme'!$B$6,"barato",IF(D7&lt;'Léeme'!$B$7,"caro","medio")))</f>
        <v/>
      </c>
    </row>
    <row r="8">
      <c r="A8" s="3" t="inlineStr">
        <is>
          <t>Múltiplo contra sus últimos 5 años</t>
        </is>
      </c>
      <c r="B8" s="6" t="n">
        <v>0.7016348773841962</v>
      </c>
      <c r="C8" s="6" t="n">
        <v>0.7821316614420063</v>
      </c>
      <c r="D8" s="6" t="n">
        <v>0.7384341637010676</v>
      </c>
      <c r="E8" s="3">
        <f>IF(B8="","",IF(B8&gt;='Léeme'!$B$6,"barato",IF(B8&lt;'Léeme'!$B$7,"caro","medio")))</f>
        <v/>
      </c>
      <c r="F8" s="3">
        <f>IF(C8="","",IF(C8&gt;='Léeme'!$B$6,"barato",IF(C8&lt;'Léeme'!$B$7,"caro","medio")))</f>
        <v/>
      </c>
      <c r="G8" s="3">
        <f>IF(D8="","",IF(D8&gt;='Léeme'!$B$6,"barato",IF(D8&lt;'Léeme'!$B$7,"caro","medio")))</f>
        <v/>
      </c>
    </row>
    <row r="9">
      <c r="A9" s="3" t="inlineStr">
        <is>
          <t>Consenso de los siete</t>
        </is>
      </c>
      <c r="B9" s="6" t="n">
        <v>0.5140178047814494</v>
      </c>
      <c r="C9" s="6" t="n">
        <v>0.560246047208013</v>
      </c>
      <c r="D9" s="6" t="n">
        <v>0.248167739064271</v>
      </c>
      <c r="E9" s="3">
        <f>IF(B9="","",IF(B9&gt;='Léeme'!$B$6,"barato",IF(B9&lt;'Léeme'!$B$7,"caro","medio")))</f>
        <v/>
      </c>
      <c r="F9" s="3">
        <f>IF(C9="","",IF(C9&gt;='Léeme'!$B$6,"barato",IF(C9&lt;'Léeme'!$B$7,"caro","medio")))</f>
        <v/>
      </c>
      <c r="G9" s="3">
        <f>IF(D9="","",IF(D9&gt;='Léeme'!$B$6,"barato",IF(D9&lt;'Léeme'!$B$7,"caro","medio")))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A cuál de los tres va la aportación del mes: al de percentil más alto contra su propia historia</t>
        </is>
      </c>
    </row>
    <row r="3">
      <c r="A3" s="2" t="inlineStr">
        <is>
          <t>Método</t>
        </is>
      </c>
      <c r="B3" s="2" t="inlineStr">
        <is>
          <t>Desde</t>
        </is>
      </c>
      <c r="C3" s="2" t="inlineStr">
        <is>
          <t>TIR</t>
        </is>
      </c>
      <c r="D3" s="2" t="inlineStr">
        <is>
          <t>TIR partes iguales</t>
        </is>
      </c>
      <c r="E3" s="2" t="inlineStr">
        <is>
          <t>Ventaja</t>
        </is>
      </c>
      <c r="F3" s="2" t="inlineStr">
        <is>
          <t>Ventaja al más caro</t>
        </is>
      </c>
      <c r="G3" s="2" t="inlineStr">
        <is>
          <t>Ventaja 1ª mitad</t>
        </is>
      </c>
      <c r="H3" s="2" t="inlineStr">
        <is>
          <t>Ventaja 2ª mitad</t>
        </is>
      </c>
      <c r="I3" s="2" t="inlineStr">
        <is>
          <t>Azar que la iguala</t>
        </is>
      </c>
      <c r="J3" s="2" t="inlineStr">
        <is>
          <t>Cambios de emisor</t>
        </is>
      </c>
      <c r="K3" s="2" t="inlineStr">
        <is>
          <t>Hoy va a</t>
        </is>
      </c>
    </row>
    <row r="4">
      <c r="A4" s="3" t="inlineStr">
        <is>
          <t>Múltiplo P/FFO</t>
        </is>
      </c>
      <c r="B4" s="7" t="n">
        <v>37742</v>
      </c>
      <c r="C4" s="8" t="n">
        <v>0.08469505994198176</v>
      </c>
      <c r="D4" s="8" t="n">
        <v>0.0782196632526375</v>
      </c>
      <c r="E4" s="9" t="n">
        <v>65</v>
      </c>
      <c r="F4" s="9" t="n">
        <v>-53</v>
      </c>
      <c r="G4" s="9" t="n">
        <v>177</v>
      </c>
      <c r="H4" s="9" t="n">
        <v>72</v>
      </c>
      <c r="I4" s="10" t="n">
        <v>0</v>
      </c>
      <c r="J4" s="3" t="n">
        <v>48</v>
      </c>
      <c r="K4" s="3" t="inlineStr">
        <is>
          <t>O</t>
        </is>
      </c>
    </row>
    <row r="5">
      <c r="A5" s="3" t="inlineStr">
        <is>
          <t>Prima sobre el Treasury</t>
        </is>
      </c>
      <c r="B5" s="7" t="n">
        <v>37742</v>
      </c>
      <c r="C5" s="8" t="n">
        <v>0.08334934485971673</v>
      </c>
      <c r="D5" s="8" t="n">
        <v>0.0782196632526375</v>
      </c>
      <c r="E5" s="9" t="n">
        <v>51</v>
      </c>
      <c r="F5" s="9" t="n">
        <v>-24</v>
      </c>
      <c r="G5" s="9" t="n">
        <v>145</v>
      </c>
      <c r="H5" s="9" t="n">
        <v>57</v>
      </c>
      <c r="I5" s="10" t="n">
        <v>0.005</v>
      </c>
      <c r="J5" s="3" t="n">
        <v>52</v>
      </c>
      <c r="K5" s="3" t="inlineStr">
        <is>
          <t>NNN</t>
        </is>
      </c>
    </row>
    <row r="6">
      <c r="A6" s="3" t="inlineStr">
        <is>
          <t>Prima sobre la tasa real</t>
        </is>
      </c>
      <c r="B6" s="7" t="n">
        <v>37742</v>
      </c>
      <c r="C6" s="8" t="n">
        <v>0.08273125769758544</v>
      </c>
      <c r="D6" s="8" t="n">
        <v>0.0782196632526375</v>
      </c>
      <c r="E6" s="9" t="n">
        <v>45</v>
      </c>
      <c r="F6" s="9" t="n">
        <v>-44</v>
      </c>
      <c r="G6" s="9" t="n">
        <v>129</v>
      </c>
      <c r="H6" s="9" t="n">
        <v>38</v>
      </c>
      <c r="I6" s="10" t="n">
        <v>0.01</v>
      </c>
      <c r="J6" s="3" t="n">
        <v>43</v>
      </c>
      <c r="K6" s="3" t="inlineStr">
        <is>
          <t>O</t>
        </is>
      </c>
    </row>
    <row r="7">
      <c r="A7" s="3" t="inlineStr">
        <is>
          <t>Prima sobre bonos Baa</t>
        </is>
      </c>
      <c r="B7" s="7" t="n">
        <v>37742</v>
      </c>
      <c r="C7" s="8" t="n">
        <v>0.084253154679046</v>
      </c>
      <c r="D7" s="8" t="n">
        <v>0.0782196632526375</v>
      </c>
      <c r="E7" s="9" t="n">
        <v>60</v>
      </c>
      <c r="F7" s="9" t="n">
        <v>-34</v>
      </c>
      <c r="G7" s="9" t="n">
        <v>190</v>
      </c>
      <c r="H7" s="9" t="n">
        <v>44</v>
      </c>
      <c r="I7" s="10" t="n">
        <v>0</v>
      </c>
      <c r="J7" s="3" t="n">
        <v>50</v>
      </c>
      <c r="K7" s="3" t="inlineStr">
        <is>
          <t>O</t>
        </is>
      </c>
    </row>
    <row r="8">
      <c r="A8" s="3" t="inlineStr">
        <is>
          <t>Yield de dividendo</t>
        </is>
      </c>
      <c r="B8" s="7" t="n">
        <v>36951</v>
      </c>
      <c r="C8" s="8" t="n">
        <v>0.08874871470613573</v>
      </c>
      <c r="D8" s="8" t="n">
        <v>0.08339357350317873</v>
      </c>
      <c r="E8" s="9" t="n">
        <v>54</v>
      </c>
      <c r="F8" s="9" t="n">
        <v>-58</v>
      </c>
      <c r="G8" s="9" t="n">
        <v>178</v>
      </c>
      <c r="H8" s="9" t="n">
        <v>48</v>
      </c>
      <c r="I8" s="10" t="n">
        <v>0.005</v>
      </c>
      <c r="J8" s="3" t="n">
        <v>59</v>
      </c>
      <c r="K8" s="3" t="inlineStr">
        <is>
          <t>O</t>
        </is>
      </c>
    </row>
    <row r="9">
      <c r="A9" s="3" t="inlineStr">
        <is>
          <t>Dividendo sobre el Treasury</t>
        </is>
      </c>
      <c r="B9" s="7" t="n">
        <v>36951</v>
      </c>
      <c r="C9" s="8" t="n">
        <v>0.08767577519891681</v>
      </c>
      <c r="D9" s="8" t="n">
        <v>0.08339357350317873</v>
      </c>
      <c r="E9" s="9" t="n">
        <v>43</v>
      </c>
      <c r="F9" s="9" t="n">
        <v>-45</v>
      </c>
      <c r="G9" s="9" t="n">
        <v>96</v>
      </c>
      <c r="H9" s="9" t="n">
        <v>59</v>
      </c>
      <c r="I9" s="10" t="n">
        <v>0.035</v>
      </c>
      <c r="J9" s="3" t="n">
        <v>39</v>
      </c>
      <c r="K9" s="3" t="inlineStr">
        <is>
          <t>WPC</t>
        </is>
      </c>
    </row>
    <row r="10">
      <c r="A10" s="3" t="inlineStr">
        <is>
          <t>Múltiplo contra sus últimos 5 años</t>
        </is>
      </c>
      <c r="B10" s="7" t="n">
        <v>38838</v>
      </c>
      <c r="C10" s="8" t="n">
        <v>0.07824895509030243</v>
      </c>
      <c r="D10" s="8" t="n">
        <v>0.07382740347802984</v>
      </c>
      <c r="E10" s="9" t="n">
        <v>44</v>
      </c>
      <c r="F10" s="9" t="n">
        <v>-43</v>
      </c>
      <c r="G10" s="9" t="n">
        <v>117</v>
      </c>
      <c r="H10" s="9" t="n">
        <v>56</v>
      </c>
      <c r="I10" s="10" t="n">
        <v>0.01</v>
      </c>
      <c r="J10" s="3" t="n">
        <v>47</v>
      </c>
      <c r="K10" s="3" t="inlineStr">
        <is>
          <t>O</t>
        </is>
      </c>
    </row>
    <row r="11">
      <c r="A11" s="3" t="inlineStr">
        <is>
          <t>Consenso de los siete</t>
        </is>
      </c>
      <c r="B11" s="7" t="n">
        <v>37742</v>
      </c>
      <c r="C11" s="8" t="n">
        <v>0.0849727809893832</v>
      </c>
      <c r="D11" s="8" t="n">
        <v>0.0782196632526375</v>
      </c>
      <c r="E11" s="9" t="n">
        <v>68</v>
      </c>
      <c r="F11" s="9" t="n">
        <v>-47</v>
      </c>
      <c r="G11" s="9" t="n">
        <v>167</v>
      </c>
      <c r="H11" s="9" t="n">
        <v>70</v>
      </c>
      <c r="I11" s="10" t="n">
        <v>0</v>
      </c>
      <c r="J11" s="3" t="n">
        <v>56</v>
      </c>
      <c r="K11" s="3" t="inlineStr">
        <is>
          <t>O</t>
        </is>
      </c>
    </row>
    <row r="13">
      <c r="A13" s="5" t="inlineStr">
        <is>
          <t>Cada fin de trimestre, con el consenso de los siete</t>
        </is>
      </c>
    </row>
    <row r="14">
      <c r="A14" s="2" t="inlineStr">
        <is>
          <t>Trimestre</t>
        </is>
      </c>
      <c r="B14" s="2" t="inlineStr">
        <is>
          <t>NNN</t>
        </is>
      </c>
      <c r="C14" s="2" t="inlineStr">
        <is>
          <t>O</t>
        </is>
      </c>
      <c r="D14" s="2" t="inlineStr">
        <is>
          <t>WPC</t>
        </is>
      </c>
      <c r="E14" s="2" t="inlineStr">
        <is>
          <t>La aportación va a</t>
        </is>
      </c>
    </row>
    <row r="15">
      <c r="A15" s="3" t="inlineStr">
        <is>
          <t>1996-T1</t>
        </is>
      </c>
      <c r="B15" s="6" t="n">
        <v>0.7232379438261791</v>
      </c>
      <c r="C15" s="6" t="n"/>
      <c r="D15" s="6" t="n"/>
      <c r="E15" s="3">
        <f>IF(COUNT(B15:D15)&lt;3,"—",INDEX($B$14:$D$14,MATCH(MAX(B15:D15),B15:D15,0)))</f>
        <v/>
      </c>
    </row>
    <row r="16">
      <c r="A16" s="3" t="inlineStr">
        <is>
          <t>1996-T2</t>
        </is>
      </c>
      <c r="B16" s="6" t="n">
        <v>0.3916666666666668</v>
      </c>
      <c r="C16" s="6" t="n"/>
      <c r="D16" s="6" t="n"/>
      <c r="E16" s="3">
        <f>IF(COUNT(B16:D16)&lt;3,"—",INDEX($B$14:$D$14,MATCH(MAX(B16:D16),B16:D16,0)))</f>
        <v/>
      </c>
    </row>
    <row r="17">
      <c r="A17" s="3" t="inlineStr">
        <is>
          <t>1996-T3</t>
        </is>
      </c>
      <c r="B17" s="6" t="n">
        <v>0.5244798041615667</v>
      </c>
      <c r="C17" s="6" t="n"/>
      <c r="D17" s="6" t="n"/>
      <c r="E17" s="3">
        <f>IF(COUNT(B17:D17)&lt;3,"—",INDEX($B$14:$D$14,MATCH(MAX(B17:D17),B17:D17,0)))</f>
        <v/>
      </c>
    </row>
    <row r="18">
      <c r="A18" s="3" t="inlineStr">
        <is>
          <t>1996-T4</t>
        </is>
      </c>
      <c r="B18" s="6" t="n">
        <v>0.1769323671497585</v>
      </c>
      <c r="C18" s="6" t="n"/>
      <c r="D18" s="6" t="n"/>
      <c r="E18" s="3">
        <f>IF(COUNT(B18:D18)&lt;3,"—",INDEX($B$14:$D$14,MATCH(MAX(B18:D18),B18:D18,0)))</f>
        <v/>
      </c>
    </row>
    <row r="19">
      <c r="A19" s="3" t="inlineStr">
        <is>
          <t>1997-T1</t>
        </is>
      </c>
      <c r="B19" s="6" t="n">
        <v>0.4213907785336357</v>
      </c>
      <c r="C19" s="6" t="n"/>
      <c r="D19" s="6" t="n"/>
      <c r="E19" s="3">
        <f>IF(COUNT(B19:D19)&lt;3,"—",INDEX($B$14:$D$14,MATCH(MAX(B19:D19),B19:D19,0)))</f>
        <v/>
      </c>
    </row>
    <row r="20">
      <c r="A20" s="3" t="inlineStr">
        <is>
          <t>1997-T2</t>
        </is>
      </c>
      <c r="B20" s="6" t="n">
        <v>0.3345959595959596</v>
      </c>
      <c r="C20" s="6" t="n"/>
      <c r="D20" s="6" t="n"/>
      <c r="E20" s="3">
        <f>IF(COUNT(B20:D20)&lt;3,"—",INDEX($B$14:$D$14,MATCH(MAX(B20:D20),B20:D20,0)))</f>
        <v/>
      </c>
    </row>
    <row r="21">
      <c r="A21" s="3" t="inlineStr">
        <is>
          <t>1997-T3</t>
        </is>
      </c>
      <c r="B21" s="6" t="n">
        <v>0.3004830917874396</v>
      </c>
      <c r="C21" s="6" t="n"/>
      <c r="D21" s="6" t="n"/>
      <c r="E21" s="3">
        <f>IF(COUNT(B21:D21)&lt;3,"—",INDEX($B$14:$D$14,MATCH(MAX(B21:D21),B21:D21,0)))</f>
        <v/>
      </c>
    </row>
    <row r="22">
      <c r="A22" s="3" t="inlineStr">
        <is>
          <t>1997-T4</t>
        </is>
      </c>
      <c r="B22" s="6" t="n">
        <v>0.1218869731800766</v>
      </c>
      <c r="C22" s="6" t="n"/>
      <c r="D22" s="6" t="n"/>
      <c r="E22" s="3">
        <f>IF(COUNT(B22:D22)&lt;3,"—",INDEX($B$14:$D$14,MATCH(MAX(B22:D22),B22:D22,0)))</f>
        <v/>
      </c>
    </row>
    <row r="23">
      <c r="A23" s="3" t="inlineStr">
        <is>
          <t>1998-T1</t>
        </is>
      </c>
      <c r="B23" s="6" t="n">
        <v>0.2462659380692167</v>
      </c>
      <c r="C23" s="6" t="n"/>
      <c r="D23" s="6" t="n"/>
      <c r="E23" s="3">
        <f>IF(COUNT(B23:D23)&lt;3,"—",INDEX($B$14:$D$14,MATCH(MAX(B23:D23),B23:D23,0)))</f>
        <v/>
      </c>
    </row>
    <row r="24">
      <c r="A24" s="3" t="inlineStr">
        <is>
          <t>1998-T2</t>
        </is>
      </c>
      <c r="B24" s="6" t="n">
        <v>0.6149172008547008</v>
      </c>
      <c r="C24" s="6" t="n"/>
      <c r="D24" s="6" t="n"/>
      <c r="E24" s="3">
        <f>IF(COUNT(B24:D24)&lt;3,"—",INDEX($B$14:$D$14,MATCH(MAX(B24:D24),B24:D24,0)))</f>
        <v/>
      </c>
    </row>
    <row r="25">
      <c r="A25" s="3" t="inlineStr">
        <is>
          <t>1998-T3</t>
        </is>
      </c>
      <c r="B25" s="6" t="n">
        <v>0.8945396474418034</v>
      </c>
      <c r="C25" s="6" t="n"/>
      <c r="D25" s="6" t="n"/>
      <c r="E25" s="3">
        <f>IF(COUNT(B25:D25)&lt;3,"—",INDEX($B$14:$D$14,MATCH(MAX(B25:D25),B25:D25,0)))</f>
        <v/>
      </c>
    </row>
    <row r="26">
      <c r="A26" s="3" t="inlineStr">
        <is>
          <t>1998-T4</t>
        </is>
      </c>
      <c r="B26" s="6" t="n">
        <v>0.9527777777777778</v>
      </c>
      <c r="C26" s="6" t="n"/>
      <c r="D26" s="6" t="n"/>
      <c r="E26" s="3">
        <f>IF(COUNT(B26:D26)&lt;3,"—",INDEX($B$14:$D$14,MATCH(MAX(B26:D26),B26:D26,0)))</f>
        <v/>
      </c>
    </row>
    <row r="27">
      <c r="A27" s="3" t="inlineStr">
        <is>
          <t>1999-T1</t>
        </is>
      </c>
      <c r="B27" s="6" t="n">
        <v>0.9892294953702606</v>
      </c>
      <c r="C27" s="6" t="n"/>
      <c r="D27" s="6" t="n"/>
      <c r="E27" s="3">
        <f>IF(COUNT(B27:D27)&lt;3,"—",INDEX($B$14:$D$14,MATCH(MAX(B27:D27),B27:D27,0)))</f>
        <v/>
      </c>
    </row>
    <row r="28">
      <c r="A28" s="3" t="inlineStr">
        <is>
          <t>1999-T2</t>
        </is>
      </c>
      <c r="B28" s="6" t="n">
        <v>0.9112259816207183</v>
      </c>
      <c r="C28" s="6" t="n"/>
      <c r="D28" s="6" t="n"/>
      <c r="E28" s="3">
        <f>IF(COUNT(B28:D28)&lt;3,"—",INDEX($B$14:$D$14,MATCH(MAX(B28:D28),B28:D28,0)))</f>
        <v/>
      </c>
    </row>
    <row r="29">
      <c r="A29" s="3" t="inlineStr">
        <is>
          <t>1999-T3</t>
        </is>
      </c>
      <c r="B29" s="6" t="n">
        <v>0.9898417190192665</v>
      </c>
      <c r="C29" s="6" t="n"/>
      <c r="D29" s="6" t="n"/>
      <c r="E29" s="3">
        <f>IF(COUNT(B29:D29)&lt;3,"—",INDEX($B$14:$D$14,MATCH(MAX(B29:D29),B29:D29,0)))</f>
        <v/>
      </c>
    </row>
    <row r="30">
      <c r="A30" s="3" t="inlineStr">
        <is>
          <t>1999-T4</t>
        </is>
      </c>
      <c r="B30" s="6" t="n">
        <v>0.9934747891733576</v>
      </c>
      <c r="C30" s="6" t="n"/>
      <c r="D30" s="6" t="n"/>
      <c r="E30" s="3">
        <f>IF(COUNT(B30:D30)&lt;3,"—",INDEX($B$14:$D$14,MATCH(MAX(B30:D30),B30:D30,0)))</f>
        <v/>
      </c>
    </row>
    <row r="31">
      <c r="A31" s="3" t="inlineStr">
        <is>
          <t>2000-T1</t>
        </is>
      </c>
      <c r="B31" s="6" t="n">
        <v>0.981689125866797</v>
      </c>
      <c r="C31" s="6" t="n">
        <v>0.9884657384657385</v>
      </c>
      <c r="D31" s="6" t="n"/>
      <c r="E31" s="3">
        <f>IF(COUNT(B31:D31)&lt;3,"—",INDEX($B$14:$D$14,MATCH(MAX(B31:D31),B31:D31,0)))</f>
        <v/>
      </c>
    </row>
    <row r="32">
      <c r="A32" s="3" t="inlineStr">
        <is>
          <t>2000-T2</t>
        </is>
      </c>
      <c r="B32" s="6" t="n">
        <v>0.9675398131280485</v>
      </c>
      <c r="C32" s="6" t="n">
        <v>0.7373792270531402</v>
      </c>
      <c r="D32" s="6" t="n"/>
      <c r="E32" s="3">
        <f>IF(COUNT(B32:D32)&lt;3,"—",INDEX($B$14:$D$14,MATCH(MAX(B32:D32),B32:D32,0)))</f>
        <v/>
      </c>
    </row>
    <row r="33">
      <c r="A33" s="3" t="inlineStr">
        <is>
          <t>2000-T3</t>
        </is>
      </c>
      <c r="B33" s="6" t="n">
        <v>0.9843822843822844</v>
      </c>
      <c r="C33" s="6" t="n">
        <v>0.8150301464254953</v>
      </c>
      <c r="D33" s="6" t="n"/>
      <c r="E33" s="3">
        <f>IF(COUNT(B33:D33)&lt;3,"—",INDEX($B$14:$D$14,MATCH(MAX(B33:D33),B33:D33,0)))</f>
        <v/>
      </c>
    </row>
    <row r="34">
      <c r="A34" s="3" t="inlineStr">
        <is>
          <t>2000-T4</t>
        </is>
      </c>
      <c r="B34" s="6" t="n">
        <v>0.9760264666721012</v>
      </c>
      <c r="C34" s="6" t="n">
        <v>0.7104347826086957</v>
      </c>
      <c r="D34" s="6" t="n"/>
      <c r="E34" s="3">
        <f>IF(COUNT(B34:D34)&lt;3,"—",INDEX($B$14:$D$14,MATCH(MAX(B34:D34),B34:D34,0)))</f>
        <v/>
      </c>
    </row>
    <row r="35">
      <c r="A35" s="3" t="inlineStr">
        <is>
          <t>2001-T1</t>
        </is>
      </c>
      <c r="B35" s="6" t="n">
        <v>0.789105034922172</v>
      </c>
      <c r="C35" s="6" t="n">
        <v>0.5592621664050236</v>
      </c>
      <c r="D35" s="6" t="n"/>
      <c r="E35" s="3">
        <f>IF(COUNT(B35:D35)&lt;3,"—",INDEX($B$14:$D$14,MATCH(MAX(B35:D35),B35:D35,0)))</f>
        <v/>
      </c>
    </row>
    <row r="36">
      <c r="A36" s="3" t="inlineStr">
        <is>
          <t>2001-T2</t>
        </is>
      </c>
      <c r="B36" s="6" t="n">
        <v>0.5640076754385964</v>
      </c>
      <c r="C36" s="6" t="n">
        <v>0.3160414688192466</v>
      </c>
      <c r="D36" s="6" t="n"/>
      <c r="E36" s="3">
        <f>IF(COUNT(B36:D36)&lt;3,"—",INDEX($B$14:$D$14,MATCH(MAX(B36:D36),B36:D36,0)))</f>
        <v/>
      </c>
    </row>
    <row r="37">
      <c r="A37" s="3" t="inlineStr">
        <is>
          <t>2001-T3</t>
        </is>
      </c>
      <c r="B37" s="6" t="n">
        <v>0.6717140673813619</v>
      </c>
      <c r="C37" s="6" t="n">
        <v>0.4074314574314575</v>
      </c>
      <c r="D37" s="6" t="n"/>
      <c r="E37" s="3">
        <f>IF(COUNT(B37:D37)&lt;3,"—",INDEX($B$14:$D$14,MATCH(MAX(B37:D37),B37:D37,0)))</f>
        <v/>
      </c>
    </row>
    <row r="38">
      <c r="A38" s="3" t="inlineStr">
        <is>
          <t>2001-T4</t>
        </is>
      </c>
      <c r="B38" s="6" t="n">
        <v>0.6518274290848415</v>
      </c>
      <c r="C38" s="6" t="n">
        <v>0.2863984674329502</v>
      </c>
      <c r="D38" s="6" t="n"/>
      <c r="E38" s="3">
        <f>IF(COUNT(B38:D38)&lt;3,"—",INDEX($B$14:$D$14,MATCH(MAX(B38:D38),B38:D38,0)))</f>
        <v/>
      </c>
    </row>
    <row r="39">
      <c r="A39" s="3" t="inlineStr">
        <is>
          <t>2002-T1</t>
        </is>
      </c>
      <c r="B39" s="6" t="n">
        <v>0.5030932814400048</v>
      </c>
      <c r="C39" s="6" t="n">
        <v>0.06241651487553127</v>
      </c>
      <c r="D39" s="6" t="n"/>
      <c r="E39" s="3">
        <f>IF(COUNT(B39:D39)&lt;3,"—",INDEX($B$14:$D$14,MATCH(MAX(B39:D39),B39:D39,0)))</f>
        <v/>
      </c>
    </row>
    <row r="40">
      <c r="A40" s="3" t="inlineStr">
        <is>
          <t>2002-T2</t>
        </is>
      </c>
      <c r="B40" s="6" t="n">
        <v>0.3327142260412937</v>
      </c>
      <c r="C40" s="6" t="n">
        <v>0.05877576164874552</v>
      </c>
      <c r="D40" s="6" t="n"/>
      <c r="E40" s="3">
        <f>IF(COUNT(B40:D40)&lt;3,"—",INDEX($B$14:$D$14,MATCH(MAX(B40:D40),B40:D40,0)))</f>
        <v/>
      </c>
    </row>
    <row r="41">
      <c r="A41" s="3" t="inlineStr">
        <is>
          <t>2002-T3</t>
        </is>
      </c>
      <c r="B41" s="6" t="n">
        <v>0.4393825144705077</v>
      </c>
      <c r="C41" s="6" t="n">
        <v>0.3377124792703151</v>
      </c>
      <c r="D41" s="6" t="n"/>
      <c r="E41" s="3">
        <f>IF(COUNT(B41:D41)&lt;3,"—",INDEX($B$14:$D$14,MATCH(MAX(B41:D41),B41:D41,0)))</f>
        <v/>
      </c>
    </row>
    <row r="42">
      <c r="A42" s="3" t="inlineStr">
        <is>
          <t>2002-T4</t>
        </is>
      </c>
      <c r="B42" s="6" t="n">
        <v>0.5315749773170194</v>
      </c>
      <c r="C42" s="6" t="n">
        <v>0.2938672438672439</v>
      </c>
      <c r="D42" s="6" t="n"/>
      <c r="E42" s="3">
        <f>IF(COUNT(B42:D42)&lt;3,"—",INDEX($B$14:$D$14,MATCH(MAX(B42:D42),B42:D42,0)))</f>
        <v/>
      </c>
    </row>
    <row r="43">
      <c r="A43" s="3" t="inlineStr">
        <is>
          <t>2003-T1</t>
        </is>
      </c>
      <c r="B43" s="6" t="n">
        <v>0.5724592499993572</v>
      </c>
      <c r="C43" s="6" t="n">
        <v>0.3272820420282145</v>
      </c>
      <c r="D43" s="6" t="n"/>
      <c r="E43" s="3">
        <f>IF(COUNT(B43:D43)&lt;3,"—",INDEX($B$14:$D$14,MATCH(MAX(B43:D43),B43:D43,0)))</f>
        <v/>
      </c>
    </row>
    <row r="44">
      <c r="A44" s="3" t="inlineStr">
        <is>
          <t>2003-T2</t>
        </is>
      </c>
      <c r="B44" s="6" t="n">
        <v>0.3703602089822287</v>
      </c>
      <c r="C44" s="6" t="n">
        <v>0.2454752953813104</v>
      </c>
      <c r="D44" s="6" t="n">
        <v>0.2700109649122807</v>
      </c>
      <c r="E44" s="3">
        <f>IF(COUNT(B44:D44)&lt;3,"—",INDEX($B$14:$D$14,MATCH(MAX(B44:D44),B44:D44,0)))</f>
        <v/>
      </c>
    </row>
    <row r="45">
      <c r="A45" s="3" t="inlineStr">
        <is>
          <t>2003-T3</t>
        </is>
      </c>
      <c r="B45" s="6" t="n">
        <v>0.3697991252379401</v>
      </c>
      <c r="C45" s="6" t="n">
        <v>0.1706956651760891</v>
      </c>
      <c r="D45" s="6" t="n">
        <v>0.09689358087610728</v>
      </c>
      <c r="E45" s="3">
        <f>IF(COUNT(B45:D45)&lt;3,"—",INDEX($B$14:$D$14,MATCH(MAX(B45:D45),B45:D45,0)))</f>
        <v/>
      </c>
    </row>
    <row r="46">
      <c r="A46" s="3" t="inlineStr">
        <is>
          <t>2003-T4</t>
        </is>
      </c>
      <c r="B46" s="6" t="n">
        <v>0.3086593666380901</v>
      </c>
      <c r="C46" s="6" t="n">
        <v>0.1536304900567891</v>
      </c>
      <c r="D46" s="6" t="n">
        <v>0.198051948051948</v>
      </c>
      <c r="E46" s="3">
        <f>IF(COUNT(B46:D46)&lt;3,"—",INDEX($B$14:$D$14,MATCH(MAX(B46:D46),B46:D46,0)))</f>
        <v/>
      </c>
    </row>
    <row r="47">
      <c r="A47" s="3" t="inlineStr">
        <is>
          <t>2004-T1</t>
        </is>
      </c>
      <c r="B47" s="6" t="n">
        <v>0.2385247254471124</v>
      </c>
      <c r="C47" s="6" t="n">
        <v>0.1311496026982222</v>
      </c>
      <c r="D47" s="6" t="n">
        <v>0.2176236277081512</v>
      </c>
      <c r="E47" s="3">
        <f>IF(COUNT(B47:D47)&lt;3,"—",INDEX($B$14:$D$14,MATCH(MAX(B47:D47),B47:D47,0)))</f>
        <v/>
      </c>
    </row>
    <row r="48">
      <c r="A48" s="3" t="inlineStr">
        <is>
          <t>2004-T2</t>
        </is>
      </c>
      <c r="B48" s="6" t="n">
        <v>0.380812324929972</v>
      </c>
      <c r="C48" s="6" t="n">
        <v>0.1674020424020424</v>
      </c>
      <c r="D48" s="6" t="n">
        <v>0.2173684210526315</v>
      </c>
      <c r="E48" s="3">
        <f>IF(COUNT(B48:D48)&lt;3,"—",INDEX($B$14:$D$14,MATCH(MAX(B48:D48),B48:D48,0)))</f>
        <v/>
      </c>
    </row>
    <row r="49">
      <c r="A49" s="3" t="inlineStr">
        <is>
          <t>2004-T3</t>
        </is>
      </c>
      <c r="B49" s="6" t="n">
        <v>0.3633923081001626</v>
      </c>
      <c r="C49" s="6" t="n">
        <v>0.1613457970600828</v>
      </c>
      <c r="D49" s="6" t="n">
        <v>0.3389061380463338</v>
      </c>
      <c r="E49" s="3">
        <f>IF(COUNT(B49:D49)&lt;3,"—",INDEX($B$14:$D$14,MATCH(MAX(B49:D49),B49:D49,0)))</f>
        <v/>
      </c>
    </row>
    <row r="50">
      <c r="A50" s="3" t="inlineStr">
        <is>
          <t>2004-T4</t>
        </is>
      </c>
      <c r="B50" s="6" t="n">
        <v>0.2340411603632438</v>
      </c>
      <c r="C50" s="6" t="n">
        <v>0.07891210633099936</v>
      </c>
      <c r="D50" s="6" t="n">
        <v>0.06155632984901278</v>
      </c>
      <c r="E50" s="3">
        <f>IF(COUNT(B50:D50)&lt;3,"—",INDEX($B$14:$D$14,MATCH(MAX(B50:D50),B50:D50,0)))</f>
        <v/>
      </c>
    </row>
    <row r="51">
      <c r="A51" s="3" t="inlineStr">
        <is>
          <t>2005-T1</t>
        </is>
      </c>
      <c r="B51" s="6" t="n">
        <v>0.3352056865555699</v>
      </c>
      <c r="C51" s="6" t="n">
        <v>0.2093161753462581</v>
      </c>
      <c r="D51" s="6" t="n">
        <v>0.6763708873379861</v>
      </c>
      <c r="E51" s="3">
        <f>IF(COUNT(B51:D51)&lt;3,"—",INDEX($B$14:$D$14,MATCH(MAX(B51:D51),B51:D51,0)))</f>
        <v/>
      </c>
    </row>
    <row r="52">
      <c r="A52" s="3" t="inlineStr">
        <is>
          <t>2005-T2</t>
        </is>
      </c>
      <c r="B52" s="6" t="n">
        <v>0.2377962571414952</v>
      </c>
      <c r="C52" s="6" t="n">
        <v>0.1354073228128461</v>
      </c>
      <c r="D52" s="6" t="n">
        <v>0.7371700879765394</v>
      </c>
      <c r="E52" s="3">
        <f>IF(COUNT(B52:D52)&lt;3,"—",INDEX($B$14:$D$14,MATCH(MAX(B52:D52),B52:D52,0)))</f>
        <v/>
      </c>
    </row>
    <row r="53">
      <c r="A53" s="3" t="inlineStr">
        <is>
          <t>2005-T3</t>
        </is>
      </c>
      <c r="B53" s="6" t="n">
        <v>0.2533659161646493</v>
      </c>
      <c r="C53" s="6" t="n">
        <v>0.2285083534540135</v>
      </c>
      <c r="D53" s="6" t="n">
        <v>0.7769230769230768</v>
      </c>
      <c r="E53" s="3">
        <f>IF(COUNT(B53:D53)&lt;3,"—",INDEX($B$14:$D$14,MATCH(MAX(B53:D53),B53:D53,0)))</f>
        <v/>
      </c>
    </row>
    <row r="54">
      <c r="A54" s="3" t="inlineStr">
        <is>
          <t>2005-T4</t>
        </is>
      </c>
      <c r="B54" s="6" t="n">
        <v>0.2079481253210067</v>
      </c>
      <c r="C54" s="6" t="n">
        <v>0.4454106590225188</v>
      </c>
      <c r="D54" s="6" t="n">
        <v>0.7931268251981644</v>
      </c>
      <c r="E54" s="3">
        <f>IF(COUNT(B54:D54)&lt;3,"—",INDEX($B$14:$D$14,MATCH(MAX(B54:D54),B54:D54,0)))</f>
        <v/>
      </c>
    </row>
    <row r="55">
      <c r="A55" s="3" t="inlineStr">
        <is>
          <t>2006-T1</t>
        </is>
      </c>
      <c r="B55" s="6" t="n">
        <v>0.07874621983359374</v>
      </c>
      <c r="C55" s="6" t="n">
        <v>0.2528237308660343</v>
      </c>
      <c r="D55" s="6" t="n">
        <v>0.3281544939741542</v>
      </c>
      <c r="E55" s="3">
        <f>IF(COUNT(B55:D55)&lt;3,"—",INDEX($B$14:$D$14,MATCH(MAX(B55:D55),B55:D55,0)))</f>
        <v/>
      </c>
    </row>
    <row r="56">
      <c r="A56" s="3" t="inlineStr">
        <is>
          <t>2006-T2</t>
        </is>
      </c>
      <c r="B56" s="6" t="n">
        <v>0.25171950315165</v>
      </c>
      <c r="C56" s="6" t="n">
        <v>0.4113965575031804</v>
      </c>
      <c r="D56" s="6" t="n">
        <v>0.4771387929282666</v>
      </c>
      <c r="E56" s="3">
        <f>IF(COUNT(B56:D56)&lt;3,"—",INDEX($B$14:$D$14,MATCH(MAX(B56:D56),B56:D56,0)))</f>
        <v/>
      </c>
    </row>
    <row r="57">
      <c r="A57" s="3" t="inlineStr">
        <is>
          <t>2006-T3</t>
        </is>
      </c>
      <c r="B57" s="6" t="n">
        <v>0.2266764785315842</v>
      </c>
      <c r="C57" s="6" t="n">
        <v>0.3060347162163342</v>
      </c>
      <c r="D57" s="6" t="n">
        <v>0.3531779103478302</v>
      </c>
      <c r="E57" s="3">
        <f>IF(COUNT(B57:D57)&lt;3,"—",INDEX($B$14:$D$14,MATCH(MAX(B57:D57),B57:D57,0)))</f>
        <v/>
      </c>
    </row>
    <row r="58">
      <c r="A58" s="3" t="inlineStr">
        <is>
          <t>2006-T4</t>
        </is>
      </c>
      <c r="B58" s="6" t="n">
        <v>0.1018498904041073</v>
      </c>
      <c r="C58" s="6" t="n">
        <v>0.07108980130172898</v>
      </c>
      <c r="D58" s="6" t="n">
        <v>0.1006769174222004</v>
      </c>
      <c r="E58" s="3">
        <f>IF(COUNT(B58:D58)&lt;3,"—",INDEX($B$14:$D$14,MATCH(MAX(B58:D58),B58:D58,0)))</f>
        <v/>
      </c>
    </row>
    <row r="59">
      <c r="A59" s="3" t="inlineStr">
        <is>
          <t>2007-T1</t>
        </is>
      </c>
      <c r="B59" s="6" t="n">
        <v>0.1546509491166215</v>
      </c>
      <c r="C59" s="6" t="n">
        <v>0.1376248350579901</v>
      </c>
      <c r="D59" s="6" t="n">
        <v>0.390719958554835</v>
      </c>
      <c r="E59" s="3">
        <f>IF(COUNT(B59:D59)&lt;3,"—",INDEX($B$14:$D$14,MATCH(MAX(B59:D59),B59:D59,0)))</f>
        <v/>
      </c>
    </row>
    <row r="60">
      <c r="A60" s="3" t="inlineStr">
        <is>
          <t>2007-T2</t>
        </is>
      </c>
      <c r="B60" s="6" t="n">
        <v>0.3162651219527571</v>
      </c>
      <c r="C60" s="6" t="n">
        <v>0.3022613982054209</v>
      </c>
      <c r="D60" s="6" t="n">
        <v>0.495906502135738</v>
      </c>
      <c r="E60" s="3">
        <f>IF(COUNT(B60:D60)&lt;3,"—",INDEX($B$14:$D$14,MATCH(MAX(B60:D60),B60:D60,0)))</f>
        <v/>
      </c>
    </row>
    <row r="61">
      <c r="A61" s="3" t="inlineStr">
        <is>
          <t>2007-T3</t>
        </is>
      </c>
      <c r="B61" s="6" t="n">
        <v>0.1592905811405298</v>
      </c>
      <c r="C61" s="6" t="n">
        <v>0.174979501188725</v>
      </c>
      <c r="D61" s="6" t="n">
        <v>0.5239827661807366</v>
      </c>
      <c r="E61" s="3">
        <f>IF(COUNT(B61:D61)&lt;3,"—",INDEX($B$14:$D$14,MATCH(MAX(B61:D61),B61:D61,0)))</f>
        <v/>
      </c>
    </row>
    <row r="62">
      <c r="A62" s="3" t="inlineStr">
        <is>
          <t>2007-T4</t>
        </is>
      </c>
      <c r="B62" s="6" t="n">
        <v>0.3648691069638806</v>
      </c>
      <c r="C62" s="6" t="n">
        <v>0.4279091910364493</v>
      </c>
      <c r="D62" s="6" t="n">
        <v>0.5440243709864196</v>
      </c>
      <c r="E62" s="3">
        <f>IF(COUNT(B62:D62)&lt;3,"—",INDEX($B$14:$D$14,MATCH(MAX(B62:D62),B62:D62,0)))</f>
        <v/>
      </c>
    </row>
    <row r="63">
      <c r="A63" s="3" t="inlineStr">
        <is>
          <t>2008-T1</t>
        </is>
      </c>
      <c r="B63" s="6" t="n">
        <v>0.5922185073451981</v>
      </c>
      <c r="C63" s="6" t="n">
        <v>0.6436060286536993</v>
      </c>
      <c r="D63" s="6" t="n">
        <v>0.7498698771020561</v>
      </c>
      <c r="E63" s="3">
        <f>IF(COUNT(B63:D63)&lt;3,"—",INDEX($B$14:$D$14,MATCH(MAX(B63:D63),B63:D63,0)))</f>
        <v/>
      </c>
    </row>
    <row r="64">
      <c r="A64" s="3" t="inlineStr">
        <is>
          <t>2008-T2</t>
        </is>
      </c>
      <c r="B64" s="6" t="n">
        <v>0.6625659397398528</v>
      </c>
      <c r="C64" s="6" t="n">
        <v>0.7828622358034122</v>
      </c>
      <c r="D64" s="6" t="n">
        <v>0.7768033480673375</v>
      </c>
      <c r="E64" s="3">
        <f>IF(COUNT(B64:D64)&lt;3,"—",INDEX($B$14:$D$14,MATCH(MAX(B64:D64),B64:D64,0)))</f>
        <v/>
      </c>
    </row>
    <row r="65">
      <c r="A65" s="3" t="inlineStr">
        <is>
          <t>2008-T3</t>
        </is>
      </c>
      <c r="B65" s="6" t="n">
        <v>0.4425812719976882</v>
      </c>
      <c r="C65" s="6" t="n">
        <v>0.5814536403371855</v>
      </c>
      <c r="D65" s="6" t="n">
        <v>0.8810876268036945</v>
      </c>
      <c r="E65" s="3">
        <f>IF(COUNT(B65:D65)&lt;3,"—",INDEX($B$14:$D$14,MATCH(MAX(B65:D65),B65:D65,0)))</f>
        <v/>
      </c>
    </row>
    <row r="66">
      <c r="A66" s="3" t="inlineStr">
        <is>
          <t>2008-T4</t>
        </is>
      </c>
      <c r="B66" s="6" t="n">
        <v>0.8476748594174512</v>
      </c>
      <c r="C66" s="6" t="n">
        <v>0.7268994636471593</v>
      </c>
      <c r="D66" s="6" t="n">
        <v>0.9326599870717517</v>
      </c>
      <c r="E66" s="3">
        <f>IF(COUNT(B66:D66)&lt;3,"—",INDEX($B$14:$D$14,MATCH(MAX(B66:D66),B66:D66,0)))</f>
        <v/>
      </c>
    </row>
    <row r="67">
      <c r="A67" s="3" t="inlineStr">
        <is>
          <t>2009-T1</t>
        </is>
      </c>
      <c r="B67" s="6" t="n">
        <v>0.9061542268259509</v>
      </c>
      <c r="C67" s="6" t="n">
        <v>0.8717645109293322</v>
      </c>
      <c r="D67" s="6" t="n">
        <v>0.8936800481053703</v>
      </c>
      <c r="E67" s="3">
        <f>IF(COUNT(B67:D67)&lt;3,"—",INDEX($B$14:$D$14,MATCH(MAX(B67:D67),B67:D67,0)))</f>
        <v/>
      </c>
    </row>
    <row r="68">
      <c r="A68" s="3" t="inlineStr">
        <is>
          <t>2009-T2</t>
        </is>
      </c>
      <c r="B68" s="6" t="n">
        <v>0.8074617346938776</v>
      </c>
      <c r="C68" s="6" t="n">
        <v>0.6840619264196747</v>
      </c>
      <c r="D68" s="6" t="n">
        <v>0.7642872628166746</v>
      </c>
      <c r="E68" s="3">
        <f>IF(COUNT(B68:D68)&lt;3,"—",INDEX($B$14:$D$14,MATCH(MAX(B68:D68),B68:D68,0)))</f>
        <v/>
      </c>
    </row>
    <row r="69">
      <c r="A69" s="3" t="inlineStr">
        <is>
          <t>2009-T3</t>
        </is>
      </c>
      <c r="B69" s="6" t="n">
        <v>0.5806007753729165</v>
      </c>
      <c r="C69" s="6" t="n">
        <v>0.511328662379627</v>
      </c>
      <c r="D69" s="6" t="n">
        <v>0.5801369182618671</v>
      </c>
      <c r="E69" s="3">
        <f>IF(COUNT(B69:D69)&lt;3,"—",INDEX($B$14:$D$14,MATCH(MAX(B69:D69),B69:D69,0)))</f>
        <v/>
      </c>
    </row>
    <row r="70">
      <c r="A70" s="3" t="inlineStr">
        <is>
          <t>2009-T4</t>
        </is>
      </c>
      <c r="B70" s="6" t="n">
        <v>0.6472293385391322</v>
      </c>
      <c r="C70" s="6" t="n">
        <v>0.4912196028478329</v>
      </c>
      <c r="D70" s="6" t="n">
        <v>0.6479666793866647</v>
      </c>
      <c r="E70" s="3">
        <f>IF(COUNT(B70:D70)&lt;3,"—",INDEX($B$14:$D$14,MATCH(MAX(B70:D70),B70:D70,0)))</f>
        <v/>
      </c>
    </row>
    <row r="71">
      <c r="A71" s="3" t="inlineStr">
        <is>
          <t>2010-T1</t>
        </is>
      </c>
      <c r="B71" s="6" t="n">
        <v>0.3468419738100275</v>
      </c>
      <c r="C71" s="6" t="n">
        <v>0.1933994024604257</v>
      </c>
      <c r="D71" s="6" t="n">
        <v>0.5477733261979491</v>
      </c>
      <c r="E71" s="3">
        <f>IF(COUNT(B71:D71)&lt;3,"—",INDEX($B$14:$D$14,MATCH(MAX(B71:D71),B71:D71,0)))</f>
        <v/>
      </c>
    </row>
    <row r="72">
      <c r="A72" s="3" t="inlineStr">
        <is>
          <t>2010-T2</t>
        </is>
      </c>
      <c r="B72" s="6" t="n">
        <v>0.5301168949424764</v>
      </c>
      <c r="C72" s="6" t="n">
        <v>0.3212726757369614</v>
      </c>
      <c r="D72" s="6" t="n">
        <v>0.7180602393145284</v>
      </c>
      <c r="E72" s="3">
        <f>IF(COUNT(B72:D72)&lt;3,"—",INDEX($B$14:$D$14,MATCH(MAX(B72:D72),B72:D72,0)))</f>
        <v/>
      </c>
    </row>
    <row r="73">
      <c r="A73" s="3" t="inlineStr">
        <is>
          <t>2010-T3</t>
        </is>
      </c>
      <c r="B73" s="6" t="n">
        <v>0.3290743785665925</v>
      </c>
      <c r="C73" s="6" t="n">
        <v>0.2025976143319508</v>
      </c>
      <c r="D73" s="6" t="n">
        <v>0.6628019941959967</v>
      </c>
      <c r="E73" s="3">
        <f>IF(COUNT(B73:D73)&lt;3,"—",INDEX($B$14:$D$14,MATCH(MAX(B73:D73),B73:D73,0)))</f>
        <v/>
      </c>
    </row>
    <row r="74">
      <c r="A74" s="3" t="inlineStr">
        <is>
          <t>2010-T4</t>
        </is>
      </c>
      <c r="B74" s="6" t="n">
        <v>0.1823845158417413</v>
      </c>
      <c r="C74" s="6" t="n">
        <v>0.1016748311929035</v>
      </c>
      <c r="D74" s="6" t="n">
        <v>0.4335442798660966</v>
      </c>
      <c r="E74" s="3">
        <f>IF(COUNT(B74:D74)&lt;3,"—",INDEX($B$14:$D$14,MATCH(MAX(B74:D74),B74:D74,0)))</f>
        <v/>
      </c>
    </row>
    <row r="75">
      <c r="A75" s="3" t="inlineStr">
        <is>
          <t>2011-T1</t>
        </is>
      </c>
      <c r="B75" s="6" t="n">
        <v>0.1017361206403139</v>
      </c>
      <c r="C75" s="6" t="n">
        <v>0.09091904175767682</v>
      </c>
      <c r="D75" s="6" t="n">
        <v>0.2840624315687844</v>
      </c>
      <c r="E75" s="3">
        <f>IF(COUNT(B75:D75)&lt;3,"—",INDEX($B$14:$D$14,MATCH(MAX(B75:D75),B75:D75,0)))</f>
        <v/>
      </c>
    </row>
    <row r="76">
      <c r="A76" s="3" t="inlineStr">
        <is>
          <t>2011-T2</t>
        </is>
      </c>
      <c r="B76" s="6" t="n">
        <v>0.2701885674711762</v>
      </c>
      <c r="C76" s="6" t="n">
        <v>0.2612045425598216</v>
      </c>
      <c r="D76" s="6" t="n">
        <v>0.1678530634002002</v>
      </c>
      <c r="E76" s="3">
        <f>IF(COUNT(B76:D76)&lt;3,"—",INDEX($B$14:$D$14,MATCH(MAX(B76:D76),B76:D76,0)))</f>
        <v/>
      </c>
    </row>
    <row r="77">
      <c r="A77" s="3" t="inlineStr">
        <is>
          <t>2011-T3</t>
        </is>
      </c>
      <c r="B77" s="6" t="n">
        <v>0.3055019083804782</v>
      </c>
      <c r="C77" s="6" t="n">
        <v>0.505358143257303</v>
      </c>
      <c r="D77" s="6" t="n">
        <v>0.5041712648269887</v>
      </c>
      <c r="E77" s="3">
        <f>IF(COUNT(B77:D77)&lt;3,"—",INDEX($B$14:$D$14,MATCH(MAX(B77:D77),B77:D77,0)))</f>
        <v/>
      </c>
    </row>
    <row r="78">
      <c r="A78" s="3" t="inlineStr">
        <is>
          <t>2011-T4</t>
        </is>
      </c>
      <c r="B78" s="6" t="n">
        <v>0.3335578991727106</v>
      </c>
      <c r="C78" s="6" t="n">
        <v>0.3785540415046322</v>
      </c>
      <c r="D78" s="6" t="n">
        <v>0.3389336781978778</v>
      </c>
      <c r="E78" s="3">
        <f>IF(COUNT(B78:D78)&lt;3,"—",INDEX($B$14:$D$14,MATCH(MAX(B78:D78),B78:D78,0)))</f>
        <v/>
      </c>
    </row>
    <row r="79">
      <c r="A79" s="3" t="inlineStr">
        <is>
          <t>2012-T1</t>
        </is>
      </c>
      <c r="B79" s="6" t="n">
        <v>0.3209883260502583</v>
      </c>
      <c r="C79" s="6" t="n">
        <v>0.2773488439002959</v>
      </c>
      <c r="D79" s="6" t="n">
        <v>0.5437355599109733</v>
      </c>
      <c r="E79" s="3">
        <f>IF(COUNT(B79:D79)&lt;3,"—",INDEX($B$14:$D$14,MATCH(MAX(B79:D79),B79:D79,0)))</f>
        <v/>
      </c>
    </row>
    <row r="80">
      <c r="A80" s="3" t="inlineStr">
        <is>
          <t>2012-T2</t>
        </is>
      </c>
      <c r="B80" s="6" t="n">
        <v>0.2943520373426313</v>
      </c>
      <c r="C80" s="6" t="n">
        <v>0.2273300988855183</v>
      </c>
      <c r="D80" s="6" t="n">
        <v>0.588435600716582</v>
      </c>
      <c r="E80" s="3">
        <f>IF(COUNT(B80:D80)&lt;3,"—",INDEX($B$14:$D$14,MATCH(MAX(B80:D80),B80:D80,0)))</f>
        <v/>
      </c>
    </row>
    <row r="81">
      <c r="A81" s="3" t="inlineStr">
        <is>
          <t>2012-T3</t>
        </is>
      </c>
      <c r="B81" s="6" t="n">
        <v>0.2347754629889477</v>
      </c>
      <c r="C81" s="6" t="n">
        <v>0.3079858072066876</v>
      </c>
      <c r="D81" s="6" t="n">
        <v>0.5254538534544304</v>
      </c>
      <c r="E81" s="3">
        <f>IF(COUNT(B81:D81)&lt;3,"—",INDEX($B$14:$D$14,MATCH(MAX(B81:D81),B81:D81,0)))</f>
        <v/>
      </c>
    </row>
    <row r="82">
      <c r="A82" s="3" t="inlineStr">
        <is>
          <t>2012-T4</t>
        </is>
      </c>
      <c r="B82" s="6" t="n">
        <v>0.2142266147383046</v>
      </c>
      <c r="C82" s="6" t="n">
        <v>0.3536395471867714</v>
      </c>
      <c r="D82" s="6" t="n">
        <v>0.4273697610939399</v>
      </c>
      <c r="E82" s="3">
        <f>IF(COUNT(B82:D82)&lt;3,"—",INDEX($B$14:$D$14,MATCH(MAX(B82:D82),B82:D82,0)))</f>
        <v/>
      </c>
    </row>
    <row r="83">
      <c r="A83" s="3" t="inlineStr">
        <is>
          <t>2013-T1</t>
        </is>
      </c>
      <c r="B83" s="6" t="n">
        <v>0.1686303708812743</v>
      </c>
      <c r="C83" s="6" t="n">
        <v>0.2167513447339195</v>
      </c>
      <c r="D83" s="6" t="n">
        <v>0.09176809914841003</v>
      </c>
      <c r="E83" s="3">
        <f>IF(COUNT(B83:D83)&lt;3,"—",INDEX($B$14:$D$14,MATCH(MAX(B83:D83),B83:D83,0)))</f>
        <v/>
      </c>
    </row>
    <row r="84">
      <c r="A84" s="3" t="inlineStr">
        <is>
          <t>2013-T2</t>
        </is>
      </c>
      <c r="B84" s="6" t="n">
        <v>0.1525511238983408</v>
      </c>
      <c r="C84" s="6" t="n">
        <v>0.2235477405247813</v>
      </c>
      <c r="D84" s="6" t="n">
        <v>0.07706989929871277</v>
      </c>
      <c r="E84" s="3">
        <f>IF(COUNT(B84:D84)&lt;3,"—",INDEX($B$14:$D$14,MATCH(MAX(B84:D84),B84:D84,0)))</f>
        <v/>
      </c>
    </row>
    <row r="85">
      <c r="A85" s="3" t="inlineStr">
        <is>
          <t>2013-T3</t>
        </is>
      </c>
      <c r="B85" s="6" t="n">
        <v>0.239215685594953</v>
      </c>
      <c r="C85" s="6" t="n">
        <v>0.299824324970641</v>
      </c>
      <c r="D85" s="6" t="n">
        <v>0.1036140812056048</v>
      </c>
      <c r="E85" s="3">
        <f>IF(COUNT(B85:D85)&lt;3,"—",INDEX($B$14:$D$14,MATCH(MAX(B85:D85),B85:D85,0)))</f>
        <v/>
      </c>
    </row>
    <row r="86">
      <c r="A86" s="3" t="inlineStr">
        <is>
          <t>2013-T4</t>
        </is>
      </c>
      <c r="B86" s="6" t="n">
        <v>0.2590694259012016</v>
      </c>
      <c r="C86" s="6" t="n">
        <v>0.3534791455540932</v>
      </c>
      <c r="D86" s="6" t="n">
        <v>0.1296171545479552</v>
      </c>
      <c r="E86" s="3">
        <f>IF(COUNT(B86:D86)&lt;3,"—",INDEX($B$14:$D$14,MATCH(MAX(B86:D86),B86:D86,0)))</f>
        <v/>
      </c>
    </row>
    <row r="87">
      <c r="A87" s="3" t="inlineStr">
        <is>
          <t>2014-T1</t>
        </is>
      </c>
      <c r="B87" s="6" t="n">
        <v>0.2426055747078532</v>
      </c>
      <c r="C87" s="6" t="n">
        <v>0.4533236203029824</v>
      </c>
      <c r="D87" s="6" t="n">
        <v>0.2080007945641311</v>
      </c>
      <c r="E87" s="3">
        <f>IF(COUNT(B87:D87)&lt;3,"—",INDEX($B$14:$D$14,MATCH(MAX(B87:D87),B87:D87,0)))</f>
        <v/>
      </c>
    </row>
    <row r="88">
      <c r="A88" s="3" t="inlineStr">
        <is>
          <t>2014-T2</t>
        </is>
      </c>
      <c r="B88" s="6" t="n">
        <v>0.2066355519480519</v>
      </c>
      <c r="C88" s="6" t="n">
        <v>0.419718776586969</v>
      </c>
      <c r="D88" s="6" t="n">
        <v>0.188207521814696</v>
      </c>
      <c r="E88" s="3">
        <f>IF(COUNT(B88:D88)&lt;3,"—",INDEX($B$14:$D$14,MATCH(MAX(B88:D88),B88:D88,0)))</f>
        <v/>
      </c>
    </row>
    <row r="89">
      <c r="A89" s="3" t="inlineStr">
        <is>
          <t>2014-T3</t>
        </is>
      </c>
      <c r="B89" s="6" t="n">
        <v>0.3059712217303505</v>
      </c>
      <c r="C89" s="6" t="n">
        <v>0.5391303156333623</v>
      </c>
      <c r="D89" s="6" t="n">
        <v>0.2314067671199094</v>
      </c>
      <c r="E89" s="3">
        <f>IF(COUNT(B89:D89)&lt;3,"—",INDEX($B$14:$D$14,MATCH(MAX(B89:D89),B89:D89,0)))</f>
        <v/>
      </c>
    </row>
    <row r="90">
      <c r="A90" s="3" t="inlineStr">
        <is>
          <t>2014-T4</t>
        </is>
      </c>
      <c r="B90" s="6" t="n">
        <v>0.1719034206176942</v>
      </c>
      <c r="C90" s="6" t="n">
        <v>0.3178221846387807</v>
      </c>
      <c r="D90" s="6" t="n">
        <v>0.1723029445801723</v>
      </c>
      <c r="E90" s="3">
        <f>IF(COUNT(B90:D90)&lt;3,"—",INDEX($B$14:$D$14,MATCH(MAX(B90:D90),B90:D90,0)))</f>
        <v/>
      </c>
    </row>
    <row r="91">
      <c r="A91" s="3" t="inlineStr">
        <is>
          <t>2015-T1</t>
        </is>
      </c>
      <c r="B91" s="6" t="n">
        <v>0.2418595881015515</v>
      </c>
      <c r="C91" s="6" t="n">
        <v>0.3459931111992114</v>
      </c>
      <c r="D91" s="6" t="n">
        <v>0.3117126639541137</v>
      </c>
      <c r="E91" s="3">
        <f>IF(COUNT(B91:D91)&lt;3,"—",INDEX($B$14:$D$14,MATCH(MAX(B91:D91),B91:D91,0)))</f>
        <v/>
      </c>
    </row>
    <row r="92">
      <c r="A92" s="3" t="inlineStr">
        <is>
          <t>2015-T2</t>
        </is>
      </c>
      <c r="B92" s="6" t="n">
        <v>0.3579771395094541</v>
      </c>
      <c r="C92" s="6" t="n">
        <v>0.4864323754645912</v>
      </c>
      <c r="D92" s="6" t="n">
        <v>0.489615814713662</v>
      </c>
      <c r="E92" s="3">
        <f>IF(COUNT(B92:D92)&lt;3,"—",INDEX($B$14:$D$14,MATCH(MAX(B92:D92),B92:D92,0)))</f>
        <v/>
      </c>
    </row>
    <row r="93">
      <c r="A93" s="3" t="inlineStr">
        <is>
          <t>2015-T3</t>
        </is>
      </c>
      <c r="B93" s="6" t="n">
        <v>0.3484476481302967</v>
      </c>
      <c r="C93" s="6" t="n">
        <v>0.4089531586516927</v>
      </c>
      <c r="D93" s="6" t="n">
        <v>0.5381279626993549</v>
      </c>
      <c r="E93" s="3">
        <f>IF(COUNT(B93:D93)&lt;3,"—",INDEX($B$14:$D$14,MATCH(MAX(B93:D93),B93:D93,0)))</f>
        <v/>
      </c>
    </row>
    <row r="94">
      <c r="A94" s="3" t="inlineStr">
        <is>
          <t>2015-T4</t>
        </is>
      </c>
      <c r="B94" s="6" t="n">
        <v>0.1990303116380372</v>
      </c>
      <c r="C94" s="6" t="n">
        <v>0.239678647425435</v>
      </c>
      <c r="D94" s="6" t="n">
        <v>0.5010025498723942</v>
      </c>
      <c r="E94" s="3">
        <f>IF(COUNT(B94:D94)&lt;3,"—",INDEX($B$14:$D$14,MATCH(MAX(B94:D94),B94:D94,0)))</f>
        <v/>
      </c>
    </row>
    <row r="95">
      <c r="A95" s="3" t="inlineStr">
        <is>
          <t>2016-T1</t>
        </is>
      </c>
      <c r="B95" s="6" t="n">
        <v>0.1618557848224639</v>
      </c>
      <c r="C95" s="6" t="n">
        <v>0.1976541980533096</v>
      </c>
      <c r="D95" s="6" t="n">
        <v>0.5355124789317856</v>
      </c>
      <c r="E95" s="3">
        <f>IF(COUNT(B95:D95)&lt;3,"—",INDEX($B$14:$D$14,MATCH(MAX(B95:D95),B95:D95,0)))</f>
        <v/>
      </c>
    </row>
    <row r="96">
      <c r="A96" s="3" t="inlineStr">
        <is>
          <t>2016-T2</t>
        </is>
      </c>
      <c r="B96" s="6" t="n">
        <v>0.1187823607194634</v>
      </c>
      <c r="C96" s="6" t="n">
        <v>0.1571062743652469</v>
      </c>
      <c r="D96" s="6" t="n">
        <v>0.4060116837358127</v>
      </c>
      <c r="E96" s="3">
        <f>IF(COUNT(B96:D96)&lt;3,"—",INDEX($B$14:$D$14,MATCH(MAX(B96:D96),B96:D96,0)))</f>
        <v/>
      </c>
    </row>
    <row r="97">
      <c r="A97" s="3" t="inlineStr">
        <is>
          <t>2016-T3</t>
        </is>
      </c>
      <c r="B97" s="6" t="n">
        <v>0.1374823077445357</v>
      </c>
      <c r="C97" s="6" t="n">
        <v>0.2026287488839611</v>
      </c>
      <c r="D97" s="6" t="n">
        <v>0.5428001182866484</v>
      </c>
      <c r="E97" s="3">
        <f>IF(COUNT(B97:D97)&lt;3,"—",INDEX($B$14:$D$14,MATCH(MAX(B97:D97),B97:D97,0)))</f>
        <v/>
      </c>
    </row>
    <row r="98">
      <c r="A98" s="3" t="inlineStr">
        <is>
          <t>2016-T4</t>
        </is>
      </c>
      <c r="B98" s="6" t="n">
        <v>0.1821358641358642</v>
      </c>
      <c r="C98" s="6" t="n">
        <v>0.2817341977396142</v>
      </c>
      <c r="D98" s="6" t="n">
        <v>0.5958391662298419</v>
      </c>
      <c r="E98" s="3">
        <f>IF(COUNT(B98:D98)&lt;3,"—",INDEX($B$14:$D$14,MATCH(MAX(B98:D98),B98:D98,0)))</f>
        <v/>
      </c>
    </row>
    <row r="99">
      <c r="A99" s="3" t="inlineStr">
        <is>
          <t>2017-T1</t>
        </is>
      </c>
      <c r="B99" s="6" t="n">
        <v>0.322930383476569</v>
      </c>
      <c r="C99" s="6" t="n">
        <v>0.3561426477730496</v>
      </c>
      <c r="D99" s="6" t="n">
        <v>0.5865196213781854</v>
      </c>
      <c r="E99" s="3">
        <f>IF(COUNT(B99:D99)&lt;3,"—",INDEX($B$14:$D$14,MATCH(MAX(B99:D99),B99:D99,0)))</f>
        <v/>
      </c>
    </row>
    <row r="100">
      <c r="A100" s="3" t="inlineStr">
        <is>
          <t>2017-T2</t>
        </is>
      </c>
      <c r="B100" s="6" t="n">
        <v>0.4642758965743831</v>
      </c>
      <c r="C100" s="6" t="n">
        <v>0.4687719823112095</v>
      </c>
      <c r="D100" s="6" t="n">
        <v>0.4602176659080103</v>
      </c>
      <c r="E100" s="3">
        <f>IF(COUNT(B100:D100)&lt;3,"—",INDEX($B$14:$D$14,MATCH(MAX(B100:D100),B100:D100,0)))</f>
        <v/>
      </c>
    </row>
    <row r="101">
      <c r="A101" s="3" t="inlineStr">
        <is>
          <t>2017-T3</t>
        </is>
      </c>
      <c r="B101" s="6" t="n">
        <v>0.4003532257158341</v>
      </c>
      <c r="C101" s="6" t="n">
        <v>0.4185729425244863</v>
      </c>
      <c r="D101" s="6" t="n">
        <v>0.4331735718921862</v>
      </c>
      <c r="E101" s="3">
        <f>IF(COUNT(B101:D101)&lt;3,"—",INDEX($B$14:$D$14,MATCH(MAX(B101:D101),B101:D101,0)))</f>
        <v/>
      </c>
    </row>
    <row r="102">
      <c r="A102" s="3" t="inlineStr">
        <is>
          <t>2017-T4</t>
        </is>
      </c>
      <c r="B102" s="6" t="n">
        <v>0.3503177236718913</v>
      </c>
      <c r="C102" s="6" t="n">
        <v>0.4307625747113236</v>
      </c>
      <c r="D102" s="6" t="n">
        <v>0.4049927646873501</v>
      </c>
      <c r="E102" s="3">
        <f>IF(COUNT(B102:D102)&lt;3,"—",INDEX($B$14:$D$14,MATCH(MAX(B102:D102),B102:D102,0)))</f>
        <v/>
      </c>
    </row>
    <row r="103">
      <c r="A103" s="3" t="inlineStr">
        <is>
          <t>2018-T1</t>
        </is>
      </c>
      <c r="B103" s="6" t="n">
        <v>0.4723702264290241</v>
      </c>
      <c r="C103" s="6" t="n">
        <v>0.509673560516141</v>
      </c>
      <c r="D103" s="6" t="n">
        <v>0.6020983009492841</v>
      </c>
      <c r="E103" s="3">
        <f>IF(COUNT(B103:D103)&lt;3,"—",INDEX($B$14:$D$14,MATCH(MAX(B103:D103),B103:D103,0)))</f>
        <v/>
      </c>
    </row>
    <row r="104">
      <c r="A104" s="3" t="inlineStr">
        <is>
          <t>2018-T2</t>
        </is>
      </c>
      <c r="B104" s="6" t="n">
        <v>0.296494280618471</v>
      </c>
      <c r="C104" s="6" t="n">
        <v>0.4207786867737525</v>
      </c>
      <c r="D104" s="6" t="n">
        <v>0.4709057888805649</v>
      </c>
      <c r="E104" s="3">
        <f>IF(COUNT(B104:D104)&lt;3,"—",INDEX($B$14:$D$14,MATCH(MAX(B104:D104),B104:D104,0)))</f>
        <v/>
      </c>
    </row>
    <row r="105">
      <c r="A105" s="3" t="inlineStr">
        <is>
          <t>2018-T3</t>
        </is>
      </c>
      <c r="B105" s="6" t="n">
        <v>0.2418226365195944</v>
      </c>
      <c r="C105" s="6" t="n">
        <v>0.2779880353951462</v>
      </c>
      <c r="D105" s="6" t="n">
        <v>0.5077792009680555</v>
      </c>
      <c r="E105" s="3">
        <f>IF(COUNT(B105:D105)&lt;3,"—",INDEX($B$14:$D$14,MATCH(MAX(B105:D105),B105:D105,0)))</f>
        <v/>
      </c>
    </row>
    <row r="106">
      <c r="A106" s="3" t="inlineStr">
        <is>
          <t>2018-T4</t>
        </is>
      </c>
      <c r="B106" s="6" t="n">
        <v>0.1594094430802695</v>
      </c>
      <c r="C106" s="6" t="n">
        <v>0.1539116445733661</v>
      </c>
      <c r="D106" s="6" t="n">
        <v>0.4707059270516717</v>
      </c>
      <c r="E106" s="3">
        <f>IF(COUNT(B106:D106)&lt;3,"—",INDEX($B$14:$D$14,MATCH(MAX(B106:D106),B106:D106,0)))</f>
        <v/>
      </c>
    </row>
    <row r="107">
      <c r="A107" s="3" t="inlineStr">
        <is>
          <t>2019-T1</t>
        </is>
      </c>
      <c r="B107" s="6" t="n">
        <v>0.1075822800493659</v>
      </c>
      <c r="C107" s="6" t="n">
        <v>0.1079087127500396</v>
      </c>
      <c r="D107" s="6" t="n">
        <v>0.1952389565146544</v>
      </c>
      <c r="E107" s="3">
        <f>IF(COUNT(B107:D107)&lt;3,"—",INDEX($B$14:$D$14,MATCH(MAX(B107:D107),B107:D107,0)))</f>
        <v/>
      </c>
    </row>
    <row r="108">
      <c r="A108" s="3" t="inlineStr">
        <is>
          <t>2019-T2</t>
        </is>
      </c>
      <c r="B108" s="6" t="n">
        <v>0.2312759798971372</v>
      </c>
      <c r="C108" s="6" t="n">
        <v>0.2964477229466936</v>
      </c>
      <c r="D108" s="6" t="n">
        <v>0.216011898091823</v>
      </c>
      <c r="E108" s="3">
        <f>IF(COUNT(B108:D108)&lt;3,"—",INDEX($B$14:$D$14,MATCH(MAX(B108:D108),B108:D108,0)))</f>
        <v/>
      </c>
    </row>
    <row r="109">
      <c r="A109" s="3" t="inlineStr">
        <is>
          <t>2019-T3</t>
        </is>
      </c>
      <c r="B109" s="6" t="n">
        <v>0.2341722651823785</v>
      </c>
      <c r="C109" s="6" t="n">
        <v>0.223951367781155</v>
      </c>
      <c r="D109" s="6" t="n">
        <v>0.159010705947125</v>
      </c>
      <c r="E109" s="3">
        <f>IF(COUNT(B109:D109)&lt;3,"—",INDEX($B$14:$D$14,MATCH(MAX(B109:D109),B109:D109,0)))</f>
        <v/>
      </c>
    </row>
    <row r="110">
      <c r="A110" s="3" t="inlineStr">
        <is>
          <t>2019-T4</t>
        </is>
      </c>
      <c r="B110" s="6" t="n">
        <v>0.2894732079514687</v>
      </c>
      <c r="C110" s="6" t="n">
        <v>0.286210335836293</v>
      </c>
      <c r="D110" s="6" t="n">
        <v>0.2894923109624235</v>
      </c>
      <c r="E110" s="3">
        <f>IF(COUNT(B110:D110)&lt;3,"—",INDEX($B$14:$D$14,MATCH(MAX(B110:D110),B110:D110,0)))</f>
        <v/>
      </c>
    </row>
    <row r="111">
      <c r="A111" s="3" t="inlineStr">
        <is>
          <t>2020-T1</t>
        </is>
      </c>
      <c r="B111" s="6" t="n">
        <v>0.8192790331204761</v>
      </c>
      <c r="C111" s="6" t="n">
        <v>0.8290601878712048</v>
      </c>
      <c r="D111" s="6" t="n">
        <v>0.7770566151070397</v>
      </c>
      <c r="E111" s="3">
        <f>IF(COUNT(B111:D111)&lt;3,"—",INDEX($B$14:$D$14,MATCH(MAX(B111:D111),B111:D111,0)))</f>
        <v/>
      </c>
    </row>
    <row r="112">
      <c r="A112" s="3" t="inlineStr">
        <is>
          <t>2020-T2</t>
        </is>
      </c>
      <c r="B112" s="6" t="n">
        <v>0.7490571497794491</v>
      </c>
      <c r="C112" s="6" t="n">
        <v>0.6911814463171867</v>
      </c>
      <c r="D112" s="6" t="n">
        <v>0.5548502458535259</v>
      </c>
      <c r="E112" s="3">
        <f>IF(COUNT(B112:D112)&lt;3,"—",INDEX($B$14:$D$14,MATCH(MAX(B112:D112),B112:D112,0)))</f>
        <v/>
      </c>
    </row>
    <row r="113">
      <c r="A113" s="3" t="inlineStr">
        <is>
          <t>2020-T3</t>
        </is>
      </c>
      <c r="B113" s="6" t="n">
        <v>0.779668999980599</v>
      </c>
      <c r="C113" s="6" t="n">
        <v>0.7034706738305398</v>
      </c>
      <c r="D113" s="6" t="n">
        <v>0.6341798862490418</v>
      </c>
      <c r="E113" s="3">
        <f>IF(COUNT(B113:D113)&lt;3,"—",INDEX($B$14:$D$14,MATCH(MAX(B113:D113),B113:D113,0)))</f>
        <v/>
      </c>
    </row>
    <row r="114">
      <c r="A114" s="3" t="inlineStr">
        <is>
          <t>2020-T4</t>
        </is>
      </c>
      <c r="B114" s="6" t="n">
        <v>0.6677324261781592</v>
      </c>
      <c r="C114" s="6" t="n">
        <v>0.6708067488067488</v>
      </c>
      <c r="D114" s="6" t="n">
        <v>0.4740302652197175</v>
      </c>
      <c r="E114" s="3">
        <f>IF(COUNT(B114:D114)&lt;3,"—",INDEX($B$14:$D$14,MATCH(MAX(B114:D114),B114:D114,0)))</f>
        <v/>
      </c>
    </row>
    <row r="115">
      <c r="A115" s="3" t="inlineStr">
        <is>
          <t>2021-T1</t>
        </is>
      </c>
      <c r="B115" s="6" t="n">
        <v>0.5312190862483162</v>
      </c>
      <c r="C115" s="6" t="n">
        <v>0.5573121055066379</v>
      </c>
      <c r="D115" s="6" t="n">
        <v>0.3676017304780901</v>
      </c>
      <c r="E115" s="3">
        <f>IF(COUNT(B115:D115)&lt;3,"—",INDEX($B$14:$D$14,MATCH(MAX(B115:D115),B115:D115,0)))</f>
        <v/>
      </c>
    </row>
    <row r="116">
      <c r="A116" s="3" t="inlineStr">
        <is>
          <t>2021-T2</t>
        </is>
      </c>
      <c r="B116" s="6" t="n">
        <v>0.5412814657531166</v>
      </c>
      <c r="C116" s="6" t="n">
        <v>0.575892011742445</v>
      </c>
      <c r="D116" s="6" t="n">
        <v>0.4163848744005296</v>
      </c>
      <c r="E116" s="3">
        <f>IF(COUNT(B116:D116)&lt;3,"—",INDEX($B$14:$D$14,MATCH(MAX(B116:D116),B116:D116,0)))</f>
        <v/>
      </c>
    </row>
    <row r="117">
      <c r="A117" s="3" t="inlineStr">
        <is>
          <t>2021-T3</t>
        </is>
      </c>
      <c r="B117" s="6" t="n">
        <v>0.6254432504903843</v>
      </c>
      <c r="C117" s="6" t="n">
        <v>0.6046717304183001</v>
      </c>
      <c r="D117" s="6" t="n">
        <v>0.4857583163439473</v>
      </c>
      <c r="E117" s="3">
        <f>IF(COUNT(B117:D117)&lt;3,"—",INDEX($B$14:$D$14,MATCH(MAX(B117:D117),B117:D117,0)))</f>
        <v/>
      </c>
    </row>
    <row r="118">
      <c r="A118" s="3" t="inlineStr">
        <is>
          <t>2021-T4</t>
        </is>
      </c>
      <c r="B118" s="6" t="n">
        <v>0.5589816615315403</v>
      </c>
      <c r="C118" s="6" t="n">
        <v>0.5175291727156506</v>
      </c>
      <c r="D118" s="6" t="n">
        <v>0.3373791387184245</v>
      </c>
      <c r="E118" s="3">
        <f>IF(COUNT(B118:D118)&lt;3,"—",INDEX($B$14:$D$14,MATCH(MAX(B118:D118),B118:D118,0)))</f>
        <v/>
      </c>
    </row>
    <row r="119">
      <c r="A119" s="3" t="inlineStr">
        <is>
          <t>2022-T1</t>
        </is>
      </c>
      <c r="B119" s="6" t="n">
        <v>0.5686208181304331</v>
      </c>
      <c r="C119" s="6" t="n">
        <v>0.3433855348354188</v>
      </c>
      <c r="D119" s="6" t="n">
        <v>0.2845051915202769</v>
      </c>
      <c r="E119" s="3">
        <f>IF(COUNT(B119:D119)&lt;3,"—",INDEX($B$14:$D$14,MATCH(MAX(B119:D119),B119:D119,0)))</f>
        <v/>
      </c>
    </row>
    <row r="120">
      <c r="A120" s="3" t="inlineStr">
        <is>
          <t>2022-T2</t>
        </is>
      </c>
      <c r="B120" s="6" t="n">
        <v>0.555893810485012</v>
      </c>
      <c r="C120" s="6" t="n">
        <v>0.3354423607762178</v>
      </c>
      <c r="D120" s="6" t="n">
        <v>0.2454129772657629</v>
      </c>
      <c r="E120" s="3">
        <f>IF(COUNT(B120:D120)&lt;3,"—",INDEX($B$14:$D$14,MATCH(MAX(B120:D120),B120:D120,0)))</f>
        <v/>
      </c>
    </row>
    <row r="121">
      <c r="A121" s="3" t="inlineStr">
        <is>
          <t>2022-T3</t>
        </is>
      </c>
      <c r="B121" s="6" t="n">
        <v>0.5669518961514839</v>
      </c>
      <c r="C121" s="6" t="n">
        <v>0.4919292912183925</v>
      </c>
      <c r="D121" s="6" t="n">
        <v>0.4041021686148991</v>
      </c>
      <c r="E121" s="3">
        <f>IF(COUNT(B121:D121)&lt;3,"—",INDEX($B$14:$D$14,MATCH(MAX(B121:D121),B121:D121,0)))</f>
        <v/>
      </c>
    </row>
    <row r="122">
      <c r="A122" s="3" t="inlineStr">
        <is>
          <t>2022-T4</t>
        </is>
      </c>
      <c r="B122" s="6" t="n">
        <v>0.4278199961846726</v>
      </c>
      <c r="C122" s="6" t="n">
        <v>0.4145778269800224</v>
      </c>
      <c r="D122" s="6" t="n">
        <v>0.2807457899551585</v>
      </c>
      <c r="E122" s="3">
        <f>IF(COUNT(B122:D122)&lt;3,"—",INDEX($B$14:$D$14,MATCH(MAX(B122:D122),B122:D122,0)))</f>
        <v/>
      </c>
    </row>
    <row r="123">
      <c r="A123" s="3" t="inlineStr">
        <is>
          <t>2023-T1</t>
        </is>
      </c>
      <c r="B123" s="6" t="n">
        <v>0.5418266719430154</v>
      </c>
      <c r="C123" s="6" t="n">
        <v>0.5901509501291936</v>
      </c>
      <c r="D123" s="6" t="n">
        <v>0.3116470176843548</v>
      </c>
      <c r="E123" s="3">
        <f>IF(COUNT(B123:D123)&lt;3,"—",INDEX($B$14:$D$14,MATCH(MAX(B123:D123),B123:D123,0)))</f>
        <v/>
      </c>
    </row>
    <row r="124">
      <c r="A124" s="3" t="inlineStr">
        <is>
          <t>2023-T2</t>
        </is>
      </c>
      <c r="B124" s="6" t="n">
        <v>0.5440841179081597</v>
      </c>
      <c r="C124" s="6" t="n">
        <v>0.6083263602634229</v>
      </c>
      <c r="D124" s="6" t="n">
        <v>0.4160538654144726</v>
      </c>
      <c r="E124" s="3">
        <f>IF(COUNT(B124:D124)&lt;3,"—",INDEX($B$14:$D$14,MATCH(MAX(B124:D124),B124:D124,0)))</f>
        <v/>
      </c>
    </row>
    <row r="125">
      <c r="A125" s="3" t="inlineStr">
        <is>
          <t>2023-T3</t>
        </is>
      </c>
      <c r="B125" s="6" t="n">
        <v>0.6793473419072614</v>
      </c>
      <c r="C125" s="6" t="n">
        <v>0.7298938927122186</v>
      </c>
      <c r="D125" s="6" t="n">
        <v>0.6875125301706706</v>
      </c>
      <c r="E125" s="3">
        <f>IF(COUNT(B125:D125)&lt;3,"—",INDEX($B$14:$D$14,MATCH(MAX(B125:D125),B125:D125,0)))</f>
        <v/>
      </c>
    </row>
    <row r="126">
      <c r="A126" s="3" t="inlineStr">
        <is>
          <t>2023-T4</t>
        </is>
      </c>
      <c r="B126" s="6" t="n">
        <v>0.5322909441734291</v>
      </c>
      <c r="C126" s="6" t="n">
        <v>0.6542305750380285</v>
      </c>
      <c r="D126" s="6" t="n">
        <v>0.3549563510092815</v>
      </c>
      <c r="E126" s="3">
        <f>IF(COUNT(B126:D126)&lt;3,"—",INDEX($B$14:$D$14,MATCH(MAX(B126:D126),B126:D126,0)))</f>
        <v/>
      </c>
    </row>
    <row r="127">
      <c r="A127" s="3" t="inlineStr">
        <is>
          <t>2024-T1</t>
        </is>
      </c>
      <c r="B127" s="6" t="n">
        <v>0.5021677032470271</v>
      </c>
      <c r="C127" s="6" t="n">
        <v>0.668596241011935</v>
      </c>
      <c r="D127" s="6" t="n">
        <v>0.535253081662539</v>
      </c>
      <c r="E127" s="3">
        <f>IF(COUNT(B127:D127)&lt;3,"—",INDEX($B$14:$D$14,MATCH(MAX(B127:D127),B127:D127,0)))</f>
        <v/>
      </c>
    </row>
    <row r="128">
      <c r="A128" s="3" t="inlineStr">
        <is>
          <t>2024-T2</t>
        </is>
      </c>
      <c r="B128" s="6" t="n">
        <v>0.4984499855588717</v>
      </c>
      <c r="C128" s="6" t="n">
        <v>0.6700085814479484</v>
      </c>
      <c r="D128" s="6" t="n">
        <v>0.5211663579154308</v>
      </c>
      <c r="E128" s="3">
        <f>IF(COUNT(B128:D128)&lt;3,"—",INDEX($B$14:$D$14,MATCH(MAX(B128:D128),B128:D128,0)))</f>
        <v/>
      </c>
    </row>
    <row r="129">
      <c r="A129" s="3" t="inlineStr">
        <is>
          <t>2024-T3</t>
        </is>
      </c>
      <c r="B129" s="6" t="n">
        <v>0.3750370457756306</v>
      </c>
      <c r="C129" s="6" t="n">
        <v>0.4793522372507471</v>
      </c>
      <c r="D129" s="6" t="n">
        <v>0.3065522829937278</v>
      </c>
      <c r="E129" s="3">
        <f>IF(COUNT(B129:D129)&lt;3,"—",INDEX($B$14:$D$14,MATCH(MAX(B129:D129),B129:D129,0)))</f>
        <v/>
      </c>
    </row>
    <row r="130">
      <c r="A130" s="3" t="inlineStr">
        <is>
          <t>2024-T4</t>
        </is>
      </c>
      <c r="B130" s="6" t="n">
        <v>0.5443492582296566</v>
      </c>
      <c r="C130" s="6" t="n">
        <v>0.6078406050904618</v>
      </c>
      <c r="D130" s="6" t="n">
        <v>0.4116805512768246</v>
      </c>
      <c r="E130" s="3">
        <f>IF(COUNT(B130:D130)&lt;3,"—",INDEX($B$14:$D$14,MATCH(MAX(B130:D130),B130:D130,0)))</f>
        <v/>
      </c>
    </row>
    <row r="131">
      <c r="A131" s="3" t="inlineStr">
        <is>
          <t>2025-T1</t>
        </is>
      </c>
      <c r="B131" s="6" t="n">
        <v>0.5073374371067026</v>
      </c>
      <c r="C131" s="6" t="n">
        <v>0.5400036641302116</v>
      </c>
      <c r="D131" s="6" t="n">
        <v>0.2199213020406606</v>
      </c>
      <c r="E131" s="3">
        <f>IF(COUNT(B131:D131)&lt;3,"—",INDEX($B$14:$D$14,MATCH(MAX(B131:D131),B131:D131,0)))</f>
        <v/>
      </c>
    </row>
    <row r="132">
      <c r="A132" s="3" t="inlineStr">
        <is>
          <t>2025-T2</t>
        </is>
      </c>
      <c r="B132" s="6" t="n">
        <v>0.4816358797956929</v>
      </c>
      <c r="C132" s="6" t="n">
        <v>0.5774780012561294</v>
      </c>
      <c r="D132" s="6" t="n">
        <v>0.2425440953145491</v>
      </c>
      <c r="E132" s="3">
        <f>IF(COUNT(B132:D132)&lt;3,"—",INDEX($B$14:$D$14,MATCH(MAX(B132:D132),B132:D132,0)))</f>
        <v/>
      </c>
    </row>
    <row r="133">
      <c r="A133" s="3" t="inlineStr">
        <is>
          <t>2025-T3</t>
        </is>
      </c>
      <c r="B133" s="6" t="n">
        <v>0.5554419567831669</v>
      </c>
      <c r="C133" s="6" t="n">
        <v>0.4950757466515672</v>
      </c>
      <c r="D133" s="6" t="n">
        <v>0.1720380220198222</v>
      </c>
      <c r="E133" s="3">
        <f>IF(COUNT(B133:D133)&lt;3,"—",INDEX($B$14:$D$14,MATCH(MAX(B133:D133),B133:D133,0)))</f>
        <v/>
      </c>
    </row>
    <row r="134">
      <c r="A134" s="3" t="inlineStr">
        <is>
          <t>2025-T4</t>
        </is>
      </c>
      <c r="B134" s="6" t="n">
        <v>0.6397388876430815</v>
      </c>
      <c r="C134" s="6" t="n">
        <v>0.6486230876463955</v>
      </c>
      <c r="D134" s="6" t="n">
        <v>0.2675824480581563</v>
      </c>
      <c r="E134" s="3">
        <f>IF(COUNT(B134:D134)&lt;3,"—",INDEX($B$14:$D$14,MATCH(MAX(B134:D134),B134:D134,0)))</f>
        <v/>
      </c>
    </row>
    <row r="135">
      <c r="A135" s="3" t="inlineStr">
        <is>
          <t>2026-T1</t>
        </is>
      </c>
      <c r="B135" s="6" t="n">
        <v>0.54402600777489</v>
      </c>
      <c r="C135" s="6" t="n">
        <v>0.4602864612659828</v>
      </c>
      <c r="D135" s="6" t="n">
        <v>0.1819464447886214</v>
      </c>
      <c r="E135" s="3">
        <f>IF(COUNT(B135:D135)&lt;3,"—",INDEX($B$14:$D$14,MATCH(MAX(B135:D135),B135:D135,0)))</f>
        <v/>
      </c>
    </row>
    <row r="136">
      <c r="A136" s="3" t="inlineStr">
        <is>
          <t>2026-T2</t>
        </is>
      </c>
      <c r="B136" s="6" t="n">
        <v>0.4089908917859229</v>
      </c>
      <c r="C136" s="6" t="n">
        <v>0.486005502728442</v>
      </c>
      <c r="D136" s="6" t="n">
        <v>0.1807550972549584</v>
      </c>
      <c r="E136" s="3">
        <f>IF(COUNT(B136:D136)&lt;3,"—",INDEX($B$14:$D$14,MATCH(MAX(B136:D136),B136:D136,0)))</f>
        <v/>
      </c>
    </row>
    <row r="137">
      <c r="A137" s="3" t="inlineStr">
        <is>
          <t>2026-T3</t>
        </is>
      </c>
      <c r="B137" s="6" t="n">
        <v>0.5140178047814494</v>
      </c>
      <c r="C137" s="6" t="n">
        <v>0.560246047208013</v>
      </c>
      <c r="D137" s="6" t="n">
        <v>0.248167739064271</v>
      </c>
      <c r="E137" s="3">
        <f>IF(COUNT(B137:D137)&lt;3,"—",INDEX($B$14:$D$14,MATCH(MAX(B137:D137),B137:D137,0)))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¿Predicen? Percentil contra el retorno de los años siguientes, un renglón por trimestre</t>
        </is>
      </c>
    </row>
    <row r="3">
      <c r="A3" s="5" t="inlineStr">
        <is>
          <t>NNN REIT, Inc. (NNN)</t>
        </is>
      </c>
    </row>
    <row r="4">
      <c r="A4" s="2" t="inlineStr">
        <is>
          <t>Método</t>
        </is>
      </c>
      <c r="B4" s="2" t="inlineStr">
        <is>
          <t>Correlación 1 año</t>
        </is>
      </c>
      <c r="C4" s="2" t="inlineStr">
        <is>
          <t>Correlación 5 años</t>
        </is>
      </c>
      <c r="D4" s="2" t="inlineStr">
        <is>
          <t>5 años si barato</t>
        </is>
      </c>
      <c r="E4" s="2" t="inlineStr">
        <is>
          <t>5 años si medio</t>
        </is>
      </c>
      <c r="F4" s="2" t="inlineStr">
        <is>
          <t>5 años si caro</t>
        </is>
      </c>
      <c r="G4" s="2" t="inlineStr">
        <is>
          <t>Brecha barato − caro</t>
        </is>
      </c>
      <c r="H4" s="2" t="inlineStr">
        <is>
          <t>Caro contra el efectivo</t>
        </is>
      </c>
      <c r="I4" s="2" t="inlineStr">
        <is>
          <t>Veces que caro le ganó al efectivo</t>
        </is>
      </c>
      <c r="J4" s="2" t="inlineStr">
        <is>
          <t>TIR con el método (solo ese papel)</t>
        </is>
      </c>
      <c r="K4" s="2" t="inlineStr">
        <is>
          <t>TIR sin reglas</t>
        </is>
      </c>
      <c r="L4" s="2" t="inlineStr">
        <is>
          <t>Ventaja</t>
        </is>
      </c>
    </row>
    <row r="5">
      <c r="A5" s="3" t="inlineStr">
        <is>
          <t>Múltiplo P/FFO</t>
        </is>
      </c>
      <c r="B5" s="11" t="n">
        <v>0.286</v>
      </c>
      <c r="C5" s="11" t="n">
        <v>0.457</v>
      </c>
      <c r="D5" s="10" t="n">
        <v>0.1932979424592757</v>
      </c>
      <c r="E5" s="10" t="n">
        <v>0.1356568578804618</v>
      </c>
      <c r="F5" s="10" t="n">
        <v>0.08054282028369597</v>
      </c>
      <c r="G5" s="10" t="n">
        <v>0.1127551221755797</v>
      </c>
      <c r="H5" s="10" t="n">
        <v>0.06825511816263674</v>
      </c>
      <c r="I5" s="10" t="n">
        <v>0.8461538461538461</v>
      </c>
      <c r="J5" s="8" t="n">
        <v>0.08645212184694157</v>
      </c>
      <c r="K5" s="8" t="n">
        <v>0.08819330926119424</v>
      </c>
      <c r="L5" s="9" t="n">
        <v>-17</v>
      </c>
    </row>
    <row r="6">
      <c r="A6" s="3" t="inlineStr">
        <is>
          <t>Prima sobre el Treasury</t>
        </is>
      </c>
      <c r="B6" s="11" t="n">
        <v>0.268</v>
      </c>
      <c r="C6" s="11" t="n">
        <v>0.529</v>
      </c>
      <c r="D6" s="10" t="n">
        <v>0.1738541352890096</v>
      </c>
      <c r="E6" s="10" t="n">
        <v>0.09528329763916354</v>
      </c>
      <c r="F6" s="10" t="n">
        <v>0.08052255288274002</v>
      </c>
      <c r="G6" s="10" t="n">
        <v>0.0933315824062696</v>
      </c>
      <c r="H6" s="10" t="n">
        <v>0.06492506251014651</v>
      </c>
      <c r="I6" s="10" t="n">
        <v>0.7368421052631579</v>
      </c>
      <c r="J6" s="8" t="n">
        <v>0.08693708023572519</v>
      </c>
      <c r="K6" s="8" t="n">
        <v>0.08819330926119424</v>
      </c>
      <c r="L6" s="9" t="n">
        <v>-13</v>
      </c>
    </row>
    <row r="7">
      <c r="A7" s="3" t="inlineStr">
        <is>
          <t>Prima sobre la tasa real</t>
        </is>
      </c>
      <c r="B7" s="11" t="n">
        <v>0.136</v>
      </c>
      <c r="C7" s="11" t="n">
        <v>0.553</v>
      </c>
      <c r="D7" s="10" t="n">
        <v>0.1633540646231062</v>
      </c>
      <c r="E7" s="10" t="n">
        <v>0.09778159830742461</v>
      </c>
      <c r="F7" s="10" t="n">
        <v>0.08054282028369597</v>
      </c>
      <c r="G7" s="10" t="n">
        <v>0.08281124433941023</v>
      </c>
      <c r="H7" s="10" t="n">
        <v>0.0528922065175359</v>
      </c>
      <c r="I7" s="10" t="n">
        <v>0.8</v>
      </c>
      <c r="J7" s="8" t="n">
        <v>0.08694357833476594</v>
      </c>
      <c r="K7" s="8" t="n">
        <v>0.08819330926119424</v>
      </c>
      <c r="L7" s="9" t="n">
        <v>-12</v>
      </c>
    </row>
    <row r="8">
      <c r="A8" s="3" t="inlineStr">
        <is>
          <t>Prima sobre bonos Baa</t>
        </is>
      </c>
      <c r="B8" s="11" t="n">
        <v>0.201</v>
      </c>
      <c r="C8" s="11" t="n">
        <v>0.369</v>
      </c>
      <c r="D8" s="10" t="n">
        <v>0.1633540646231062</v>
      </c>
      <c r="E8" s="10" t="n">
        <v>0.08525427850900502</v>
      </c>
      <c r="F8" s="10" t="n">
        <v>0.1002798989756857</v>
      </c>
      <c r="G8" s="10" t="n">
        <v>0.06307416564742052</v>
      </c>
      <c r="H8" s="10" t="n">
        <v>0.09165513024374228</v>
      </c>
      <c r="I8" s="10" t="n">
        <v>0.8571428571428571</v>
      </c>
      <c r="J8" s="8" t="n">
        <v>0.08694996688316002</v>
      </c>
      <c r="K8" s="8" t="n">
        <v>0.08819330926119424</v>
      </c>
      <c r="L8" s="9" t="n">
        <v>-12</v>
      </c>
    </row>
    <row r="9">
      <c r="A9" s="3" t="inlineStr">
        <is>
          <t>Yield de dividendo</t>
        </is>
      </c>
      <c r="B9" s="11" t="n">
        <v>0.332</v>
      </c>
      <c r="C9" s="11" t="n">
        <v>0.471</v>
      </c>
      <c r="D9" s="10" t="n">
        <v>0.2053941333706062</v>
      </c>
      <c r="E9" s="10" t="n">
        <v>0.1033110734906586</v>
      </c>
      <c r="F9" s="10" t="n">
        <v>0.08843103409040765</v>
      </c>
      <c r="G9" s="10" t="n">
        <v>0.1169630992801985</v>
      </c>
      <c r="H9" s="10" t="n">
        <v>0.06965206185966821</v>
      </c>
      <c r="I9" s="10" t="n">
        <v>0.868421052631579</v>
      </c>
      <c r="J9" s="8" t="n">
        <v>0.08738616719426151</v>
      </c>
      <c r="K9" s="8" t="n">
        <v>0.08819330926119424</v>
      </c>
      <c r="L9" s="9" t="n">
        <v>-8</v>
      </c>
    </row>
    <row r="10">
      <c r="A10" s="3" t="inlineStr">
        <is>
          <t>Dividendo sobre el Treasury</t>
        </is>
      </c>
      <c r="B10" s="11" t="n">
        <v>0.392</v>
      </c>
      <c r="C10" s="11" t="n">
        <v>0.593</v>
      </c>
      <c r="D10" s="10" t="n">
        <v>0.1606991440199715</v>
      </c>
      <c r="E10" s="10" t="n">
        <v>0.1048541263601421</v>
      </c>
      <c r="F10" s="10" t="n">
        <v>0.05572096124951842</v>
      </c>
      <c r="G10" s="10" t="n">
        <v>0.1049781827704531</v>
      </c>
      <c r="H10" s="10" t="n">
        <v>0.03784820442073</v>
      </c>
      <c r="I10" s="10" t="n">
        <v>0.7368421052631579</v>
      </c>
      <c r="J10" s="8" t="n">
        <v>0.08814257659312255</v>
      </c>
      <c r="K10" s="8" t="n">
        <v>0.08819330926119424</v>
      </c>
      <c r="L10" s="9" t="n">
        <v>-1</v>
      </c>
    </row>
    <row r="11">
      <c r="A11" s="3" t="inlineStr">
        <is>
          <t>Múltiplo contra sus últimos 5 años</t>
        </is>
      </c>
      <c r="B11" s="11" t="n">
        <v>0.122</v>
      </c>
      <c r="C11" s="11" t="n">
        <v>0.19</v>
      </c>
      <c r="D11" s="10" t="n">
        <v>0.1633540646231062</v>
      </c>
      <c r="E11" s="10" t="n">
        <v>0.08809452144363172</v>
      </c>
      <c r="F11" s="10" t="n">
        <v>0.1109570745210147</v>
      </c>
      <c r="G11" s="10" t="n">
        <v>0.05239699010209153</v>
      </c>
      <c r="H11" s="10" t="n">
        <v>0.1032229626869576</v>
      </c>
      <c r="I11" s="10" t="n">
        <v>0.9375</v>
      </c>
      <c r="J11" s="8" t="n">
        <v>0.08603913347550626</v>
      </c>
      <c r="K11" s="8" t="n">
        <v>0.08819330926119424</v>
      </c>
      <c r="L11" s="9" t="n">
        <v>-22</v>
      </c>
    </row>
    <row r="12">
      <c r="A12" s="3" t="inlineStr">
        <is>
          <t>Consenso de los siete</t>
        </is>
      </c>
      <c r="B12" s="11" t="n">
        <v>0.285</v>
      </c>
      <c r="C12" s="11" t="n">
        <v>0.534</v>
      </c>
      <c r="D12" s="10" t="n">
        <v>0.2007033459976273</v>
      </c>
      <c r="E12" s="10" t="n">
        <v>0.1123694983303237</v>
      </c>
      <c r="F12" s="10" t="n">
        <v>0.07337394082447568</v>
      </c>
      <c r="G12" s="10" t="n">
        <v>0.1273294051731516</v>
      </c>
      <c r="H12" s="10" t="n">
        <v>0.05665648969276404</v>
      </c>
      <c r="I12" s="10" t="n">
        <v>0.75</v>
      </c>
      <c r="J12" s="8" t="n">
        <v>0.08735929329695732</v>
      </c>
      <c r="K12" s="8" t="n">
        <v>0.08819330926119424</v>
      </c>
      <c r="L12" s="9" t="n">
        <v>-8</v>
      </c>
    </row>
    <row r="15">
      <c r="A15" s="5" t="inlineStr">
        <is>
          <t>Realty Income Corporation (O)</t>
        </is>
      </c>
    </row>
    <row r="16">
      <c r="A16" s="2" t="inlineStr">
        <is>
          <t>Método</t>
        </is>
      </c>
      <c r="B16" s="2" t="inlineStr">
        <is>
          <t>Correlación 1 año</t>
        </is>
      </c>
      <c r="C16" s="2" t="inlineStr">
        <is>
          <t>Correlación 5 años</t>
        </is>
      </c>
      <c r="D16" s="2" t="inlineStr">
        <is>
          <t>5 años si barato</t>
        </is>
      </c>
      <c r="E16" s="2" t="inlineStr">
        <is>
          <t>5 años si medio</t>
        </is>
      </c>
      <c r="F16" s="2" t="inlineStr">
        <is>
          <t>5 años si caro</t>
        </is>
      </c>
      <c r="G16" s="2" t="inlineStr">
        <is>
          <t>Brecha barato − caro</t>
        </is>
      </c>
      <c r="H16" s="2" t="inlineStr">
        <is>
          <t>Caro contra el efectivo</t>
        </is>
      </c>
      <c r="I16" s="2" t="inlineStr">
        <is>
          <t>Veces que caro le ganó al efectivo</t>
        </is>
      </c>
      <c r="J16" s="2" t="inlineStr">
        <is>
          <t>TIR con el método (solo ese papel)</t>
        </is>
      </c>
      <c r="K16" s="2" t="inlineStr">
        <is>
          <t>TIR sin reglas</t>
        </is>
      </c>
      <c r="L16" s="2" t="inlineStr">
        <is>
          <t>Ventaja</t>
        </is>
      </c>
    </row>
    <row r="17">
      <c r="A17" s="3" t="inlineStr">
        <is>
          <t>Múltiplo P/FFO</t>
        </is>
      </c>
      <c r="B17" s="11" t="n">
        <v>0.32</v>
      </c>
      <c r="C17" s="11" t="n">
        <v>0.424</v>
      </c>
      <c r="D17" s="10" t="n">
        <v>0.2233544533442606</v>
      </c>
      <c r="E17" s="10" t="n">
        <v>0.1472995683708862</v>
      </c>
      <c r="F17" s="10" t="n">
        <v>0.107531335840407</v>
      </c>
      <c r="G17" s="10" t="n">
        <v>0.1158231175038537</v>
      </c>
      <c r="H17" s="10" t="n">
        <v>0.09556761406497116</v>
      </c>
      <c r="I17" s="10" t="n">
        <v>0.9090909090909091</v>
      </c>
      <c r="J17" s="8" t="n">
        <v>0.09516924349206368</v>
      </c>
      <c r="K17" s="8" t="n">
        <v>0.09835061340719792</v>
      </c>
      <c r="L17" s="9" t="n">
        <v>-32</v>
      </c>
    </row>
    <row r="18">
      <c r="A18" s="3" t="inlineStr">
        <is>
          <t>Prima sobre el Treasury</t>
        </is>
      </c>
      <c r="B18" s="11" t="n">
        <v>0.306</v>
      </c>
      <c r="C18" s="11" t="n">
        <v>0.267</v>
      </c>
      <c r="D18" s="10" t="n">
        <v>0.174478879052729</v>
      </c>
      <c r="E18" s="10" t="n">
        <v>0.1223967940091748</v>
      </c>
      <c r="F18" s="10" t="n">
        <v>0.1091919752547971</v>
      </c>
      <c r="G18" s="10" t="n">
        <v>0.06528690379793189</v>
      </c>
      <c r="H18" s="10" t="n">
        <v>0.09397174190661828</v>
      </c>
      <c r="I18" s="10" t="n">
        <v>0.8666666666666667</v>
      </c>
      <c r="J18" s="8" t="n">
        <v>0.09702324443312939</v>
      </c>
      <c r="K18" s="8" t="n">
        <v>0.09835061340719792</v>
      </c>
      <c r="L18" s="9" t="n">
        <v>-13</v>
      </c>
    </row>
    <row r="19">
      <c r="A19" s="3" t="inlineStr">
        <is>
          <t>Prima sobre la tasa real</t>
        </is>
      </c>
      <c r="B19" s="11" t="n">
        <v>0.019</v>
      </c>
      <c r="C19" s="11" t="n">
        <v>0.286</v>
      </c>
      <c r="D19" s="10" t="n">
        <v>0.174478879052729</v>
      </c>
      <c r="E19" s="10" t="n">
        <v>0.107531335840407</v>
      </c>
      <c r="F19" s="10" t="n">
        <v>0.1024585013679744</v>
      </c>
      <c r="G19" s="10" t="n">
        <v>0.07202037768475456</v>
      </c>
      <c r="H19" s="10" t="n">
        <v>0.09266366888195132</v>
      </c>
      <c r="I19" s="10" t="n">
        <v>0.9032258064516129</v>
      </c>
      <c r="J19" s="8" t="n">
        <v>0.09536928000178682</v>
      </c>
      <c r="K19" s="8" t="n">
        <v>0.09835061340719792</v>
      </c>
      <c r="L19" s="9" t="n">
        <v>-30</v>
      </c>
    </row>
    <row r="20">
      <c r="A20" s="3" t="inlineStr">
        <is>
          <t>Prima sobre bonos Baa</t>
        </is>
      </c>
      <c r="B20" s="11" t="n">
        <v>0.203</v>
      </c>
      <c r="C20" s="11" t="n">
        <v>0.004</v>
      </c>
      <c r="D20" s="10" t="n">
        <v>0.07983902195801096</v>
      </c>
      <c r="E20" s="10" t="n">
        <v>0.1146350901652313</v>
      </c>
      <c r="F20" s="10" t="n">
        <v>0.119094324770292</v>
      </c>
      <c r="G20" s="10" t="n">
        <v>-0.03925530281228107</v>
      </c>
      <c r="H20" s="10" t="n">
        <v>0.1112744735101194</v>
      </c>
      <c r="I20" s="10" t="n">
        <v>0.9534883720930233</v>
      </c>
      <c r="J20" s="8" t="n">
        <v>0.09583270778147571</v>
      </c>
      <c r="K20" s="8" t="n">
        <v>0.09835061340719792</v>
      </c>
      <c r="L20" s="9" t="n">
        <v>-25</v>
      </c>
    </row>
    <row r="21">
      <c r="A21" s="3" t="inlineStr">
        <is>
          <t>Yield de dividendo</t>
        </is>
      </c>
      <c r="B21" s="11" t="n">
        <v>0.26</v>
      </c>
      <c r="C21" s="11" t="n">
        <v>0.608</v>
      </c>
      <c r="D21" s="10" t="n">
        <v>0.2233544533442606</v>
      </c>
      <c r="E21" s="10" t="n">
        <v>0.1715639118839063</v>
      </c>
      <c r="F21" s="10" t="n">
        <v>0.107531335840407</v>
      </c>
      <c r="G21" s="10" t="n">
        <v>0.1158231175038537</v>
      </c>
      <c r="H21" s="10" t="n">
        <v>0.09397174190661828</v>
      </c>
      <c r="I21" s="10" t="n">
        <v>0.918918918918919</v>
      </c>
      <c r="J21" s="8" t="n">
        <v>0.09509280434282995</v>
      </c>
      <c r="K21" s="8" t="n">
        <v>0.09835061340719792</v>
      </c>
      <c r="L21" s="9" t="n">
        <v>-33</v>
      </c>
    </row>
    <row r="22">
      <c r="A22" s="3" t="inlineStr">
        <is>
          <t>Dividendo sobre el Treasury</t>
        </is>
      </c>
      <c r="B22" s="11" t="n">
        <v>0.344</v>
      </c>
      <c r="C22" s="11" t="n">
        <v>0.45</v>
      </c>
      <c r="D22" s="10" t="n">
        <v>0.180765283213831</v>
      </c>
      <c r="E22" s="10" t="n">
        <v>0.1131383339207104</v>
      </c>
      <c r="F22" s="10" t="n">
        <v>0.1165291930619941</v>
      </c>
      <c r="G22" s="10" t="n">
        <v>0.06423609015183696</v>
      </c>
      <c r="H22" s="10" t="n">
        <v>0.09266366888195132</v>
      </c>
      <c r="I22" s="10" t="n">
        <v>0.8695652173913043</v>
      </c>
      <c r="J22" s="8" t="n">
        <v>0.09765868358033029</v>
      </c>
      <c r="K22" s="8" t="n">
        <v>0.09835061340719792</v>
      </c>
      <c r="L22" s="9" t="n">
        <v>-7</v>
      </c>
    </row>
    <row r="23">
      <c r="A23" s="3" t="inlineStr">
        <is>
          <t>Múltiplo contra sus últimos 5 años</t>
        </is>
      </c>
      <c r="B23" s="11" t="n">
        <v>0.169</v>
      </c>
      <c r="C23" s="11" t="n">
        <v>0.263</v>
      </c>
      <c r="D23" s="10" t="n">
        <v>0.1315997163607903</v>
      </c>
      <c r="E23" s="10" t="n">
        <v>0.1075997443182215</v>
      </c>
      <c r="F23" s="10" t="n">
        <v>0.09019222107126668</v>
      </c>
      <c r="G23" s="10" t="n">
        <v>0.04140749528952359</v>
      </c>
      <c r="H23" s="10" t="n">
        <v>0.06800223237394221</v>
      </c>
      <c r="I23" s="10" t="n">
        <v>0.9</v>
      </c>
      <c r="J23" s="8" t="n">
        <v>0.09801248022983952</v>
      </c>
      <c r="K23" s="8" t="n">
        <v>0.09835061340719792</v>
      </c>
      <c r="L23" s="9" t="n">
        <v>-3</v>
      </c>
    </row>
    <row r="24">
      <c r="A24" s="3" t="inlineStr">
        <is>
          <t>Consenso de los siete</t>
        </is>
      </c>
      <c r="B24" s="11" t="n">
        <v>0.285</v>
      </c>
      <c r="C24" s="11" t="n">
        <v>0.355</v>
      </c>
      <c r="D24" s="10" t="n">
        <v>0.1829164459720281</v>
      </c>
      <c r="E24" s="10" t="n">
        <v>0.1301251685344251</v>
      </c>
      <c r="F24" s="10" t="n">
        <v>0.0939531698639775</v>
      </c>
      <c r="G24" s="10" t="n">
        <v>0.08896327610805055</v>
      </c>
      <c r="H24" s="10" t="n">
        <v>0.08065124129693246</v>
      </c>
      <c r="I24" s="10" t="n">
        <v>0.8461538461538461</v>
      </c>
      <c r="J24" s="8" t="n">
        <v>0.09642397161633819</v>
      </c>
      <c r="K24" s="8" t="n">
        <v>0.09835061340719792</v>
      </c>
      <c r="L24" s="9" t="n">
        <v>-19</v>
      </c>
    </row>
    <row r="27">
      <c r="A27" s="5" t="inlineStr">
        <is>
          <t>W. P. Carey Inc. (WPC)</t>
        </is>
      </c>
    </row>
    <row r="28">
      <c r="A28" s="2" t="inlineStr">
        <is>
          <t>Método</t>
        </is>
      </c>
      <c r="B28" s="2" t="inlineStr">
        <is>
          <t>Correlación 1 año</t>
        </is>
      </c>
      <c r="C28" s="2" t="inlineStr">
        <is>
          <t>Correlación 5 años</t>
        </is>
      </c>
      <c r="D28" s="2" t="inlineStr">
        <is>
          <t>5 años si barato</t>
        </is>
      </c>
      <c r="E28" s="2" t="inlineStr">
        <is>
          <t>5 años si medio</t>
        </is>
      </c>
      <c r="F28" s="2" t="inlineStr">
        <is>
          <t>5 años si caro</t>
        </is>
      </c>
      <c r="G28" s="2" t="inlineStr">
        <is>
          <t>Brecha barato − caro</t>
        </is>
      </c>
      <c r="H28" s="2" t="inlineStr">
        <is>
          <t>Caro contra el efectivo</t>
        </is>
      </c>
      <c r="I28" s="2" t="inlineStr">
        <is>
          <t>Veces que caro le ganó al efectivo</t>
        </is>
      </c>
      <c r="J28" s="2" t="inlineStr">
        <is>
          <t>TIR con el método (solo ese papel)</t>
        </is>
      </c>
      <c r="K28" s="2" t="inlineStr">
        <is>
          <t>TIR sin reglas</t>
        </is>
      </c>
      <c r="L28" s="2" t="inlineStr">
        <is>
          <t>Ventaja</t>
        </is>
      </c>
    </row>
    <row r="29">
      <c r="A29" s="3" t="inlineStr">
        <is>
          <t>Múltiplo P/FFO</t>
        </is>
      </c>
      <c r="B29" s="11" t="n">
        <v>0.265</v>
      </c>
      <c r="C29" s="11" t="n">
        <v>0.5659999999999999</v>
      </c>
      <c r="D29" s="10" t="n">
        <v>0.2427325161836474</v>
      </c>
      <c r="E29" s="10" t="n">
        <v>0.154651590693092</v>
      </c>
      <c r="F29" s="10" t="n">
        <v>0.06322499480565114</v>
      </c>
      <c r="G29" s="10" t="n">
        <v>0.1795075213779963</v>
      </c>
      <c r="H29" s="10" t="n">
        <v>0.0552527195458925</v>
      </c>
      <c r="I29" s="10" t="n">
        <v>0.8085106382978723</v>
      </c>
      <c r="J29" s="8" t="n">
        <v>0.09009289358248189</v>
      </c>
      <c r="K29" s="8" t="n">
        <v>0.09342356523306358</v>
      </c>
      <c r="L29" s="9" t="n">
        <v>-33</v>
      </c>
    </row>
    <row r="30">
      <c r="A30" s="3" t="inlineStr">
        <is>
          <t>Prima sobre el Treasury</t>
        </is>
      </c>
      <c r="B30" s="11" t="n">
        <v>0.371</v>
      </c>
      <c r="C30" s="11" t="n">
        <v>0.505</v>
      </c>
      <c r="D30" s="10" t="n">
        <v>0.1628910457487842</v>
      </c>
      <c r="E30" s="10" t="n">
        <v>0.0906233096855279</v>
      </c>
      <c r="F30" s="10" t="n">
        <v>0.04863557512244077</v>
      </c>
      <c r="G30" s="10" t="n">
        <v>0.1142554706263434</v>
      </c>
      <c r="H30" s="10" t="n">
        <v>0.04433782892578098</v>
      </c>
      <c r="I30" s="10" t="n">
        <v>0.64</v>
      </c>
      <c r="J30" s="8" t="n">
        <v>0.09287153834586576</v>
      </c>
      <c r="K30" s="8" t="n">
        <v>0.09342356523306358</v>
      </c>
      <c r="L30" s="9" t="n">
        <v>-6</v>
      </c>
    </row>
    <row r="31">
      <c r="A31" s="3" t="inlineStr">
        <is>
          <t>Prima sobre la tasa real</t>
        </is>
      </c>
      <c r="B31" s="11" t="n">
        <v>0.134</v>
      </c>
      <c r="C31" s="11" t="n">
        <v>0.459</v>
      </c>
      <c r="D31" s="10" t="n">
        <v>0.1399702571146731</v>
      </c>
      <c r="E31" s="10" t="n">
        <v>0.09973810431994667</v>
      </c>
      <c r="F31" s="10" t="n">
        <v>0.06322499480565114</v>
      </c>
      <c r="G31" s="10" t="n">
        <v>0.07674526230902201</v>
      </c>
      <c r="H31" s="10" t="n">
        <v>0.0552527195458925</v>
      </c>
      <c r="I31" s="10" t="n">
        <v>0.7391304347826086</v>
      </c>
      <c r="J31" s="8" t="n">
        <v>0.09223991753197418</v>
      </c>
      <c r="K31" s="8" t="n">
        <v>0.09342356523306358</v>
      </c>
      <c r="L31" s="9" t="n">
        <v>-12</v>
      </c>
    </row>
    <row r="32">
      <c r="A32" s="3" t="inlineStr">
        <is>
          <t>Prima sobre bonos Baa</t>
        </is>
      </c>
      <c r="B32" s="11" t="n">
        <v>0.355</v>
      </c>
      <c r="C32" s="11" t="n">
        <v>0.481</v>
      </c>
      <c r="D32" s="10" t="n">
        <v>0.1276215546511598</v>
      </c>
      <c r="E32" s="10" t="n">
        <v>0.07480086191931146</v>
      </c>
      <c r="F32" s="10" t="n">
        <v>0.04950584782210088</v>
      </c>
      <c r="G32" s="10" t="n">
        <v>0.07811570682905888</v>
      </c>
      <c r="H32" s="10" t="n">
        <v>0.0460140867839145</v>
      </c>
      <c r="I32" s="10" t="n">
        <v>0.6666666666666666</v>
      </c>
      <c r="J32" s="8" t="n">
        <v>0.094189422785333</v>
      </c>
      <c r="K32" s="8" t="n">
        <v>0.09342356523306358</v>
      </c>
      <c r="L32" s="9" t="n">
        <v>8</v>
      </c>
    </row>
    <row r="33">
      <c r="A33" s="3" t="inlineStr">
        <is>
          <t>Yield de dividendo</t>
        </is>
      </c>
      <c r="B33" s="11" t="n">
        <v>0.25</v>
      </c>
      <c r="C33" s="11" t="n">
        <v>0.326</v>
      </c>
      <c r="D33" s="10" t="n">
        <v>0.2751349343232992</v>
      </c>
      <c r="E33" s="10" t="n">
        <v>0.1044508857884119</v>
      </c>
      <c r="F33" s="10" t="n">
        <v>0.08338530605904537</v>
      </c>
      <c r="G33" s="10" t="n">
        <v>0.1917496282642538</v>
      </c>
      <c r="H33" s="10" t="n">
        <v>0.06713862437257989</v>
      </c>
      <c r="I33" s="10" t="n">
        <v>0.7857142857142857</v>
      </c>
      <c r="J33" s="8" t="n">
        <v>0.09063268880967668</v>
      </c>
      <c r="K33" s="8" t="n">
        <v>0.09342356523306358</v>
      </c>
      <c r="L33" s="9" t="n">
        <v>-28</v>
      </c>
    </row>
    <row r="34">
      <c r="A34" s="3" t="inlineStr">
        <is>
          <t>Dividendo sobre el Treasury</t>
        </is>
      </c>
      <c r="B34" s="11" t="n">
        <v>0.312</v>
      </c>
      <c r="C34" s="11" t="n">
        <v>0.15</v>
      </c>
      <c r="D34" s="10" t="n">
        <v>0.0906233096855279</v>
      </c>
      <c r="E34" s="10" t="n">
        <v>0.09912343738465035</v>
      </c>
      <c r="F34" s="10" t="n">
        <v>0.1183769921652</v>
      </c>
      <c r="G34" s="10" t="n">
        <v>-0.02775368247967214</v>
      </c>
      <c r="H34" s="10" t="n">
        <v>0.09673123544873907</v>
      </c>
      <c r="I34" s="10" t="n">
        <v>0.7368421052631579</v>
      </c>
      <c r="J34" s="8" t="n">
        <v>0.09207098063956883</v>
      </c>
      <c r="K34" s="8" t="n">
        <v>0.09342356523306358</v>
      </c>
      <c r="L34" s="9" t="n">
        <v>-14</v>
      </c>
    </row>
    <row r="35">
      <c r="A35" s="3" t="inlineStr">
        <is>
          <t>Múltiplo contra sus últimos 5 años</t>
        </is>
      </c>
      <c r="B35" s="11" t="n">
        <v>0.051</v>
      </c>
      <c r="C35" s="11" t="n">
        <v>0.304</v>
      </c>
      <c r="D35" s="10" t="n">
        <v>0.1113228923369868</v>
      </c>
      <c r="E35" s="10" t="n">
        <v>0.1130414543810091</v>
      </c>
      <c r="F35" s="10" t="n">
        <v>0.07704271024712339</v>
      </c>
      <c r="G35" s="10" t="n">
        <v>0.03428018208986339</v>
      </c>
      <c r="H35" s="10" t="n">
        <v>0.06854868351877696</v>
      </c>
      <c r="I35" s="10" t="n">
        <v>0.8095238095238095</v>
      </c>
      <c r="J35" s="8" t="n">
        <v>0.09188183064784318</v>
      </c>
      <c r="K35" s="8" t="n">
        <v>0.09342356523306358</v>
      </c>
      <c r="L35" s="9" t="n">
        <v>-15</v>
      </c>
    </row>
    <row r="36">
      <c r="A36" s="3" t="inlineStr">
        <is>
          <t>Consenso de los siete</t>
        </is>
      </c>
      <c r="B36" s="11" t="n">
        <v>0.375</v>
      </c>
      <c r="C36" s="11" t="n">
        <v>0.525</v>
      </c>
      <c r="D36" s="10" t="n">
        <v>0.2401140939860018</v>
      </c>
      <c r="E36" s="10" t="n">
        <v>0.09574678281541438</v>
      </c>
      <c r="F36" s="10" t="n">
        <v>0.04249346005678323</v>
      </c>
      <c r="G36" s="10" t="n">
        <v>0.1976206339292186</v>
      </c>
      <c r="H36" s="10" t="n">
        <v>0.02933758131104613</v>
      </c>
      <c r="I36" s="10" t="n">
        <v>0.5714285714285714</v>
      </c>
      <c r="J36" s="8" t="n">
        <v>0.09225190905969777</v>
      </c>
      <c r="K36" s="8" t="n">
        <v>0.09342356523306358</v>
      </c>
      <c r="L36" s="9" t="n">
        <v>-12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1992-T1</t>
        </is>
      </c>
      <c r="B2" s="12" t="n">
        <v>33694</v>
      </c>
      <c r="C2" s="13" t="n">
        <v>9.875</v>
      </c>
      <c r="E2" s="13" t="n">
        <v>1.08</v>
      </c>
      <c r="F2" s="14" t="n">
        <v>0.07539999999999999</v>
      </c>
      <c r="G2" s="14" t="n">
        <v>0.02818991097922829</v>
      </c>
      <c r="H2" s="14" t="n">
        <v>0.0922</v>
      </c>
      <c r="I2" s="15">
        <f>IFERROR(C2/D2,"")</f>
        <v/>
      </c>
      <c r="J2" s="8">
        <f>IFERROR(D2/C2,"")</f>
        <v/>
      </c>
      <c r="K2" s="8">
        <f>IFERROR(E2/C2,"")</f>
        <v/>
      </c>
      <c r="L2" s="8">
        <f>IFERROR(F2-G2,"")</f>
        <v/>
      </c>
      <c r="M2" s="8">
        <f>IFERROR(J2-F2,"")</f>
        <v/>
      </c>
      <c r="N2" s="8">
        <f>IFERROR(J2-L2,"")</f>
        <v/>
      </c>
      <c r="O2" s="8">
        <f>IFERROR(J2-H2,"")</f>
        <v/>
      </c>
      <c r="P2" s="8">
        <f>IFERROR(K2-F2,"")</f>
        <v/>
      </c>
      <c r="Q2" s="6" t="n"/>
      <c r="R2" s="6" t="n"/>
      <c r="S2" s="6" t="n"/>
      <c r="T2" s="6" t="n"/>
      <c r="U2" s="6" t="n"/>
      <c r="V2" s="6" t="n"/>
      <c r="W2" s="6" t="n"/>
      <c r="X2" s="6" t="n"/>
      <c r="Y2" s="3">
        <f>IF(X2="","",IF(X2&gt;='Léeme'!$B$6,"barato",IF(X2&lt;'Léeme'!$B$7,"caro","medio")))</f>
        <v/>
      </c>
      <c r="Z2" s="10" t="n">
        <v>0.5178513954847555</v>
      </c>
      <c r="AA2" s="10" t="n">
        <v>0.163044168656421</v>
      </c>
    </row>
    <row r="3">
      <c r="A3" s="3" t="inlineStr">
        <is>
          <t>1992-T2</t>
        </is>
      </c>
      <c r="B3" s="12" t="n">
        <v>33785</v>
      </c>
      <c r="C3" s="13" t="n">
        <v>10</v>
      </c>
      <c r="E3" s="13" t="n">
        <v>1.08</v>
      </c>
      <c r="F3" s="14" t="n">
        <v>0.07139999999999999</v>
      </c>
      <c r="G3" s="14" t="n">
        <v>0.03023598820059004</v>
      </c>
      <c r="H3" s="14" t="n">
        <v>0.09</v>
      </c>
      <c r="I3" s="15">
        <f>IFERROR(C3/D3,"")</f>
        <v/>
      </c>
      <c r="J3" s="8">
        <f>IFERROR(D3/C3,"")</f>
        <v/>
      </c>
      <c r="K3" s="8">
        <f>IFERROR(E3/C3,"")</f>
        <v/>
      </c>
      <c r="L3" s="8">
        <f>IFERROR(F3-G3,"")</f>
        <v/>
      </c>
      <c r="M3" s="8">
        <f>IFERROR(J3-F3,"")</f>
        <v/>
      </c>
      <c r="N3" s="8">
        <f>IFERROR(J3-L3,"")</f>
        <v/>
      </c>
      <c r="O3" s="8">
        <f>IFERROR(J3-H3,"")</f>
        <v/>
      </c>
      <c r="P3" s="8">
        <f>IFERROR(K3-F3,"")</f>
        <v/>
      </c>
      <c r="Q3" s="6" t="n"/>
      <c r="R3" s="6" t="n"/>
      <c r="S3" s="6" t="n"/>
      <c r="T3" s="6" t="n"/>
      <c r="U3" s="6" t="n"/>
      <c r="V3" s="6" t="n"/>
      <c r="W3" s="6" t="n"/>
      <c r="X3" s="6" t="n"/>
      <c r="Y3" s="3">
        <f>IF(X3="","",IF(X3&gt;='Léeme'!$B$6,"barato",IF(X3&lt;'Léeme'!$B$7,"caro","medio")))</f>
        <v/>
      </c>
      <c r="Z3" s="10" t="n">
        <v>0.4511221731582744</v>
      </c>
      <c r="AA3" s="10" t="n">
        <v>0.1677368753564303</v>
      </c>
    </row>
    <row r="4">
      <c r="A4" s="3" t="inlineStr">
        <is>
          <t>1992-T3</t>
        </is>
      </c>
      <c r="B4" s="12" t="n">
        <v>33877</v>
      </c>
      <c r="C4" s="13" t="n">
        <v>11.625</v>
      </c>
      <c r="E4" s="13" t="n">
        <v>1.08</v>
      </c>
      <c r="F4" s="14" t="n">
        <v>0.06370000000000001</v>
      </c>
      <c r="G4" s="14" t="n">
        <v>0.03074670571010252</v>
      </c>
      <c r="H4" s="14" t="n">
        <v>0.08650000000000001</v>
      </c>
      <c r="I4" s="15">
        <f>IFERROR(C4/D4,"")</f>
        <v/>
      </c>
      <c r="J4" s="8">
        <f>IFERROR(D4/C4,"")</f>
        <v/>
      </c>
      <c r="K4" s="8">
        <f>IFERROR(E4/C4,"")</f>
        <v/>
      </c>
      <c r="L4" s="8">
        <f>IFERROR(F4-G4,"")</f>
        <v/>
      </c>
      <c r="M4" s="8">
        <f>IFERROR(J4-F4,"")</f>
        <v/>
      </c>
      <c r="N4" s="8">
        <f>IFERROR(J4-L4,"")</f>
        <v/>
      </c>
      <c r="O4" s="8">
        <f>IFERROR(J4-H4,"")</f>
        <v/>
      </c>
      <c r="P4" s="8">
        <f>IFERROR(K4-F4,"")</f>
        <v/>
      </c>
      <c r="Q4" s="6" t="n"/>
      <c r="R4" s="6" t="n"/>
      <c r="S4" s="6" t="n"/>
      <c r="T4" s="6" t="n"/>
      <c r="U4" s="6" t="n"/>
      <c r="V4" s="6" t="n"/>
      <c r="W4" s="6" t="n"/>
      <c r="X4" s="6" t="n"/>
      <c r="Y4" s="3">
        <f>IF(X4="","",IF(X4&gt;='Léeme'!$B$6,"barato",IF(X4&lt;'Léeme'!$B$7,"caro","medio")))</f>
        <v/>
      </c>
      <c r="Z4" s="10" t="n">
        <v>0.2890257762014379</v>
      </c>
      <c r="AA4" s="10" t="n">
        <v>0.1410013637556924</v>
      </c>
    </row>
    <row r="5">
      <c r="A5" s="3" t="inlineStr">
        <is>
          <t>1992-T4</t>
        </is>
      </c>
      <c r="B5" s="12" t="n">
        <v>33969</v>
      </c>
      <c r="C5" s="13" t="n">
        <v>12.125</v>
      </c>
      <c r="E5" s="13" t="n">
        <v>1.08</v>
      </c>
      <c r="F5" s="14" t="n">
        <v>0.067</v>
      </c>
      <c r="G5" s="14" t="n">
        <v>0.0312046444121914</v>
      </c>
      <c r="H5" s="14" t="n">
        <v>0.08740000000000001</v>
      </c>
      <c r="I5" s="15">
        <f>IFERROR(C5/D5,"")</f>
        <v/>
      </c>
      <c r="J5" s="8">
        <f>IFERROR(D5/C5,"")</f>
        <v/>
      </c>
      <c r="K5" s="8">
        <f>IFERROR(E5/C5,"")</f>
        <v/>
      </c>
      <c r="L5" s="8">
        <f>IFERROR(F5-G5,"")</f>
        <v/>
      </c>
      <c r="M5" s="8">
        <f>IFERROR(J5-F5,"")</f>
        <v/>
      </c>
      <c r="N5" s="8">
        <f>IFERROR(J5-L5,"")</f>
        <v/>
      </c>
      <c r="O5" s="8">
        <f>IFERROR(J5-H5,"")</f>
        <v/>
      </c>
      <c r="P5" s="8">
        <f>IFERROR(K5-F5,"")</f>
        <v/>
      </c>
      <c r="Q5" s="6" t="n"/>
      <c r="R5" s="6" t="n"/>
      <c r="S5" s="6" t="n"/>
      <c r="T5" s="6" t="n"/>
      <c r="U5" s="6" t="n"/>
      <c r="V5" s="6" t="n"/>
      <c r="W5" s="6" t="n"/>
      <c r="X5" s="6" t="n"/>
      <c r="Y5" s="3">
        <f>IF(X5="","",IF(X5&gt;='Léeme'!$B$6,"barato",IF(X5&lt;'Léeme'!$B$7,"caro","medio")))</f>
        <v/>
      </c>
      <c r="Z5" s="10" t="n">
        <v>0.2113626935393147</v>
      </c>
      <c r="AA5" s="10" t="n">
        <v>0.1569407378470429</v>
      </c>
    </row>
    <row r="6">
      <c r="A6" s="3" t="inlineStr">
        <is>
          <t>1993-T1</t>
        </is>
      </c>
      <c r="B6" s="12" t="n">
        <v>34059</v>
      </c>
      <c r="C6" s="13" t="n">
        <v>13.875</v>
      </c>
      <c r="D6" s="13" t="n">
        <v>1.15</v>
      </c>
      <c r="E6" s="13" t="n">
        <v>1.08</v>
      </c>
      <c r="F6" s="14" t="n">
        <v>0.0603</v>
      </c>
      <c r="G6" s="14" t="n">
        <v>0.03246753246753253</v>
      </c>
      <c r="H6" s="14" t="n">
        <v>0.08199999999999999</v>
      </c>
      <c r="I6" s="15">
        <f>IFERROR(C6/D6,"")</f>
        <v/>
      </c>
      <c r="J6" s="8">
        <f>IFERROR(D6/C6,"")</f>
        <v/>
      </c>
      <c r="K6" s="8">
        <f>IFERROR(E6/C6,"")</f>
        <v/>
      </c>
      <c r="L6" s="8">
        <f>IFERROR(F6-G6,"")</f>
        <v/>
      </c>
      <c r="M6" s="8">
        <f>IFERROR(J6-F6,"")</f>
        <v/>
      </c>
      <c r="N6" s="8">
        <f>IFERROR(J6-L6,"")</f>
        <v/>
      </c>
      <c r="O6" s="8">
        <f>IFERROR(J6-H6,"")</f>
        <v/>
      </c>
      <c r="P6" s="8">
        <f>IFERROR(K6-F6,"")</f>
        <v/>
      </c>
      <c r="Q6" s="6" t="n"/>
      <c r="R6" s="6" t="n"/>
      <c r="S6" s="6" t="n"/>
      <c r="T6" s="6" t="n"/>
      <c r="U6" s="6" t="n"/>
      <c r="V6" s="6" t="n"/>
      <c r="W6" s="6" t="n"/>
      <c r="X6" s="6" t="n"/>
      <c r="Y6" s="3">
        <f>IF(X6="","",IF(X6&gt;='Léeme'!$B$6,"barato",IF(X6&lt;'Léeme'!$B$7,"caro","medio")))</f>
        <v/>
      </c>
      <c r="Z6" s="10" t="n">
        <v>0.0669501138409474</v>
      </c>
      <c r="AA6" s="10" t="n">
        <v>0.1221279665077666</v>
      </c>
    </row>
    <row r="7">
      <c r="A7" s="3" t="inlineStr">
        <is>
          <t>1993-T2</t>
        </is>
      </c>
      <c r="B7" s="12" t="n">
        <v>34150</v>
      </c>
      <c r="C7" s="13" t="n">
        <v>13.5</v>
      </c>
      <c r="D7" s="13" t="n">
        <v>1.15</v>
      </c>
      <c r="E7" s="13" t="n">
        <v>1.08</v>
      </c>
      <c r="F7" s="14" t="n">
        <v>0.058</v>
      </c>
      <c r="G7" s="14" t="n">
        <v>0.0322118826055835</v>
      </c>
      <c r="H7" s="14" t="n">
        <v>0.0795</v>
      </c>
      <c r="I7" s="15">
        <f>IFERROR(C7/D7,"")</f>
        <v/>
      </c>
      <c r="J7" s="8">
        <f>IFERROR(D7/C7,"")</f>
        <v/>
      </c>
      <c r="K7" s="8">
        <f>IFERROR(E7/C7,"")</f>
        <v/>
      </c>
      <c r="L7" s="8">
        <f>IFERROR(F7-G7,"")</f>
        <v/>
      </c>
      <c r="M7" s="8">
        <f>IFERROR(J7-F7,"")</f>
        <v/>
      </c>
      <c r="N7" s="8">
        <f>IFERROR(J7-L7,"")</f>
        <v/>
      </c>
      <c r="O7" s="8">
        <f>IFERROR(J7-H7,"")</f>
        <v/>
      </c>
      <c r="P7" s="8">
        <f>IFERROR(K7-F7,"")</f>
        <v/>
      </c>
      <c r="Q7" s="6" t="n"/>
      <c r="R7" s="6" t="n"/>
      <c r="S7" s="6" t="n"/>
      <c r="T7" s="6" t="n"/>
      <c r="U7" s="6" t="n"/>
      <c r="V7" s="6" t="n"/>
      <c r="W7" s="6" t="n"/>
      <c r="X7" s="6" t="n"/>
      <c r="Y7" s="3">
        <f>IF(X7="","",IF(X7&gt;='Léeme'!$B$6,"barato",IF(X7&lt;'Léeme'!$B$7,"caro","medio")))</f>
        <v/>
      </c>
      <c r="Z7" s="10" t="n">
        <v>0.07698205580892048</v>
      </c>
      <c r="AA7" s="10" t="n">
        <v>0.1090707197910439</v>
      </c>
    </row>
    <row r="8">
      <c r="A8" s="3" t="inlineStr">
        <is>
          <t>1993-T3</t>
        </is>
      </c>
      <c r="B8" s="12" t="n">
        <v>34242</v>
      </c>
      <c r="C8" s="13" t="n">
        <v>14</v>
      </c>
      <c r="D8" s="13" t="n">
        <v>1.15</v>
      </c>
      <c r="E8" s="13" t="n">
        <v>1.12</v>
      </c>
      <c r="F8" s="14" t="n">
        <v>0.05400000000000001</v>
      </c>
      <c r="G8" s="14" t="n">
        <v>0.02840909090909083</v>
      </c>
      <c r="H8" s="14" t="n">
        <v>0.0736</v>
      </c>
      <c r="I8" s="15">
        <f>IFERROR(C8/D8,"")</f>
        <v/>
      </c>
      <c r="J8" s="8">
        <f>IFERROR(D8/C8,"")</f>
        <v/>
      </c>
      <c r="K8" s="8">
        <f>IFERROR(E8/C8,"")</f>
        <v/>
      </c>
      <c r="L8" s="8">
        <f>IFERROR(F8-G8,"")</f>
        <v/>
      </c>
      <c r="M8" s="8">
        <f>IFERROR(J8-F8,"")</f>
        <v/>
      </c>
      <c r="N8" s="8">
        <f>IFERROR(J8-L8,"")</f>
        <v/>
      </c>
      <c r="O8" s="8">
        <f>IFERROR(J8-H8,"")</f>
        <v/>
      </c>
      <c r="P8" s="8">
        <f>IFERROR(K8-F8,"")</f>
        <v/>
      </c>
      <c r="Q8" s="6" t="n"/>
      <c r="R8" s="6" t="n"/>
      <c r="S8" s="6" t="n"/>
      <c r="T8" s="6" t="n"/>
      <c r="U8" s="6" t="n"/>
      <c r="V8" s="6" t="n"/>
      <c r="W8" s="6" t="n"/>
      <c r="X8" s="6" t="n"/>
      <c r="Y8" s="3">
        <f>IF(X8="","",IF(X8&gt;='Léeme'!$B$6,"barato",IF(X8&lt;'Léeme'!$B$7,"caro","medio")))</f>
        <v/>
      </c>
      <c r="Z8" s="10" t="n">
        <v>-0.06588440839334964</v>
      </c>
      <c r="AA8" s="10" t="n">
        <v>0.07870665865068327</v>
      </c>
    </row>
    <row r="9">
      <c r="A9" s="3" t="inlineStr">
        <is>
          <t>1993-T4</t>
        </is>
      </c>
      <c r="B9" s="12" t="n">
        <v>34334</v>
      </c>
      <c r="C9" s="13" t="n">
        <v>13.75</v>
      </c>
      <c r="D9" s="13" t="n">
        <v>1.15</v>
      </c>
      <c r="E9" s="13" t="n">
        <v>1.12</v>
      </c>
      <c r="F9" s="14" t="n">
        <v>0.0583</v>
      </c>
      <c r="G9" s="14" t="n">
        <v>0.02744546094299793</v>
      </c>
      <c r="H9" s="14" t="n">
        <v>0.0775</v>
      </c>
      <c r="I9" s="15">
        <f>IFERROR(C9/D9,"")</f>
        <v/>
      </c>
      <c r="J9" s="8">
        <f>IFERROR(D9/C9,"")</f>
        <v/>
      </c>
      <c r="K9" s="8">
        <f>IFERROR(E9/C9,"")</f>
        <v/>
      </c>
      <c r="L9" s="8">
        <f>IFERROR(F9-G9,"")</f>
        <v/>
      </c>
      <c r="M9" s="8">
        <f>IFERROR(J9-F9,"")</f>
        <v/>
      </c>
      <c r="N9" s="8">
        <f>IFERROR(J9-L9,"")</f>
        <v/>
      </c>
      <c r="O9" s="8">
        <f>IFERROR(J9-H9,"")</f>
        <v/>
      </c>
      <c r="P9" s="8">
        <f>IFERROR(K9-F9,"")</f>
        <v/>
      </c>
      <c r="Q9" s="6" t="n"/>
      <c r="R9" s="6" t="n"/>
      <c r="S9" s="6" t="n"/>
      <c r="T9" s="6" t="n"/>
      <c r="U9" s="6" t="n"/>
      <c r="V9" s="6" t="n"/>
      <c r="W9" s="6" t="n"/>
      <c r="X9" s="6" t="n"/>
      <c r="Y9" s="3">
        <f>IF(X9="","",IF(X9&gt;='Léeme'!$B$6,"barato",IF(X9&lt;'Léeme'!$B$7,"caro","medio")))</f>
        <v/>
      </c>
      <c r="Z9" s="10" t="n">
        <v>-0.04572496134154702</v>
      </c>
      <c r="AA9" s="10" t="n">
        <v>0.0615873660023607</v>
      </c>
    </row>
    <row r="10">
      <c r="A10" s="3" t="inlineStr">
        <is>
          <t>1994-T1</t>
        </is>
      </c>
      <c r="B10" s="12" t="n">
        <v>34424</v>
      </c>
      <c r="C10" s="13" t="n">
        <v>13.875</v>
      </c>
      <c r="D10" s="13" t="n">
        <v>1.05</v>
      </c>
      <c r="E10" s="13" t="n">
        <v>1.12</v>
      </c>
      <c r="F10" s="14" t="n">
        <v>0.0677</v>
      </c>
      <c r="G10" s="14" t="n">
        <v>0.02515723270440251</v>
      </c>
      <c r="H10" s="14" t="n">
        <v>0.0832</v>
      </c>
      <c r="I10" s="15">
        <f>IFERROR(C10/D10,"")</f>
        <v/>
      </c>
      <c r="J10" s="8">
        <f>IFERROR(D10/C10,"")</f>
        <v/>
      </c>
      <c r="K10" s="8">
        <f>IFERROR(E10/C10,"")</f>
        <v/>
      </c>
      <c r="L10" s="8">
        <f>IFERROR(F10-G10,"")</f>
        <v/>
      </c>
      <c r="M10" s="8">
        <f>IFERROR(J10-F10,"")</f>
        <v/>
      </c>
      <c r="N10" s="8">
        <f>IFERROR(J10-L10,"")</f>
        <v/>
      </c>
      <c r="O10" s="8">
        <f>IFERROR(J10-H10,"")</f>
        <v/>
      </c>
      <c r="P10" s="8">
        <f>IFERROR(K10-F10,"")</f>
        <v/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3">
        <f>IF(X10="","",IF(X10&gt;='Léeme'!$B$6,"barato",IF(X10&lt;'Léeme'!$B$7,"caro","medio")))</f>
        <v/>
      </c>
      <c r="Z10" s="10" t="n">
        <v>-0.06130770962813581</v>
      </c>
      <c r="AA10" s="10" t="n">
        <v>0.0247970976052474</v>
      </c>
    </row>
    <row r="11">
      <c r="A11" s="3" t="inlineStr">
        <is>
          <t>1994-T2</t>
        </is>
      </c>
      <c r="B11" s="12" t="n">
        <v>34515</v>
      </c>
      <c r="C11" s="13" t="n">
        <v>13.625</v>
      </c>
      <c r="D11" s="13" t="n">
        <v>1.05</v>
      </c>
      <c r="E11" s="13" t="n">
        <v>1.12</v>
      </c>
      <c r="F11" s="14" t="n">
        <v>0.07339999999999999</v>
      </c>
      <c r="G11" s="14" t="n">
        <v>0.02288488210818307</v>
      </c>
      <c r="H11" s="14" t="n">
        <v>0.08779999999999999</v>
      </c>
      <c r="I11" s="15">
        <f>IFERROR(C11/D11,"")</f>
        <v/>
      </c>
      <c r="J11" s="8">
        <f>IFERROR(D11/C11,"")</f>
        <v/>
      </c>
      <c r="K11" s="8">
        <f>IFERROR(E11/C11,"")</f>
        <v/>
      </c>
      <c r="L11" s="8">
        <f>IFERROR(F11-G11,"")</f>
        <v/>
      </c>
      <c r="M11" s="8">
        <f>IFERROR(J11-F11,"")</f>
        <v/>
      </c>
      <c r="N11" s="8">
        <f>IFERROR(J11-L11,"")</f>
        <v/>
      </c>
      <c r="O11" s="8">
        <f>IFERROR(J11-H11,"")</f>
        <v/>
      </c>
      <c r="P11" s="8">
        <f>IFERROR(K11-F11,"")</f>
        <v/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3">
        <f>IF(X11="","",IF(X11&gt;='Léeme'!$B$6,"barato",IF(X11&lt;'Léeme'!$B$7,"caro","medio")))</f>
        <v/>
      </c>
      <c r="Z11" s="10" t="n">
        <v>0.0377990702043689</v>
      </c>
      <c r="AA11" s="10" t="n">
        <v>0.05841226423805068</v>
      </c>
    </row>
    <row r="12">
      <c r="A12" s="3" t="inlineStr">
        <is>
          <t>1994-T3</t>
        </is>
      </c>
      <c r="B12" s="12" t="n">
        <v>34607</v>
      </c>
      <c r="C12" s="13" t="n">
        <v>12.25</v>
      </c>
      <c r="D12" s="13" t="n">
        <v>1.05</v>
      </c>
      <c r="E12" s="13" t="n">
        <v>1.16</v>
      </c>
      <c r="F12" s="14" t="n">
        <v>0.0762</v>
      </c>
      <c r="G12" s="14" t="n">
        <v>0.02900552486187835</v>
      </c>
      <c r="H12" s="14" t="n">
        <v>0.0916</v>
      </c>
      <c r="I12" s="15">
        <f>IFERROR(C12/D12,"")</f>
        <v/>
      </c>
      <c r="J12" s="8">
        <f>IFERROR(D12/C12,"")</f>
        <v/>
      </c>
      <c r="K12" s="8">
        <f>IFERROR(E12/C12,"")</f>
        <v/>
      </c>
      <c r="L12" s="8">
        <f>IFERROR(F12-G12,"")</f>
        <v/>
      </c>
      <c r="M12" s="8">
        <f>IFERROR(J12-F12,"")</f>
        <v/>
      </c>
      <c r="N12" s="8">
        <f>IFERROR(J12-L12,"")</f>
        <v/>
      </c>
      <c r="O12" s="8">
        <f>IFERROR(J12-H12,"")</f>
        <v/>
      </c>
      <c r="P12" s="8">
        <f>IFERROR(K12-F12,"")</f>
        <v/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3">
        <f>IF(X12="","",IF(X12&gt;='Léeme'!$B$6,"barato",IF(X12&lt;'Léeme'!$B$7,"caro","medio")))</f>
        <v/>
      </c>
      <c r="Z12" s="10" t="n">
        <v>0.1666443887926405</v>
      </c>
      <c r="AA12" s="10" t="n">
        <v>0.04134472514218657</v>
      </c>
    </row>
    <row r="13">
      <c r="A13" s="3" t="inlineStr">
        <is>
          <t>1994-T4</t>
        </is>
      </c>
      <c r="B13" s="12" t="n">
        <v>34698</v>
      </c>
      <c r="C13" s="13" t="n">
        <v>12.25</v>
      </c>
      <c r="D13" s="13" t="n">
        <v>1.05</v>
      </c>
      <c r="E13" s="13" t="n">
        <v>1.16</v>
      </c>
      <c r="F13" s="14" t="n">
        <v>0.0784</v>
      </c>
      <c r="G13" s="14" t="n">
        <v>0.02602739726027403</v>
      </c>
      <c r="H13" s="14" t="n">
        <v>0.091</v>
      </c>
      <c r="I13" s="15">
        <f>IFERROR(C13/D13,"")</f>
        <v/>
      </c>
      <c r="J13" s="8">
        <f>IFERROR(D13/C13,"")</f>
        <v/>
      </c>
      <c r="K13" s="8">
        <f>IFERROR(E13/C13,"")</f>
        <v/>
      </c>
      <c r="L13" s="8">
        <f>IFERROR(F13-G13,"")</f>
        <v/>
      </c>
      <c r="M13" s="8">
        <f>IFERROR(J13-F13,"")</f>
        <v/>
      </c>
      <c r="N13" s="8">
        <f>IFERROR(J13-L13,"")</f>
        <v/>
      </c>
      <c r="O13" s="8">
        <f>IFERROR(J13-H13,"")</f>
        <v/>
      </c>
      <c r="P13" s="8">
        <f>IFERROR(K13-F13,"")</f>
        <v/>
      </c>
      <c r="Q13" s="6" t="n"/>
      <c r="R13" s="6" t="n"/>
      <c r="S13" s="6" t="n"/>
      <c r="T13" s="6" t="n"/>
      <c r="U13" s="6" t="n">
        <v>0.7777777777777778</v>
      </c>
      <c r="V13" s="6" t="n">
        <v>0.2638888888888889</v>
      </c>
      <c r="W13" s="6" t="n"/>
      <c r="X13" s="6" t="n"/>
      <c r="Y13" s="3">
        <f>IF(X13="","",IF(X13&gt;='Léeme'!$B$6,"barato",IF(X13&lt;'Léeme'!$B$7,"caro","medio")))</f>
        <v/>
      </c>
      <c r="Z13" s="10" t="n">
        <v>0.1207584420341434</v>
      </c>
      <c r="AA13" s="10" t="n">
        <v>0.03065907516655852</v>
      </c>
    </row>
    <row r="14">
      <c r="A14" s="3" t="inlineStr">
        <is>
          <t>1995-T1</t>
        </is>
      </c>
      <c r="B14" s="12" t="n">
        <v>34789</v>
      </c>
      <c r="C14" s="13" t="n">
        <v>12.125</v>
      </c>
      <c r="D14" s="13" t="n">
        <v>1.16</v>
      </c>
      <c r="E14" s="13" t="n">
        <v>1.16</v>
      </c>
      <c r="F14" s="14" t="n">
        <v>0.07200000000000001</v>
      </c>
      <c r="G14" s="14" t="n">
        <v>0.02862985685071595</v>
      </c>
      <c r="H14" s="14" t="n">
        <v>0.0866</v>
      </c>
      <c r="I14" s="15">
        <f>IFERROR(C14/D14,"")</f>
        <v/>
      </c>
      <c r="J14" s="8">
        <f>IFERROR(D14/C14,"")</f>
        <v/>
      </c>
      <c r="K14" s="8">
        <f>IFERROR(E14/C14,"")</f>
        <v/>
      </c>
      <c r="L14" s="8">
        <f>IFERROR(F14-G14,"")</f>
        <v/>
      </c>
      <c r="M14" s="8">
        <f>IFERROR(J14-F14,"")</f>
        <v/>
      </c>
      <c r="N14" s="8">
        <f>IFERROR(J14-L14,"")</f>
        <v/>
      </c>
      <c r="O14" s="8">
        <f>IFERROR(J14-H14,"")</f>
        <v/>
      </c>
      <c r="P14" s="8">
        <f>IFERROR(K14-F14,"")</f>
        <v/>
      </c>
      <c r="Q14" s="6" t="n"/>
      <c r="R14" s="6" t="n"/>
      <c r="S14" s="6" t="n"/>
      <c r="T14" s="6" t="n"/>
      <c r="U14" s="6" t="n">
        <v>0.782051282051282</v>
      </c>
      <c r="V14" s="6" t="n">
        <v>0.5769230769230769</v>
      </c>
      <c r="W14" s="6" t="n"/>
      <c r="X14" s="6" t="n"/>
      <c r="Y14" s="3">
        <f>IF(X14="","",IF(X14&gt;='Léeme'!$B$6,"barato",IF(X14&lt;'Léeme'!$B$7,"caro","medio")))</f>
        <v/>
      </c>
      <c r="Z14" s="10" t="n">
        <v>0.1752002877803727</v>
      </c>
      <c r="AA14" s="10" t="n">
        <v>0.04135142176369766</v>
      </c>
    </row>
    <row r="15">
      <c r="A15" s="3" t="inlineStr">
        <is>
          <t>1995-T2</t>
        </is>
      </c>
      <c r="B15" s="12" t="n">
        <v>34880</v>
      </c>
      <c r="C15" s="13" t="n">
        <v>13.125</v>
      </c>
      <c r="D15" s="13" t="n">
        <v>1.16</v>
      </c>
      <c r="E15" s="13" t="n">
        <v>1.16</v>
      </c>
      <c r="F15" s="14" t="n">
        <v>0.0621</v>
      </c>
      <c r="G15" s="14" t="n">
        <v>0.03118644067796605</v>
      </c>
      <c r="H15" s="14" t="n">
        <v>0.0799</v>
      </c>
      <c r="I15" s="15">
        <f>IFERROR(C15/D15,"")</f>
        <v/>
      </c>
      <c r="J15" s="8">
        <f>IFERROR(D15/C15,"")</f>
        <v/>
      </c>
      <c r="K15" s="8">
        <f>IFERROR(E15/C15,"")</f>
        <v/>
      </c>
      <c r="L15" s="8">
        <f>IFERROR(F15-G15,"")</f>
        <v/>
      </c>
      <c r="M15" s="8">
        <f>IFERROR(J15-F15,"")</f>
        <v/>
      </c>
      <c r="N15" s="8">
        <f>IFERROR(J15-L15,"")</f>
        <v/>
      </c>
      <c r="O15" s="8">
        <f>IFERROR(J15-H15,"")</f>
        <v/>
      </c>
      <c r="P15" s="8">
        <f>IFERROR(K15-F15,"")</f>
        <v/>
      </c>
      <c r="Q15" s="6" t="n"/>
      <c r="R15" s="6" t="n"/>
      <c r="S15" s="6" t="n"/>
      <c r="T15" s="6" t="n"/>
      <c r="U15" s="6" t="n">
        <v>0.4404761904761905</v>
      </c>
      <c r="V15" s="6" t="n">
        <v>0.7023809523809523</v>
      </c>
      <c r="W15" s="6" t="n"/>
      <c r="X15" s="6" t="n"/>
      <c r="Y15" s="3">
        <f>IF(X15="","",IF(X15&gt;='Léeme'!$B$6,"barato",IF(X15&lt;'Léeme'!$B$7,"caro","medio")))</f>
        <v/>
      </c>
      <c r="Z15" s="10" t="n">
        <v>0.1352454039772235</v>
      </c>
      <c r="AA15" s="10" t="n">
        <v>0.02724443251207354</v>
      </c>
    </row>
    <row r="16">
      <c r="A16" s="3" t="inlineStr">
        <is>
          <t>1995-T3</t>
        </is>
      </c>
      <c r="B16" s="12" t="n">
        <v>34971</v>
      </c>
      <c r="C16" s="13" t="n">
        <v>13.25</v>
      </c>
      <c r="D16" s="13" t="n">
        <v>1.16</v>
      </c>
      <c r="E16" s="13" t="n">
        <v>1.16</v>
      </c>
      <c r="F16" s="14" t="n">
        <v>0.0617</v>
      </c>
      <c r="G16" s="14" t="n">
        <v>0.02617449664429539</v>
      </c>
      <c r="H16" s="14" t="n">
        <v>0.0795</v>
      </c>
      <c r="I16" s="15">
        <f>IFERROR(C16/D16,"")</f>
        <v/>
      </c>
      <c r="J16" s="8">
        <f>IFERROR(D16/C16,"")</f>
        <v/>
      </c>
      <c r="K16" s="8">
        <f>IFERROR(E16/C16,"")</f>
        <v/>
      </c>
      <c r="L16" s="8">
        <f>IFERROR(F16-G16,"")</f>
        <v/>
      </c>
      <c r="M16" s="8">
        <f>IFERROR(J16-F16,"")</f>
        <v/>
      </c>
      <c r="N16" s="8">
        <f>IFERROR(J16-L16,"")</f>
        <v/>
      </c>
      <c r="O16" s="8">
        <f>IFERROR(J16-H16,"")</f>
        <v/>
      </c>
      <c r="P16" s="8">
        <f>IFERROR(K16-F16,"")</f>
        <v/>
      </c>
      <c r="Q16" s="6" t="n"/>
      <c r="R16" s="6" t="n"/>
      <c r="S16" s="6" t="n"/>
      <c r="T16" s="6" t="n"/>
      <c r="U16" s="6" t="n">
        <v>0.4111111111111111</v>
      </c>
      <c r="V16" s="6" t="n">
        <v>0.6111111111111112</v>
      </c>
      <c r="W16" s="6" t="n"/>
      <c r="X16" s="6" t="n"/>
      <c r="Y16" s="3">
        <f>IF(X16="","",IF(X16&gt;='Léeme'!$B$6,"barato",IF(X16&lt;'Léeme'!$B$7,"caro","medio")))</f>
        <v/>
      </c>
      <c r="Z16" s="10" t="n">
        <v>0.1034478457898167</v>
      </c>
      <c r="AA16" s="10" t="n">
        <v>0.02356457394551992</v>
      </c>
    </row>
    <row r="17">
      <c r="A17" s="3" t="inlineStr">
        <is>
          <t>1995-T4</t>
        </is>
      </c>
      <c r="B17" s="12" t="n">
        <v>35062</v>
      </c>
      <c r="C17" s="13" t="n">
        <v>12.75</v>
      </c>
      <c r="D17" s="13" t="n">
        <v>1.16</v>
      </c>
      <c r="E17" s="13" t="n">
        <v>1.16</v>
      </c>
      <c r="F17" s="14" t="n">
        <v>0.0558</v>
      </c>
      <c r="G17" s="14" t="n">
        <v>0.02603471295060067</v>
      </c>
      <c r="H17" s="14" t="n">
        <v>0.0741</v>
      </c>
      <c r="I17" s="15">
        <f>IFERROR(C17/D17,"")</f>
        <v/>
      </c>
      <c r="J17" s="8">
        <f>IFERROR(D17/C17,"")</f>
        <v/>
      </c>
      <c r="K17" s="8">
        <f>IFERROR(E17/C17,"")</f>
        <v/>
      </c>
      <c r="L17" s="8">
        <f>IFERROR(F17-G17,"")</f>
        <v/>
      </c>
      <c r="M17" s="8">
        <f>IFERROR(J17-F17,"")</f>
        <v/>
      </c>
      <c r="N17" s="8">
        <f>IFERROR(J17-L17,"")</f>
        <v/>
      </c>
      <c r="O17" s="8">
        <f>IFERROR(J17-H17,"")</f>
        <v/>
      </c>
      <c r="P17" s="8">
        <f>IFERROR(K17-F17,"")</f>
        <v/>
      </c>
      <c r="Q17" s="6" t="n"/>
      <c r="R17" s="6" t="n"/>
      <c r="S17" s="6" t="n"/>
      <c r="T17" s="6" t="n"/>
      <c r="U17" s="6" t="n">
        <v>0.5729166666666666</v>
      </c>
      <c r="V17" s="6" t="n">
        <v>0.8645833333333334</v>
      </c>
      <c r="W17" s="6" t="n"/>
      <c r="X17" s="6" t="n"/>
      <c r="Y17" s="3">
        <f>IF(X17="","",IF(X17&gt;='Léeme'!$B$6,"barato",IF(X17&lt;'Léeme'!$B$7,"caro","medio")))</f>
        <v/>
      </c>
      <c r="Z17" s="10" t="n">
        <v>0.3147471643140605</v>
      </c>
      <c r="AA17" s="10" t="n">
        <v>0.02910165280261512</v>
      </c>
    </row>
    <row r="18">
      <c r="A18" s="3" t="inlineStr">
        <is>
          <t>1996-T1</t>
        </is>
      </c>
      <c r="B18" s="12" t="n">
        <v>35153</v>
      </c>
      <c r="C18" s="13" t="n">
        <v>13.25</v>
      </c>
      <c r="D18" s="13" t="n">
        <v>1.24</v>
      </c>
      <c r="E18" s="13" t="n">
        <v>1.16</v>
      </c>
      <c r="F18" s="14" t="n">
        <v>0.0634</v>
      </c>
      <c r="G18" s="14" t="n">
        <v>0.02717031146454607</v>
      </c>
      <c r="H18" s="14" t="n">
        <v>0.08169999999999999</v>
      </c>
      <c r="I18" s="15">
        <f>IFERROR(C18/D18,"")</f>
        <v/>
      </c>
      <c r="J18" s="8">
        <f>IFERROR(D18/C18,"")</f>
        <v/>
      </c>
      <c r="K18" s="8">
        <f>IFERROR(E18/C18,"")</f>
        <v/>
      </c>
      <c r="L18" s="8">
        <f>IFERROR(F18-G18,"")</f>
        <v/>
      </c>
      <c r="M18" s="8">
        <f>IFERROR(J18-F18,"")</f>
        <v/>
      </c>
      <c r="N18" s="8">
        <f>IFERROR(J18-L18,"")</f>
        <v/>
      </c>
      <c r="O18" s="8">
        <f>IFERROR(J18-H18,"")</f>
        <v/>
      </c>
      <c r="P18" s="8">
        <f>IFERROR(K18-F18,"")</f>
        <v/>
      </c>
      <c r="Q18" s="6" t="n">
        <v>0.9054054054054054</v>
      </c>
      <c r="R18" s="6" t="n">
        <v>0.8783783783783784</v>
      </c>
      <c r="S18" s="6" t="n">
        <v>0.7972972972972973</v>
      </c>
      <c r="T18" s="6" t="n">
        <v>0.9054054054054054</v>
      </c>
      <c r="U18" s="6" t="n">
        <v>0.3725490196078431</v>
      </c>
      <c r="V18" s="6" t="n">
        <v>0.4803921568627451</v>
      </c>
      <c r="W18" s="6" t="n"/>
      <c r="X18" s="6" t="n">
        <v>0.7232379438261791</v>
      </c>
      <c r="Y18" s="3">
        <f>IF(X18="","",IF(X18&gt;='Léeme'!$B$6,"barato",IF(X18&lt;'Léeme'!$B$7,"caro","medio")))</f>
        <v/>
      </c>
      <c r="Z18" s="10" t="n">
        <v>0.2012613010094613</v>
      </c>
      <c r="AA18" s="10" t="n">
        <v>0.04606012829865058</v>
      </c>
    </row>
    <row r="19">
      <c r="A19" s="3" t="inlineStr">
        <is>
          <t>1996-T2</t>
        </is>
      </c>
      <c r="B19" s="12" t="n">
        <v>35244</v>
      </c>
      <c r="C19" s="13" t="n">
        <v>13.875</v>
      </c>
      <c r="D19" s="13" t="n">
        <v>1.24</v>
      </c>
      <c r="E19" s="13" t="n">
        <v>1.16</v>
      </c>
      <c r="F19" s="14" t="n">
        <v>0.0673</v>
      </c>
      <c r="G19" s="14" t="n">
        <v>0.02827087442472065</v>
      </c>
      <c r="H19" s="14" t="n">
        <v>0.0834</v>
      </c>
      <c r="I19" s="15">
        <f>IFERROR(C19/D19,"")</f>
        <v/>
      </c>
      <c r="J19" s="8">
        <f>IFERROR(D19/C19,"")</f>
        <v/>
      </c>
      <c r="K19" s="8">
        <f>IFERROR(E19/C19,"")</f>
        <v/>
      </c>
      <c r="L19" s="8">
        <f>IFERROR(F19-G19,"")</f>
        <v/>
      </c>
      <c r="M19" s="8">
        <f>IFERROR(J19-F19,"")</f>
        <v/>
      </c>
      <c r="N19" s="8">
        <f>IFERROR(J19-L19,"")</f>
        <v/>
      </c>
      <c r="O19" s="8">
        <f>IFERROR(J19-H19,"")</f>
        <v/>
      </c>
      <c r="P19" s="8">
        <f>IFERROR(K19-F19,"")</f>
        <v/>
      </c>
      <c r="Q19" s="6" t="n">
        <v>0.7125</v>
      </c>
      <c r="R19" s="6" t="n">
        <v>0.3625</v>
      </c>
      <c r="S19" s="6" t="n">
        <v>0.3375</v>
      </c>
      <c r="T19" s="6" t="n">
        <v>0.4375</v>
      </c>
      <c r="U19" s="6" t="n">
        <v>0.3055555555555556</v>
      </c>
      <c r="V19" s="6" t="n">
        <v>0.1944444444444444</v>
      </c>
      <c r="W19" s="6" t="n"/>
      <c r="X19" s="6" t="n">
        <v>0.3916666666666668</v>
      </c>
      <c r="Y19" s="3">
        <f>IF(X19="","",IF(X19&gt;='Léeme'!$B$6,"barato",IF(X19&lt;'Léeme'!$B$7,"caro","medio")))</f>
        <v/>
      </c>
      <c r="Z19" s="10" t="n">
        <v>0.1792598128966465</v>
      </c>
      <c r="AA19" s="10" t="n">
        <v>0.07273098502778441</v>
      </c>
    </row>
    <row r="20">
      <c r="A20" s="3" t="inlineStr">
        <is>
          <t>1996-T3</t>
        </is>
      </c>
      <c r="B20" s="12" t="n">
        <v>35338</v>
      </c>
      <c r="C20" s="13" t="n">
        <v>13.625</v>
      </c>
      <c r="D20" s="13" t="n">
        <v>1.24</v>
      </c>
      <c r="E20" s="13" t="n">
        <v>1.2</v>
      </c>
      <c r="F20" s="14" t="n">
        <v>0.0672</v>
      </c>
      <c r="G20" s="14" t="n">
        <v>0.02812295618051008</v>
      </c>
      <c r="H20" s="14" t="n">
        <v>0.08210000000000001</v>
      </c>
      <c r="I20" s="15">
        <f>IFERROR(C20/D20,"")</f>
        <v/>
      </c>
      <c r="J20" s="8">
        <f>IFERROR(D20/C20,"")</f>
        <v/>
      </c>
      <c r="K20" s="8">
        <f>IFERROR(E20/C20,"")</f>
        <v/>
      </c>
      <c r="L20" s="8">
        <f>IFERROR(F20-G20,"")</f>
        <v/>
      </c>
      <c r="M20" s="8">
        <f>IFERROR(J20-F20,"")</f>
        <v/>
      </c>
      <c r="N20" s="8">
        <f>IFERROR(J20-L20,"")</f>
        <v/>
      </c>
      <c r="O20" s="8">
        <f>IFERROR(J20-H20,"")</f>
        <v/>
      </c>
      <c r="P20" s="8">
        <f>IFERROR(K20-F20,"")</f>
        <v/>
      </c>
      <c r="Q20" s="6" t="n">
        <v>0.8372093023255814</v>
      </c>
      <c r="R20" s="6" t="n">
        <v>0.4767441860465116</v>
      </c>
      <c r="S20" s="6" t="n">
        <v>0.4069767441860465</v>
      </c>
      <c r="T20" s="6" t="n">
        <v>0.6627906976744186</v>
      </c>
      <c r="U20" s="6" t="n">
        <v>0.4210526315789473</v>
      </c>
      <c r="V20" s="6" t="n">
        <v>0.3421052631578947</v>
      </c>
      <c r="W20" s="6" t="n"/>
      <c r="X20" s="6" t="n">
        <v>0.5244798041615667</v>
      </c>
      <c r="Y20" s="3">
        <f>IF(X20="","",IF(X20&gt;='Léeme'!$B$6,"barato",IF(X20&lt;'Léeme'!$B$7,"caro","medio")))</f>
        <v/>
      </c>
      <c r="Z20" s="10" t="n">
        <v>0.2476083904538386</v>
      </c>
      <c r="AA20" s="10" t="n">
        <v>0.07191560432135113</v>
      </c>
    </row>
    <row r="21">
      <c r="A21" s="3" t="inlineStr">
        <is>
          <t>1996-T4</t>
        </is>
      </c>
      <c r="B21" s="12" t="n">
        <v>35430</v>
      </c>
      <c r="C21" s="13" t="n">
        <v>15.875</v>
      </c>
      <c r="D21" s="13" t="n">
        <v>1.24</v>
      </c>
      <c r="E21" s="13" t="n">
        <v>1.2</v>
      </c>
      <c r="F21" s="14" t="n">
        <v>0.0643</v>
      </c>
      <c r="G21" s="14" t="n">
        <v>0.03253090435914108</v>
      </c>
      <c r="H21" s="14" t="n">
        <v>0.0786</v>
      </c>
      <c r="I21" s="15">
        <f>IFERROR(C21/D21,"")</f>
        <v/>
      </c>
      <c r="J21" s="8">
        <f>IFERROR(D21/C21,"")</f>
        <v/>
      </c>
      <c r="K21" s="8">
        <f>IFERROR(E21/C21,"")</f>
        <v/>
      </c>
      <c r="L21" s="8">
        <f>IFERROR(F21-G21,"")</f>
        <v/>
      </c>
      <c r="M21" s="8">
        <f>IFERROR(J21-F21,"")</f>
        <v/>
      </c>
      <c r="N21" s="8">
        <f>IFERROR(J21-L21,"")</f>
        <v/>
      </c>
      <c r="O21" s="8">
        <f>IFERROR(J21-H21,"")</f>
        <v/>
      </c>
      <c r="P21" s="8">
        <f>IFERROR(K21-F21,"")</f>
        <v/>
      </c>
      <c r="Q21" s="6" t="n">
        <v>0.1413043478260869</v>
      </c>
      <c r="R21" s="6" t="n">
        <v>0.2717391304347826</v>
      </c>
      <c r="S21" s="6" t="n">
        <v>0.2934782608695652</v>
      </c>
      <c r="T21" s="6" t="n">
        <v>0.2717391304347826</v>
      </c>
      <c r="U21" s="6" t="n">
        <v>0.008333333333333333</v>
      </c>
      <c r="V21" s="6" t="n">
        <v>0.075</v>
      </c>
      <c r="W21" s="6" t="n"/>
      <c r="X21" s="6" t="n">
        <v>0.1769323671497585</v>
      </c>
      <c r="Y21" s="3">
        <f>IF(X21="","",IF(X21&gt;='Léeme'!$B$6,"barato",IF(X21&lt;'Léeme'!$B$7,"caro","medio")))</f>
        <v/>
      </c>
      <c r="Z21" s="10" t="n">
        <v>0.1977325158621022</v>
      </c>
      <c r="AA21" s="10" t="n">
        <v>0.03603097285080814</v>
      </c>
    </row>
    <row r="22">
      <c r="A22" s="3" t="inlineStr">
        <is>
          <t>1997-T1</t>
        </is>
      </c>
      <c r="B22" s="12" t="n">
        <v>35520</v>
      </c>
      <c r="C22" s="13" t="n">
        <v>14.75</v>
      </c>
      <c r="D22" s="13" t="n">
        <v>1.34</v>
      </c>
      <c r="E22" s="13" t="n">
        <v>1.2</v>
      </c>
      <c r="F22" s="14" t="n">
        <v>0.0692</v>
      </c>
      <c r="G22" s="14" t="n">
        <v>0.03032258064516125</v>
      </c>
      <c r="H22" s="14" t="n">
        <v>0.0832</v>
      </c>
      <c r="I22" s="15">
        <f>IFERROR(C22/D22,"")</f>
        <v/>
      </c>
      <c r="J22" s="8">
        <f>IFERROR(D22/C22,"")</f>
        <v/>
      </c>
      <c r="K22" s="8">
        <f>IFERROR(E22/C22,"")</f>
        <v/>
      </c>
      <c r="L22" s="8">
        <f>IFERROR(F22-G22,"")</f>
        <v/>
      </c>
      <c r="M22" s="8">
        <f>IFERROR(J22-F22,"")</f>
        <v/>
      </c>
      <c r="N22" s="8">
        <f>IFERROR(J22-L22,"")</f>
        <v/>
      </c>
      <c r="O22" s="8">
        <f>IFERROR(J22-H22,"")</f>
        <v/>
      </c>
      <c r="P22" s="8">
        <f>IFERROR(K22-F22,"")</f>
        <v/>
      </c>
      <c r="Q22" s="6" t="n">
        <v>0.7653061224489796</v>
      </c>
      <c r="R22" s="6" t="n">
        <v>0.3775510204081632</v>
      </c>
      <c r="S22" s="6" t="n">
        <v>0.4387755102040816</v>
      </c>
      <c r="T22" s="6" t="n">
        <v>0.5816326530612245</v>
      </c>
      <c r="U22" s="6" t="n">
        <v>0.246031746031746</v>
      </c>
      <c r="V22" s="6" t="n">
        <v>0.119047619047619</v>
      </c>
      <c r="W22" s="6" t="n"/>
      <c r="X22" s="6" t="n">
        <v>0.4213907785336357</v>
      </c>
      <c r="Y22" s="3">
        <f>IF(X22="","",IF(X22&gt;='Léeme'!$B$6,"barato",IF(X22&lt;'Léeme'!$B$7,"caro","medio")))</f>
        <v/>
      </c>
      <c r="Z22" s="10" t="n">
        <v>0.2689956842748316</v>
      </c>
      <c r="AA22" s="10" t="n">
        <v>0.06723880718303943</v>
      </c>
    </row>
    <row r="23">
      <c r="A23" s="3" t="inlineStr">
        <is>
          <t>1997-T2</t>
        </is>
      </c>
      <c r="B23" s="12" t="n">
        <v>35611</v>
      </c>
      <c r="C23" s="13" t="n">
        <v>15.3125</v>
      </c>
      <c r="D23" s="13" t="n">
        <v>1.34</v>
      </c>
      <c r="E23" s="13" t="n">
        <v>1.2</v>
      </c>
      <c r="F23" s="14" t="n">
        <v>0.06509999999999999</v>
      </c>
      <c r="G23" s="14" t="n">
        <v>0.02237851662404089</v>
      </c>
      <c r="H23" s="14" t="n">
        <v>0.07969999999999999</v>
      </c>
      <c r="I23" s="15">
        <f>IFERROR(C23/D23,"")</f>
        <v/>
      </c>
      <c r="J23" s="8">
        <f>IFERROR(D23/C23,"")</f>
        <v/>
      </c>
      <c r="K23" s="8">
        <f>IFERROR(E23/C23,"")</f>
        <v/>
      </c>
      <c r="L23" s="8">
        <f>IFERROR(F23-G23,"")</f>
        <v/>
      </c>
      <c r="M23" s="8">
        <f>IFERROR(J23-F23,"")</f>
        <v/>
      </c>
      <c r="N23" s="8">
        <f>IFERROR(J23-L23,"")</f>
        <v/>
      </c>
      <c r="O23" s="8">
        <f>IFERROR(J23-H23,"")</f>
        <v/>
      </c>
      <c r="P23" s="8">
        <f>IFERROR(K23-F23,"")</f>
        <v/>
      </c>
      <c r="Q23" s="6" t="n">
        <v>0.5288461538461539</v>
      </c>
      <c r="R23" s="6" t="n">
        <v>0.3942307692307692</v>
      </c>
      <c r="S23" s="6" t="n">
        <v>0.2403846153846154</v>
      </c>
      <c r="T23" s="6" t="n">
        <v>0.5865384615384616</v>
      </c>
      <c r="U23" s="6" t="n">
        <v>0.09848484848484848</v>
      </c>
      <c r="V23" s="6" t="n">
        <v>0.1590909090909091</v>
      </c>
      <c r="W23" s="6" t="n"/>
      <c r="X23" s="6" t="n">
        <v>0.3345959595959596</v>
      </c>
      <c r="Y23" s="3">
        <f>IF(X23="","",IF(X23&gt;='Léeme'!$B$6,"barato",IF(X23&lt;'Léeme'!$B$7,"caro","medio")))</f>
        <v/>
      </c>
      <c r="Z23" s="10" t="n">
        <v>0.1214378322760346</v>
      </c>
      <c r="AA23" s="10" t="n">
        <v>0.08876754673718357</v>
      </c>
    </row>
    <row r="24">
      <c r="A24" s="3" t="inlineStr">
        <is>
          <t>1997-T3</t>
        </is>
      </c>
      <c r="B24" s="12" t="n">
        <v>35703</v>
      </c>
      <c r="C24" s="13" t="n">
        <v>15.9375</v>
      </c>
      <c r="D24" s="13" t="n">
        <v>1.34</v>
      </c>
      <c r="E24" s="13" t="n">
        <v>1.2</v>
      </c>
      <c r="F24" s="14" t="n">
        <v>0.0612</v>
      </c>
      <c r="G24" s="14" t="n">
        <v>0.02290076335877878</v>
      </c>
      <c r="H24" s="14" t="n">
        <v>0.0764</v>
      </c>
      <c r="I24" s="15">
        <f>IFERROR(C24/D24,"")</f>
        <v/>
      </c>
      <c r="J24" s="8">
        <f>IFERROR(D24/C24,"")</f>
        <v/>
      </c>
      <c r="K24" s="8">
        <f>IFERROR(E24/C24,"")</f>
        <v/>
      </c>
      <c r="L24" s="8">
        <f>IFERROR(F24-G24,"")</f>
        <v/>
      </c>
      <c r="M24" s="8">
        <f>IFERROR(J24-F24,"")</f>
        <v/>
      </c>
      <c r="N24" s="8">
        <f>IFERROR(J24-L24,"")</f>
        <v/>
      </c>
      <c r="O24" s="8">
        <f>IFERROR(J24-H24,"")</f>
        <v/>
      </c>
      <c r="P24" s="8">
        <f>IFERROR(K24-F24,"")</f>
        <v/>
      </c>
      <c r="Q24" s="6" t="n">
        <v>0.3</v>
      </c>
      <c r="R24" s="6" t="n">
        <v>0.4454545454545454</v>
      </c>
      <c r="S24" s="6" t="n">
        <v>0.2818181818181818</v>
      </c>
      <c r="T24" s="6" t="n">
        <v>0.5727272727272728</v>
      </c>
      <c r="U24" s="6" t="n">
        <v>0.007246376811594203</v>
      </c>
      <c r="V24" s="6" t="n">
        <v>0.1956521739130435</v>
      </c>
      <c r="W24" s="6" t="n"/>
      <c r="X24" s="6" t="n">
        <v>0.3004830917874396</v>
      </c>
      <c r="Y24" s="3">
        <f>IF(X24="","",IF(X24&gt;='Léeme'!$B$6,"barato",IF(X24&lt;'Léeme'!$B$7,"caro","medio")))</f>
        <v/>
      </c>
      <c r="Z24" s="10" t="n">
        <v>-0.02647393849109581</v>
      </c>
      <c r="AA24" s="10" t="n">
        <v>0.08174101028082648</v>
      </c>
    </row>
    <row r="25">
      <c r="A25" s="3" t="inlineStr">
        <is>
          <t>1997-T4</t>
        </is>
      </c>
      <c r="B25" s="12" t="n">
        <v>35795</v>
      </c>
      <c r="C25" s="13" t="n">
        <v>17.875</v>
      </c>
      <c r="D25" s="13" t="n">
        <v>1.34</v>
      </c>
      <c r="E25" s="13" t="n">
        <v>1.2</v>
      </c>
      <c r="F25" s="14" t="n">
        <v>0.0575</v>
      </c>
      <c r="G25" s="14" t="n">
        <v>0.01890359168241962</v>
      </c>
      <c r="H25" s="14" t="n">
        <v>0.0732</v>
      </c>
      <c r="I25" s="15">
        <f>IFERROR(C25/D25,"")</f>
        <v/>
      </c>
      <c r="J25" s="8">
        <f>IFERROR(D25/C25,"")</f>
        <v/>
      </c>
      <c r="K25" s="8">
        <f>IFERROR(E25/C25,"")</f>
        <v/>
      </c>
      <c r="L25" s="8">
        <f>IFERROR(F25-G25,"")</f>
        <v/>
      </c>
      <c r="M25" s="8">
        <f>IFERROR(J25-F25,"")</f>
        <v/>
      </c>
      <c r="N25" s="8">
        <f>IFERROR(J25-L25,"")</f>
        <v/>
      </c>
      <c r="O25" s="8">
        <f>IFERROR(J25-H25,"")</f>
        <v/>
      </c>
      <c r="P25" s="8">
        <f>IFERROR(K25-F25,"")</f>
        <v/>
      </c>
      <c r="Q25" s="6" t="n">
        <v>0.008620689655172414</v>
      </c>
      <c r="R25" s="6" t="n">
        <v>0.25</v>
      </c>
      <c r="S25" s="6" t="n">
        <v>0.146551724137931</v>
      </c>
      <c r="T25" s="6" t="n">
        <v>0.2844827586206897</v>
      </c>
      <c r="U25" s="6" t="n">
        <v>0.006944444444444444</v>
      </c>
      <c r="V25" s="6" t="n">
        <v>0.03472222222222222</v>
      </c>
      <c r="W25" s="6" t="n"/>
      <c r="X25" s="6" t="n">
        <v>0.1218869731800766</v>
      </c>
      <c r="Y25" s="3">
        <f>IF(X25="","",IF(X25&gt;='Léeme'!$B$6,"barato",IF(X25&lt;'Léeme'!$B$7,"caro","medio")))</f>
        <v/>
      </c>
      <c r="Z25" s="10" t="n">
        <v>-0.2120524069346351</v>
      </c>
      <c r="AA25" s="10" t="n">
        <v>0.04692615129353395</v>
      </c>
    </row>
    <row r="26">
      <c r="A26" s="3" t="inlineStr">
        <is>
          <t>1998-T1</t>
        </is>
      </c>
      <c r="B26" s="12" t="n">
        <v>35885</v>
      </c>
      <c r="C26" s="13" t="n">
        <v>17.625</v>
      </c>
      <c r="D26" s="13" t="n">
        <v>1.4132</v>
      </c>
      <c r="E26" s="13" t="n">
        <v>1.2</v>
      </c>
      <c r="F26" s="14" t="n">
        <v>0.0567</v>
      </c>
      <c r="G26" s="14" t="n">
        <v>0.01440200375704448</v>
      </c>
      <c r="H26" s="14" t="n">
        <v>0.0736</v>
      </c>
      <c r="I26" s="15">
        <f>IFERROR(C26/D26,"")</f>
        <v/>
      </c>
      <c r="J26" s="8">
        <f>IFERROR(D26/C26,"")</f>
        <v/>
      </c>
      <c r="K26" s="8">
        <f>IFERROR(E26/C26,"")</f>
        <v/>
      </c>
      <c r="L26" s="8">
        <f>IFERROR(F26-G26,"")</f>
        <v/>
      </c>
      <c r="M26" s="8">
        <f>IFERROR(J26-F26,"")</f>
        <v/>
      </c>
      <c r="N26" s="8">
        <f>IFERROR(J26-L26,"")</f>
        <v/>
      </c>
      <c r="O26" s="8">
        <f>IFERROR(J26-H26,"")</f>
        <v/>
      </c>
      <c r="P26" s="8">
        <f>IFERROR(K26-F26,"")</f>
        <v/>
      </c>
      <c r="Q26" s="6" t="n">
        <v>0.2049180327868853</v>
      </c>
      <c r="R26" s="6" t="n">
        <v>0.4836065573770492</v>
      </c>
      <c r="S26" s="6" t="n">
        <v>0.1885245901639344</v>
      </c>
      <c r="T26" s="6" t="n">
        <v>0.4672131147540984</v>
      </c>
      <c r="U26" s="6" t="n">
        <v>0.02</v>
      </c>
      <c r="V26" s="6" t="n">
        <v>0.1133333333333333</v>
      </c>
      <c r="W26" s="6" t="n"/>
      <c r="X26" s="6" t="n">
        <v>0.2462659380692167</v>
      </c>
      <c r="Y26" s="3">
        <f>IF(X26="","",IF(X26&gt;='Léeme'!$B$6,"barato",IF(X26&lt;'Léeme'!$B$7,"caro","medio")))</f>
        <v/>
      </c>
      <c r="Z26" s="10" t="n">
        <v>-0.3221687046735244</v>
      </c>
      <c r="AA26" s="10" t="n">
        <v>0.0474345449993665</v>
      </c>
    </row>
    <row r="27">
      <c r="A27" s="3" t="inlineStr">
        <is>
          <t>1998-T2</t>
        </is>
      </c>
      <c r="B27" s="12" t="n">
        <v>35976</v>
      </c>
      <c r="C27" s="13" t="n">
        <v>16.1875</v>
      </c>
      <c r="D27" s="13" t="n">
        <v>1.4132</v>
      </c>
      <c r="E27" s="13" t="n">
        <v>1.24</v>
      </c>
      <c r="F27" s="14" t="n">
        <v>0.0544</v>
      </c>
      <c r="G27" s="14" t="n">
        <v>0.01688555347091936</v>
      </c>
      <c r="H27" s="14" t="n">
        <v>0.0713</v>
      </c>
      <c r="I27" s="15">
        <f>IFERROR(C27/D27,"")</f>
        <v/>
      </c>
      <c r="J27" s="8">
        <f>IFERROR(D27/C27,"")</f>
        <v/>
      </c>
      <c r="K27" s="8">
        <f>IFERROR(E27/C27,"")</f>
        <v/>
      </c>
      <c r="L27" s="8">
        <f>IFERROR(F27-G27,"")</f>
        <v/>
      </c>
      <c r="M27" s="8">
        <f>IFERROR(J27-F27,"")</f>
        <v/>
      </c>
      <c r="N27" s="8">
        <f>IFERROR(J27-L27,"")</f>
        <v/>
      </c>
      <c r="O27" s="8">
        <f>IFERROR(J27-H27,"")</f>
        <v/>
      </c>
      <c r="P27" s="8">
        <f>IFERROR(K27-F27,"")</f>
        <v/>
      </c>
      <c r="Q27" s="6" t="n">
        <v>0.5859375</v>
      </c>
      <c r="R27" s="6" t="n">
        <v>0.9609375</v>
      </c>
      <c r="S27" s="6" t="n">
        <v>0.4609375</v>
      </c>
      <c r="T27" s="6" t="n">
        <v>0.9765625</v>
      </c>
      <c r="U27" s="6" t="n">
        <v>0.1602564102564103</v>
      </c>
      <c r="V27" s="6" t="n">
        <v>0.5448717948717948</v>
      </c>
      <c r="W27" s="6" t="n"/>
      <c r="X27" s="6" t="n">
        <v>0.6149172008547008</v>
      </c>
      <c r="Y27" s="3">
        <f>IF(X27="","",IF(X27&gt;='Léeme'!$B$6,"barato",IF(X27&lt;'Léeme'!$B$7,"caro","medio")))</f>
        <v/>
      </c>
      <c r="Z27" s="10" t="n">
        <v>-0.1475153138003994</v>
      </c>
      <c r="AA27" s="10" t="n">
        <v>0.09414975709670492</v>
      </c>
    </row>
    <row r="28">
      <c r="A28" s="3" t="inlineStr">
        <is>
          <t>1998-T3</t>
        </is>
      </c>
      <c r="B28" s="12" t="n">
        <v>36068</v>
      </c>
      <c r="C28" s="13" t="n">
        <v>14.625</v>
      </c>
      <c r="D28" s="13" t="n">
        <v>1.4132</v>
      </c>
      <c r="E28" s="13" t="n">
        <v>1.24</v>
      </c>
      <c r="F28" s="14" t="n">
        <v>0.0444</v>
      </c>
      <c r="G28" s="14" t="n">
        <v>0.01616915422885579</v>
      </c>
      <c r="H28" s="14" t="n">
        <v>0.0709</v>
      </c>
      <c r="I28" s="15">
        <f>IFERROR(C28/D28,"")</f>
        <v/>
      </c>
      <c r="J28" s="8">
        <f>IFERROR(D28/C28,"")</f>
        <v/>
      </c>
      <c r="K28" s="8">
        <f>IFERROR(E28/C28,"")</f>
        <v/>
      </c>
      <c r="L28" s="8">
        <f>IFERROR(F28-G28,"")</f>
        <v/>
      </c>
      <c r="M28" s="8">
        <f>IFERROR(J28-F28,"")</f>
        <v/>
      </c>
      <c r="N28" s="8">
        <f>IFERROR(J28-L28,"")</f>
        <v/>
      </c>
      <c r="O28" s="8">
        <f>IFERROR(J28-H28,"")</f>
        <v/>
      </c>
      <c r="P28" s="8">
        <f>IFERROR(K28-F28,"")</f>
        <v/>
      </c>
      <c r="Q28" s="6" t="n">
        <v>0.9776119402985075</v>
      </c>
      <c r="R28" s="6" t="n">
        <v>0.9776119402985075</v>
      </c>
      <c r="S28" s="6" t="n">
        <v>0.9776119402985075</v>
      </c>
      <c r="T28" s="6" t="n">
        <v>0.9776119402985075</v>
      </c>
      <c r="U28" s="6" t="n">
        <v>0.5</v>
      </c>
      <c r="V28" s="6" t="n">
        <v>0.9567901234567902</v>
      </c>
      <c r="W28" s="6" t="n"/>
      <c r="X28" s="6" t="n">
        <v>0.8945396474418034</v>
      </c>
      <c r="Y28" s="3">
        <f>IF(X28="","",IF(X28&gt;='Léeme'!$B$6,"barato",IF(X28&lt;'Léeme'!$B$7,"caro","medio")))</f>
        <v/>
      </c>
      <c r="Z28" s="10" t="n">
        <v>-0.2168293010005098</v>
      </c>
      <c r="AA28" s="10" t="n">
        <v>0.1135517852599248</v>
      </c>
    </row>
    <row r="29">
      <c r="A29" s="3" t="inlineStr">
        <is>
          <t>1998-T4</t>
        </is>
      </c>
      <c r="B29" s="12" t="n">
        <v>36160</v>
      </c>
      <c r="C29" s="13" t="n">
        <v>13.25</v>
      </c>
      <c r="D29" s="13" t="n">
        <v>1.4132</v>
      </c>
      <c r="E29" s="13" t="n">
        <v>1.24</v>
      </c>
      <c r="F29" s="14" t="n">
        <v>0.04650000000000001</v>
      </c>
      <c r="G29" s="14" t="n">
        <v>0.01484230055658631</v>
      </c>
      <c r="H29" s="14" t="n">
        <v>0.0726</v>
      </c>
      <c r="I29" s="15">
        <f>IFERROR(C29/D29,"")</f>
        <v/>
      </c>
      <c r="J29" s="8">
        <f>IFERROR(D29/C29,"")</f>
        <v/>
      </c>
      <c r="K29" s="8">
        <f>IFERROR(E29/C29,"")</f>
        <v/>
      </c>
      <c r="L29" s="8">
        <f>IFERROR(F29-G29,"")</f>
        <v/>
      </c>
      <c r="M29" s="8">
        <f>IFERROR(J29-F29,"")</f>
        <v/>
      </c>
      <c r="N29" s="8">
        <f>IFERROR(J29-L29,"")</f>
        <v/>
      </c>
      <c r="O29" s="8">
        <f>IFERROR(J29-H29,"")</f>
        <v/>
      </c>
      <c r="P29" s="8">
        <f>IFERROR(K29-F29,"")</f>
        <v/>
      </c>
      <c r="Q29" s="6" t="n">
        <v>0.9785714285714285</v>
      </c>
      <c r="R29" s="6" t="n">
        <v>0.9928571428571429</v>
      </c>
      <c r="S29" s="6" t="n">
        <v>0.9928571428571429</v>
      </c>
      <c r="T29" s="6" t="n">
        <v>0.9785714285714285</v>
      </c>
      <c r="U29" s="6" t="n">
        <v>0.7797619047619048</v>
      </c>
      <c r="V29" s="6" t="n">
        <v>0.9940476190476191</v>
      </c>
      <c r="W29" s="6" t="n"/>
      <c r="X29" s="6" t="n">
        <v>0.9527777777777778</v>
      </c>
      <c r="Y29" s="3">
        <f>IF(X29="","",IF(X29&gt;='Léeme'!$B$6,"barato",IF(X29&lt;'Léeme'!$B$7,"caro","medio")))</f>
        <v/>
      </c>
      <c r="Z29" s="10" t="n">
        <v>-0.1870922501069239</v>
      </c>
      <c r="AA29" s="10" t="n">
        <v>0.1453649550510927</v>
      </c>
    </row>
    <row r="30">
      <c r="A30" s="3" t="inlineStr">
        <is>
          <t>1999-T1</t>
        </is>
      </c>
      <c r="B30" s="12" t="n">
        <v>36250</v>
      </c>
      <c r="C30" s="13" t="n">
        <v>11.1875</v>
      </c>
      <c r="D30" s="13" t="n">
        <v>1.4463</v>
      </c>
      <c r="E30" s="13" t="n">
        <v>1.24</v>
      </c>
      <c r="F30" s="14" t="n">
        <v>0.0525</v>
      </c>
      <c r="G30" s="14" t="n">
        <v>0.01666666666666661</v>
      </c>
      <c r="H30" s="14" t="n">
        <v>0.07530000000000001</v>
      </c>
      <c r="I30" s="15">
        <f>IFERROR(C30/D30,"")</f>
        <v/>
      </c>
      <c r="J30" s="8">
        <f>IFERROR(D30/C30,"")</f>
        <v/>
      </c>
      <c r="K30" s="8">
        <f>IFERROR(E30/C30,"")</f>
        <v/>
      </c>
      <c r="L30" s="8">
        <f>IFERROR(F30-G30,"")</f>
        <v/>
      </c>
      <c r="M30" s="8">
        <f>IFERROR(J30-F30,"")</f>
        <v/>
      </c>
      <c r="N30" s="8">
        <f>IFERROR(J30-L30,"")</f>
        <v/>
      </c>
      <c r="O30" s="8">
        <f>IFERROR(J30-H30,"")</f>
        <v/>
      </c>
      <c r="P30" s="8">
        <f>IFERROR(K30-F30,"")</f>
        <v/>
      </c>
      <c r="Q30" s="6" t="n">
        <v>0.9931506849315068</v>
      </c>
      <c r="R30" s="6" t="n">
        <v>0.9931506849315068</v>
      </c>
      <c r="S30" s="6" t="n">
        <v>0.9931506849315068</v>
      </c>
      <c r="T30" s="6" t="n">
        <v>0.9931506849315068</v>
      </c>
      <c r="U30" s="6" t="n">
        <v>0.9712643678160919</v>
      </c>
      <c r="V30" s="6" t="n">
        <v>0.9942528735632183</v>
      </c>
      <c r="W30" s="6" t="n">
        <v>0.9864864864864865</v>
      </c>
      <c r="X30" s="6" t="n">
        <v>0.9892294953702606</v>
      </c>
      <c r="Y30" s="3">
        <f>IF(X30="","",IF(X30&gt;='Léeme'!$B$6,"barato",IF(X30&lt;'Léeme'!$B$7,"caro","medio")))</f>
        <v/>
      </c>
      <c r="Z30" s="10" t="n">
        <v>0.01699867894353435</v>
      </c>
      <c r="AA30" s="10" t="n">
        <v>0.2087101214852933</v>
      </c>
    </row>
    <row r="31">
      <c r="A31" s="3" t="inlineStr">
        <is>
          <t>1999-T2</t>
        </is>
      </c>
      <c r="B31" s="12" t="n">
        <v>36341</v>
      </c>
      <c r="C31" s="13" t="n">
        <v>12.875</v>
      </c>
      <c r="D31" s="13" t="n">
        <v>1.4463</v>
      </c>
      <c r="E31" s="13" t="n">
        <v>1.24</v>
      </c>
      <c r="F31" s="14" t="n">
        <v>0.0581</v>
      </c>
      <c r="G31" s="14" t="n">
        <v>0.02091020910209096</v>
      </c>
      <c r="H31" s="14" t="n">
        <v>0.0805</v>
      </c>
      <c r="I31" s="15">
        <f>IFERROR(C31/D31,"")</f>
        <v/>
      </c>
      <c r="J31" s="8">
        <f>IFERROR(D31/C31,"")</f>
        <v/>
      </c>
      <c r="K31" s="8">
        <f>IFERROR(E31/C31,"")</f>
        <v/>
      </c>
      <c r="L31" s="8">
        <f>IFERROR(F31-G31,"")</f>
        <v/>
      </c>
      <c r="M31" s="8">
        <f>IFERROR(J31-F31,"")</f>
        <v/>
      </c>
      <c r="N31" s="8">
        <f>IFERROR(J31-L31,"")</f>
        <v/>
      </c>
      <c r="O31" s="8">
        <f>IFERROR(J31-H31,"")</f>
        <v/>
      </c>
      <c r="P31" s="8">
        <f>IFERROR(K31-F31,"")</f>
        <v/>
      </c>
      <c r="Q31" s="6" t="n">
        <v>0.9539473684210527</v>
      </c>
      <c r="R31" s="6" t="n">
        <v>0.9144736842105263</v>
      </c>
      <c r="S31" s="6" t="n">
        <v>0.9276315789473685</v>
      </c>
      <c r="T31" s="6" t="n">
        <v>0.9144736842105263</v>
      </c>
      <c r="U31" s="6" t="n">
        <v>0.8722222222222222</v>
      </c>
      <c r="V31" s="6" t="n">
        <v>0.8833333333333333</v>
      </c>
      <c r="W31" s="6" t="n">
        <v>0.9125</v>
      </c>
      <c r="X31" s="6" t="n">
        <v>0.9112259816207183</v>
      </c>
      <c r="Y31" s="3">
        <f>IF(X31="","",IF(X31&gt;='Léeme'!$B$6,"barato",IF(X31&lt;'Léeme'!$B$7,"caro","medio")))</f>
        <v/>
      </c>
      <c r="Z31" s="10" t="n">
        <v>-0.1062666991632194</v>
      </c>
      <c r="AA31" s="10" t="n">
        <v>0.1423380168561303</v>
      </c>
    </row>
    <row r="32">
      <c r="A32" s="3" t="inlineStr">
        <is>
          <t>1999-T3</t>
        </is>
      </c>
      <c r="B32" s="12" t="n">
        <v>36433</v>
      </c>
      <c r="C32" s="13" t="n">
        <v>10.625</v>
      </c>
      <c r="D32" s="13" t="n">
        <v>1.4463</v>
      </c>
      <c r="E32" s="13" t="n">
        <v>1.24</v>
      </c>
      <c r="F32" s="14" t="n">
        <v>0.059</v>
      </c>
      <c r="G32" s="14" t="n">
        <v>0.0226438188494491</v>
      </c>
      <c r="H32" s="14" t="n">
        <v>0.0828</v>
      </c>
      <c r="I32" s="15">
        <f>IFERROR(C32/D32,"")</f>
        <v/>
      </c>
      <c r="J32" s="8">
        <f>IFERROR(D32/C32,"")</f>
        <v/>
      </c>
      <c r="K32" s="8">
        <f>IFERROR(E32/C32,"")</f>
        <v/>
      </c>
      <c r="L32" s="8">
        <f>IFERROR(F32-G32,"")</f>
        <v/>
      </c>
      <c r="M32" s="8">
        <f>IFERROR(J32-F32,"")</f>
        <v/>
      </c>
      <c r="N32" s="8">
        <f>IFERROR(J32-L32,"")</f>
        <v/>
      </c>
      <c r="O32" s="8">
        <f>IFERROR(J32-H32,"")</f>
        <v/>
      </c>
      <c r="P32" s="8">
        <f>IFERROR(K32-F32,"")</f>
        <v/>
      </c>
      <c r="Q32" s="6" t="n">
        <v>0.9936708860759493</v>
      </c>
      <c r="R32" s="6" t="n">
        <v>0.9936708860759493</v>
      </c>
      <c r="S32" s="6" t="n">
        <v>0.9936708860759493</v>
      </c>
      <c r="T32" s="6" t="n">
        <v>0.9810126582278481</v>
      </c>
      <c r="U32" s="6" t="n">
        <v>0.9946236559139785</v>
      </c>
      <c r="V32" s="6" t="n">
        <v>0.9838709677419355</v>
      </c>
      <c r="W32" s="6" t="n">
        <v>0.9883720930232558</v>
      </c>
      <c r="X32" s="6" t="n">
        <v>0.9898417190192665</v>
      </c>
      <c r="Y32" s="3">
        <f>IF(X32="","",IF(X32&gt;='Léeme'!$B$6,"barato",IF(X32&lt;'Léeme'!$B$7,"caro","medio")))</f>
        <v/>
      </c>
      <c r="Z32" s="10" t="n">
        <v>0.07039019158885784</v>
      </c>
      <c r="AA32" s="10" t="n">
        <v>0.1993285467393355</v>
      </c>
    </row>
    <row r="33">
      <c r="A33" s="3" t="inlineStr">
        <is>
          <t>1999-T4</t>
        </is>
      </c>
      <c r="B33" s="12" t="n">
        <v>36525</v>
      </c>
      <c r="C33" s="13" t="n">
        <v>9.9375</v>
      </c>
      <c r="D33" s="13" t="n">
        <v>1.4463</v>
      </c>
      <c r="E33" s="13" t="n">
        <v>1.24</v>
      </c>
      <c r="F33" s="14" t="n">
        <v>0.0645</v>
      </c>
      <c r="G33" s="14" t="n">
        <v>0.02620353443022561</v>
      </c>
      <c r="H33" s="14" t="n">
        <v>0.0823</v>
      </c>
      <c r="I33" s="15">
        <f>IFERROR(C33/D33,"")</f>
        <v/>
      </c>
      <c r="J33" s="8">
        <f>IFERROR(D33/C33,"")</f>
        <v/>
      </c>
      <c r="K33" s="8">
        <f>IFERROR(E33/C33,"")</f>
        <v/>
      </c>
      <c r="L33" s="8">
        <f>IFERROR(F33-G33,"")</f>
        <v/>
      </c>
      <c r="M33" s="8">
        <f>IFERROR(J33-F33,"")</f>
        <v/>
      </c>
      <c r="N33" s="8">
        <f>IFERROR(J33-L33,"")</f>
        <v/>
      </c>
      <c r="O33" s="8">
        <f>IFERROR(J33-H33,"")</f>
        <v/>
      </c>
      <c r="P33" s="8">
        <f>IFERROR(K33-F33,"")</f>
        <v/>
      </c>
      <c r="Q33" s="6" t="n">
        <v>0.9939024390243902</v>
      </c>
      <c r="R33" s="6" t="n">
        <v>0.9939024390243902</v>
      </c>
      <c r="S33" s="6" t="n">
        <v>0.9939024390243902</v>
      </c>
      <c r="T33" s="6" t="n">
        <v>0.9939024390243902</v>
      </c>
      <c r="U33" s="6" t="n">
        <v>0.9947916666666666</v>
      </c>
      <c r="V33" s="6" t="n">
        <v>0.9947916666666666</v>
      </c>
      <c r="W33" s="6" t="n">
        <v>0.9891304347826086</v>
      </c>
      <c r="X33" s="6" t="n">
        <v>0.9934747891733576</v>
      </c>
      <c r="Y33" s="3">
        <f>IF(X33="","",IF(X33&gt;='Léeme'!$B$6,"barato",IF(X33&lt;'Léeme'!$B$7,"caro","medio")))</f>
        <v/>
      </c>
      <c r="Z33" s="10" t="n">
        <v>0.1263075381071006</v>
      </c>
      <c r="AA33" s="10" t="n">
        <v>0.2434767024377924</v>
      </c>
    </row>
    <row r="34">
      <c r="A34" s="3" t="inlineStr">
        <is>
          <t>2000-T1</t>
        </is>
      </c>
      <c r="B34" s="12" t="n">
        <v>36616</v>
      </c>
      <c r="C34" s="13" t="n">
        <v>10.4375</v>
      </c>
      <c r="D34" s="13" t="n">
        <v>1.5142</v>
      </c>
      <c r="E34" s="13" t="n">
        <v>1.24</v>
      </c>
      <c r="F34" s="14" t="n">
        <v>0.0603</v>
      </c>
      <c r="G34" s="14" t="n">
        <v>0.03217972070431085</v>
      </c>
      <c r="H34" s="14" t="n">
        <v>0.08359999999999999</v>
      </c>
      <c r="I34" s="15">
        <f>IFERROR(C34/D34,"")</f>
        <v/>
      </c>
      <c r="J34" s="8">
        <f>IFERROR(D34/C34,"")</f>
        <v/>
      </c>
      <c r="K34" s="8">
        <f>IFERROR(E34/C34,"")</f>
        <v/>
      </c>
      <c r="L34" s="8">
        <f>IFERROR(F34-G34,"")</f>
        <v/>
      </c>
      <c r="M34" s="8">
        <f>IFERROR(J34-F34,"")</f>
        <v/>
      </c>
      <c r="N34" s="8">
        <f>IFERROR(J34-L34,"")</f>
        <v/>
      </c>
      <c r="O34" s="8">
        <f>IFERROR(J34-H34,"")</f>
        <v/>
      </c>
      <c r="P34" s="8">
        <f>IFERROR(K34-F34,"")</f>
        <v/>
      </c>
      <c r="Q34" s="6" t="n">
        <v>0.9823529411764705</v>
      </c>
      <c r="R34" s="6" t="n">
        <v>0.9941176470588236</v>
      </c>
      <c r="S34" s="6" t="n">
        <v>0.9941176470588236</v>
      </c>
      <c r="T34" s="6" t="n">
        <v>0.9823529411764705</v>
      </c>
      <c r="U34" s="6" t="n">
        <v>0.9646464646464646</v>
      </c>
      <c r="V34" s="6" t="n">
        <v>0.9848484848484849</v>
      </c>
      <c r="W34" s="6" t="n">
        <v>0.9693877551020408</v>
      </c>
      <c r="X34" s="6" t="n">
        <v>0.981689125866797</v>
      </c>
      <c r="Y34" s="3">
        <f>IF(X34="","",IF(X34&gt;='Léeme'!$B$6,"barato",IF(X34&lt;'Léeme'!$B$7,"caro","medio")))</f>
        <v/>
      </c>
      <c r="Z34" s="10" t="n">
        <v>0.2387540353986695</v>
      </c>
      <c r="AA34" s="10" t="n">
        <v>0.2020781452559191</v>
      </c>
    </row>
    <row r="35">
      <c r="A35" s="3" t="inlineStr">
        <is>
          <t>2000-T2</t>
        </is>
      </c>
      <c r="B35" s="12" t="n">
        <v>36707</v>
      </c>
      <c r="C35" s="13" t="n">
        <v>10.515625</v>
      </c>
      <c r="D35" s="13" t="n">
        <v>1.5142</v>
      </c>
      <c r="E35" s="13" t="n">
        <v>1.24</v>
      </c>
      <c r="F35" s="14" t="n">
        <v>0.0603</v>
      </c>
      <c r="G35" s="14" t="n">
        <v>0.03132530120481913</v>
      </c>
      <c r="H35" s="14" t="n">
        <v>0.08439999999999999</v>
      </c>
      <c r="I35" s="15">
        <f>IFERROR(C35/D35,"")</f>
        <v/>
      </c>
      <c r="J35" s="8">
        <f>IFERROR(D35/C35,"")</f>
        <v/>
      </c>
      <c r="K35" s="8">
        <f>IFERROR(E35/C35,"")</f>
        <v/>
      </c>
      <c r="L35" s="8">
        <f>IFERROR(F35-G35,"")</f>
        <v/>
      </c>
      <c r="M35" s="8">
        <f>IFERROR(J35-F35,"")</f>
        <v/>
      </c>
      <c r="N35" s="8">
        <f>IFERROR(J35-L35,"")</f>
        <v/>
      </c>
      <c r="O35" s="8">
        <f>IFERROR(J35-H35,"")</f>
        <v/>
      </c>
      <c r="P35" s="8">
        <f>IFERROR(K35-F35,"")</f>
        <v/>
      </c>
      <c r="Q35" s="6" t="n">
        <v>0.9715909090909091</v>
      </c>
      <c r="R35" s="6" t="n">
        <v>0.9829545454545454</v>
      </c>
      <c r="S35" s="6" t="n">
        <v>0.9829545454545454</v>
      </c>
      <c r="T35" s="6" t="n">
        <v>0.9715909090909091</v>
      </c>
      <c r="U35" s="6" t="n">
        <v>0.9558823529411765</v>
      </c>
      <c r="V35" s="6" t="n">
        <v>0.9558823529411765</v>
      </c>
      <c r="W35" s="6" t="n">
        <v>0.9519230769230769</v>
      </c>
      <c r="X35" s="6" t="n">
        <v>0.9675398131280485</v>
      </c>
      <c r="Y35" s="3">
        <f>IF(X35="","",IF(X35&gt;='Léeme'!$B$6,"barato",IF(X35&lt;'Léeme'!$B$7,"caro","medio")))</f>
        <v/>
      </c>
      <c r="Z35" s="10" t="n">
        <v>0.481596938133567</v>
      </c>
      <c r="AA35" s="10" t="n">
        <v>0.2232951913884766</v>
      </c>
    </row>
    <row r="36">
      <c r="A36" s="3" t="inlineStr">
        <is>
          <t>2000-T3</t>
        </is>
      </c>
      <c r="B36" s="12" t="n">
        <v>36798</v>
      </c>
      <c r="C36" s="13" t="n">
        <v>10.375</v>
      </c>
      <c r="D36" s="13" t="n">
        <v>1.5142</v>
      </c>
      <c r="E36" s="13" t="n">
        <v>1.24</v>
      </c>
      <c r="F36" s="14" t="n">
        <v>0.058</v>
      </c>
      <c r="G36" s="14" t="n">
        <v>0.03351286654697772</v>
      </c>
      <c r="H36" s="14" t="n">
        <v>0.0832</v>
      </c>
      <c r="I36" s="15">
        <f>IFERROR(C36/D36,"")</f>
        <v/>
      </c>
      <c r="J36" s="8">
        <f>IFERROR(D36/C36,"")</f>
        <v/>
      </c>
      <c r="K36" s="8">
        <f>IFERROR(E36/C36,"")</f>
        <v/>
      </c>
      <c r="L36" s="8">
        <f>IFERROR(F36-G36,"")</f>
        <v/>
      </c>
      <c r="M36" s="8">
        <f>IFERROR(J36-F36,"")</f>
        <v/>
      </c>
      <c r="N36" s="8">
        <f>IFERROR(J36-L36,"")</f>
        <v/>
      </c>
      <c r="O36" s="8">
        <f>IFERROR(J36-H36,"")</f>
        <v/>
      </c>
      <c r="P36" s="8">
        <f>IFERROR(K36-F36,"")</f>
        <v/>
      </c>
      <c r="Q36" s="6" t="n">
        <v>0.9945054945054945</v>
      </c>
      <c r="R36" s="6" t="n">
        <v>0.9945054945054945</v>
      </c>
      <c r="S36" s="6" t="n">
        <v>0.9835164835164835</v>
      </c>
      <c r="T36" s="6" t="n">
        <v>0.9835164835164835</v>
      </c>
      <c r="U36" s="6" t="n">
        <v>0.9666666666666667</v>
      </c>
      <c r="V36" s="6" t="n">
        <v>0.9952380952380953</v>
      </c>
      <c r="W36" s="6" t="n">
        <v>0.9727272727272728</v>
      </c>
      <c r="X36" s="6" t="n">
        <v>0.9843822843822844</v>
      </c>
      <c r="Y36" s="3">
        <f>IF(X36="","",IF(X36&gt;='Léeme'!$B$6,"barato",IF(X36&lt;'Léeme'!$B$7,"caro","medio")))</f>
        <v/>
      </c>
      <c r="Z36" s="10" t="n">
        <v>0.3898839675862336</v>
      </c>
      <c r="AA36" s="10" t="n">
        <v>0.2182834964955802</v>
      </c>
    </row>
    <row r="37">
      <c r="A37" s="3" t="inlineStr">
        <is>
          <t>2000-T4</t>
        </is>
      </c>
      <c r="B37" s="12" t="n">
        <v>36889</v>
      </c>
      <c r="C37" s="13" t="n">
        <v>10.1875</v>
      </c>
      <c r="D37" s="13" t="n">
        <v>1.5142</v>
      </c>
      <c r="E37" s="13" t="n">
        <v>1.26</v>
      </c>
      <c r="F37" s="14" t="n">
        <v>0.0512</v>
      </c>
      <c r="G37" s="14" t="n">
        <v>0.03444180522565321</v>
      </c>
      <c r="H37" s="14" t="n">
        <v>0.0796</v>
      </c>
      <c r="I37" s="15">
        <f>IFERROR(C37/D37,"")</f>
        <v/>
      </c>
      <c r="J37" s="8">
        <f>IFERROR(D37/C37,"")</f>
        <v/>
      </c>
      <c r="K37" s="8">
        <f>IFERROR(E37/C37,"")</f>
        <v/>
      </c>
      <c r="L37" s="8">
        <f>IFERROR(F37-G37,"")</f>
        <v/>
      </c>
      <c r="M37" s="8">
        <f>IFERROR(J37-F37,"")</f>
        <v/>
      </c>
      <c r="N37" s="8">
        <f>IFERROR(J37-L37,"")</f>
        <v/>
      </c>
      <c r="O37" s="8">
        <f>IFERROR(J37-H37,"")</f>
        <v/>
      </c>
      <c r="P37" s="8">
        <f>IFERROR(K37-F37,"")</f>
        <v/>
      </c>
      <c r="Q37" s="6" t="n">
        <v>0.973404255319149</v>
      </c>
      <c r="R37" s="6" t="n">
        <v>0.9946808510638298</v>
      </c>
      <c r="S37" s="6" t="n">
        <v>0.9946808510638298</v>
      </c>
      <c r="T37" s="6" t="n">
        <v>0.9840425531914894</v>
      </c>
      <c r="U37" s="6" t="n">
        <v>0.9675925925925926</v>
      </c>
      <c r="V37" s="6" t="n">
        <v>0.9953703703703703</v>
      </c>
      <c r="W37" s="6" t="n">
        <v>0.9224137931034483</v>
      </c>
      <c r="X37" s="6" t="n">
        <v>0.9760264666721012</v>
      </c>
      <c r="Y37" s="3">
        <f>IF(X37="","",IF(X37&gt;='Léeme'!$B$6,"barato",IF(X37&lt;'Léeme'!$B$7,"caro","medio")))</f>
        <v/>
      </c>
      <c r="Z37" s="10" t="n">
        <v>0.3888025432643387</v>
      </c>
      <c r="AA37" s="10" t="n">
        <v>0.2274119848003544</v>
      </c>
    </row>
    <row r="38">
      <c r="A38" s="3" t="inlineStr">
        <is>
          <t>2001-T1</t>
        </is>
      </c>
      <c r="B38" s="12" t="n">
        <v>36980</v>
      </c>
      <c r="C38" s="13" t="n">
        <v>11.8</v>
      </c>
      <c r="D38" s="13" t="n">
        <v>1.4453</v>
      </c>
      <c r="E38" s="13" t="n">
        <v>1.26</v>
      </c>
      <c r="F38" s="14" t="n">
        <v>0.0493</v>
      </c>
      <c r="G38" s="14" t="n">
        <v>0.03529411764705892</v>
      </c>
      <c r="H38" s="14" t="n">
        <v>0.08</v>
      </c>
      <c r="I38" s="15">
        <f>IFERROR(C38/D38,"")</f>
        <v/>
      </c>
      <c r="J38" s="8">
        <f>IFERROR(D38/C38,"")</f>
        <v/>
      </c>
      <c r="K38" s="8">
        <f>IFERROR(E38/C38,"")</f>
        <v/>
      </c>
      <c r="L38" s="8">
        <f>IFERROR(F38-G38,"")</f>
        <v/>
      </c>
      <c r="M38" s="8">
        <f>IFERROR(J38-F38,"")</f>
        <v/>
      </c>
      <c r="N38" s="8">
        <f>IFERROR(J38-L38,"")</f>
        <v/>
      </c>
      <c r="O38" s="8">
        <f>IFERROR(J38-H38,"")</f>
        <v/>
      </c>
      <c r="P38" s="8">
        <f>IFERROR(K38-F38,"")</f>
        <v/>
      </c>
      <c r="Q38" s="6" t="n">
        <v>0.7783505154639175</v>
      </c>
      <c r="R38" s="6" t="n">
        <v>0.8195876288659794</v>
      </c>
      <c r="S38" s="6" t="n">
        <v>0.8814432989690721</v>
      </c>
      <c r="T38" s="6" t="n">
        <v>0.7989690721649485</v>
      </c>
      <c r="U38" s="6" t="n">
        <v>0.7522522522522522</v>
      </c>
      <c r="V38" s="6" t="n">
        <v>0.8783783783783784</v>
      </c>
      <c r="W38" s="6" t="n">
        <v>0.6147540983606558</v>
      </c>
      <c r="X38" s="6" t="n">
        <v>0.789105034922172</v>
      </c>
      <c r="Y38" s="3">
        <f>IF(X38="","",IF(X38&gt;='Léeme'!$B$6,"barato",IF(X38&lt;'Léeme'!$B$7,"caro","medio")))</f>
        <v/>
      </c>
      <c r="Z38" s="10" t="n">
        <v>0.2776762189884014</v>
      </c>
      <c r="AA38" s="10" t="n">
        <v>0.2173184511437178</v>
      </c>
    </row>
    <row r="39">
      <c r="A39" s="3" t="inlineStr">
        <is>
          <t>2001-T2</t>
        </is>
      </c>
      <c r="B39" s="12" t="n">
        <v>37071</v>
      </c>
      <c r="C39" s="13" t="n">
        <v>14.25</v>
      </c>
      <c r="D39" s="13" t="n">
        <v>1.4453</v>
      </c>
      <c r="E39" s="13" t="n">
        <v>1.26</v>
      </c>
      <c r="F39" s="14" t="n">
        <v>0.0542</v>
      </c>
      <c r="G39" s="14" t="n">
        <v>0.03563084112149539</v>
      </c>
      <c r="H39" s="14" t="n">
        <v>0.0801</v>
      </c>
      <c r="I39" s="15">
        <f>IFERROR(C39/D39,"")</f>
        <v/>
      </c>
      <c r="J39" s="8">
        <f>IFERROR(D39/C39,"")</f>
        <v/>
      </c>
      <c r="K39" s="8">
        <f>IFERROR(E39/C39,"")</f>
        <v/>
      </c>
      <c r="L39" s="8">
        <f>IFERROR(F39-G39,"")</f>
        <v/>
      </c>
      <c r="M39" s="8">
        <f>IFERROR(J39-F39,"")</f>
        <v/>
      </c>
      <c r="N39" s="8">
        <f>IFERROR(J39-L39,"")</f>
        <v/>
      </c>
      <c r="O39" s="8">
        <f>IFERROR(J39-H39,"")</f>
        <v/>
      </c>
      <c r="P39" s="8">
        <f>IFERROR(K39-F39,"")</f>
        <v/>
      </c>
      <c r="Q39" s="6" t="n">
        <v>0.6850000000000001</v>
      </c>
      <c r="R39" s="6" t="n">
        <v>0.655</v>
      </c>
      <c r="S39" s="6" t="n">
        <v>0.755</v>
      </c>
      <c r="T39" s="6" t="n">
        <v>0.655</v>
      </c>
      <c r="U39" s="6" t="n">
        <v>0.4605263157894737</v>
      </c>
      <c r="V39" s="6" t="n">
        <v>0.6359649122807017</v>
      </c>
      <c r="W39" s="6" t="n">
        <v>0.1015625</v>
      </c>
      <c r="X39" s="6" t="n">
        <v>0.5640076754385964</v>
      </c>
      <c r="Y39" s="3">
        <f>IF(X39="","",IF(X39&gt;='Léeme'!$B$6,"barato",IF(X39&lt;'Léeme'!$B$7,"caro","medio")))</f>
        <v/>
      </c>
      <c r="Z39" s="10" t="n">
        <v>0.2085817577411109</v>
      </c>
      <c r="AA39" s="10" t="n">
        <v>0.1356568578804618</v>
      </c>
    </row>
    <row r="40">
      <c r="A40" s="3" t="inlineStr">
        <is>
          <t>2001-T3</t>
        </is>
      </c>
      <c r="B40" s="12" t="n">
        <v>37162</v>
      </c>
      <c r="C40" s="13" t="n">
        <v>13.25</v>
      </c>
      <c r="D40" s="13" t="n">
        <v>1.4453</v>
      </c>
      <c r="E40" s="13" t="n">
        <v>1.26</v>
      </c>
      <c r="F40" s="14" t="n">
        <v>0.046</v>
      </c>
      <c r="G40" s="14" t="n">
        <v>0.0272148233931675</v>
      </c>
      <c r="H40" s="14" t="n">
        <v>0.0805</v>
      </c>
      <c r="I40" s="15">
        <f>IFERROR(C40/D40,"")</f>
        <v/>
      </c>
      <c r="J40" s="8">
        <f>IFERROR(D40/C40,"")</f>
        <v/>
      </c>
      <c r="K40" s="8">
        <f>IFERROR(E40/C40,"")</f>
        <v/>
      </c>
      <c r="L40" s="8">
        <f>IFERROR(F40-G40,"")</f>
        <v/>
      </c>
      <c r="M40" s="8">
        <f>IFERROR(J40-F40,"")</f>
        <v/>
      </c>
      <c r="N40" s="8">
        <f>IFERROR(J40-L40,"")</f>
        <v/>
      </c>
      <c r="O40" s="8">
        <f>IFERROR(J40-H40,"")</f>
        <v/>
      </c>
      <c r="P40" s="8">
        <f>IFERROR(K40-F40,"")</f>
        <v/>
      </c>
      <c r="Q40" s="6" t="n">
        <v>0.7135922330097088</v>
      </c>
      <c r="R40" s="6" t="n">
        <v>0.7718446601941747</v>
      </c>
      <c r="S40" s="6" t="n">
        <v>0.7815533980582524</v>
      </c>
      <c r="T40" s="6" t="n">
        <v>0.6844660194174758</v>
      </c>
      <c r="U40" s="6" t="n">
        <v>0.6709401709401709</v>
      </c>
      <c r="V40" s="6" t="n">
        <v>0.8333333333333334</v>
      </c>
      <c r="W40" s="6" t="n">
        <v>0.2462686567164179</v>
      </c>
      <c r="X40" s="6" t="n">
        <v>0.6717140673813619</v>
      </c>
      <c r="Y40" s="3">
        <f>IF(X40="","",IF(X40&gt;='Léeme'!$B$6,"barato",IF(X40&lt;'Léeme'!$B$7,"caro","medio")))</f>
        <v/>
      </c>
      <c r="Z40" s="10" t="n">
        <v>0.3123261156231401</v>
      </c>
      <c r="AA40" s="10" t="n">
        <v>0.171457076958208</v>
      </c>
    </row>
    <row r="41">
      <c r="A41" s="3" t="inlineStr">
        <is>
          <t>2001-T4</t>
        </is>
      </c>
      <c r="B41" s="12" t="n">
        <v>37256</v>
      </c>
      <c r="C41" s="13" t="n">
        <v>13</v>
      </c>
      <c r="D41" s="13" t="n">
        <v>1.4453</v>
      </c>
      <c r="E41" s="13" t="n">
        <v>1.26</v>
      </c>
      <c r="F41" s="14" t="n">
        <v>0.0507</v>
      </c>
      <c r="G41" s="14" t="n">
        <v>0.01894374282433997</v>
      </c>
      <c r="H41" s="14" t="n">
        <v>0.08019999999999999</v>
      </c>
      <c r="I41" s="15">
        <f>IFERROR(C41/D41,"")</f>
        <v/>
      </c>
      <c r="J41" s="8">
        <f>IFERROR(D41/C41,"")</f>
        <v/>
      </c>
      <c r="K41" s="8">
        <f>IFERROR(E41/C41,"")</f>
        <v/>
      </c>
      <c r="L41" s="8">
        <f>IFERROR(F41-G41,"")</f>
        <v/>
      </c>
      <c r="M41" s="8">
        <f>IFERROR(J41-F41,"")</f>
        <v/>
      </c>
      <c r="N41" s="8">
        <f>IFERROR(J41-L41,"")</f>
        <v/>
      </c>
      <c r="O41" s="8">
        <f>IFERROR(J41-H41,"")</f>
        <v/>
      </c>
      <c r="P41" s="8">
        <f>IFERROR(K41-F41,"")</f>
        <v/>
      </c>
      <c r="Q41" s="6" t="n">
        <v>0.7264150943396226</v>
      </c>
      <c r="R41" s="6" t="n">
        <v>0.7216981132075472</v>
      </c>
      <c r="S41" s="6" t="n">
        <v>0.7122641509433962</v>
      </c>
      <c r="T41" s="6" t="n">
        <v>0.6839622641509434</v>
      </c>
      <c r="U41" s="6" t="n">
        <v>0.7</v>
      </c>
      <c r="V41" s="6" t="n">
        <v>0.7541666666666667</v>
      </c>
      <c r="W41" s="6" t="n">
        <v>0.2642857142857143</v>
      </c>
      <c r="X41" s="6" t="n">
        <v>0.6518274290848415</v>
      </c>
      <c r="Y41" s="3">
        <f>IF(X41="","",IF(X41&gt;='Léeme'!$B$6,"barato",IF(X41&lt;'Léeme'!$B$7,"caro","medio")))</f>
        <v/>
      </c>
      <c r="Z41" s="10" t="n">
        <v>0.2620494891914975</v>
      </c>
      <c r="AA41" s="10" t="n">
        <v>0.1872673381792158</v>
      </c>
    </row>
    <row r="42">
      <c r="A42" s="3" t="inlineStr">
        <is>
          <t>2002-T1</t>
        </is>
      </c>
      <c r="B42" s="12" t="n">
        <v>37343</v>
      </c>
      <c r="C42" s="13" t="n">
        <v>13.96</v>
      </c>
      <c r="D42" s="13" t="n">
        <v>1.4067</v>
      </c>
      <c r="E42" s="13" t="n">
        <v>1.26</v>
      </c>
      <c r="F42" s="14" t="n">
        <v>0.0542</v>
      </c>
      <c r="G42" s="14" t="n">
        <v>0.01136363636363646</v>
      </c>
      <c r="H42" s="14" t="n">
        <v>0.08160000000000001</v>
      </c>
      <c r="I42" s="15">
        <f>IFERROR(C42/D42,"")</f>
        <v/>
      </c>
      <c r="J42" s="8">
        <f>IFERROR(D42/C42,"")</f>
        <v/>
      </c>
      <c r="K42" s="8">
        <f>IFERROR(E42/C42,"")</f>
        <v/>
      </c>
      <c r="L42" s="8">
        <f>IFERROR(F42-G42,"")</f>
        <v/>
      </c>
      <c r="M42" s="8">
        <f>IFERROR(J42-F42,"")</f>
        <v/>
      </c>
      <c r="N42" s="8">
        <f>IFERROR(J42-L42,"")</f>
        <v/>
      </c>
      <c r="O42" s="8">
        <f>IFERROR(J42-H42,"")</f>
        <v/>
      </c>
      <c r="P42" s="8">
        <f>IFERROR(K42-F42,"")</f>
        <v/>
      </c>
      <c r="Q42" s="6" t="n">
        <v>0.6284403669724771</v>
      </c>
      <c r="R42" s="6" t="n">
        <v>0.6009174311926605</v>
      </c>
      <c r="S42" s="6" t="n">
        <v>0.5458715596330275</v>
      </c>
      <c r="T42" s="6" t="n">
        <v>0.6009174311926605</v>
      </c>
      <c r="U42" s="6" t="n">
        <v>0.491869918699187</v>
      </c>
      <c r="V42" s="6" t="n">
        <v>0.6056910569105691</v>
      </c>
      <c r="W42" s="6" t="n">
        <v>0.04794520547945205</v>
      </c>
      <c r="X42" s="6" t="n">
        <v>0.5030932814400048</v>
      </c>
      <c r="Y42" s="3">
        <f>IF(X42="","",IF(X42&gt;='Léeme'!$B$6,"barato",IF(X42&lt;'Léeme'!$B$7,"caro","medio")))</f>
        <v/>
      </c>
      <c r="Z42" s="10" t="n">
        <v>0.157839995436059</v>
      </c>
      <c r="AA42" s="10" t="n">
        <v>0.1816562668418542</v>
      </c>
    </row>
    <row r="43">
      <c r="A43" s="3" t="inlineStr">
        <is>
          <t>2002-T2</t>
        </is>
      </c>
      <c r="B43" s="12" t="n">
        <v>37435</v>
      </c>
      <c r="C43" s="13" t="n">
        <v>16</v>
      </c>
      <c r="D43" s="13" t="n">
        <v>1.4067</v>
      </c>
      <c r="E43" s="13" t="n">
        <v>1.26</v>
      </c>
      <c r="F43" s="14" t="n">
        <v>0.0486</v>
      </c>
      <c r="G43" s="14" t="n">
        <v>0.01240834743372798</v>
      </c>
      <c r="H43" s="14" t="n">
        <v>0.07980000000000001</v>
      </c>
      <c r="I43" s="15">
        <f>IFERROR(C43/D43,"")</f>
        <v/>
      </c>
      <c r="J43" s="8">
        <f>IFERROR(D43/C43,"")</f>
        <v/>
      </c>
      <c r="K43" s="8">
        <f>IFERROR(E43/C43,"")</f>
        <v/>
      </c>
      <c r="L43" s="8">
        <f>IFERROR(F43-G43,"")</f>
        <v/>
      </c>
      <c r="M43" s="8">
        <f>IFERROR(J43-F43,"")</f>
        <v/>
      </c>
      <c r="N43" s="8">
        <f>IFERROR(J43-L43,"")</f>
        <v/>
      </c>
      <c r="O43" s="8">
        <f>IFERROR(J43-H43,"")</f>
        <v/>
      </c>
      <c r="P43" s="8">
        <f>IFERROR(K43-F43,"")</f>
        <v/>
      </c>
      <c r="Q43" s="6" t="n">
        <v>0.3616071428571428</v>
      </c>
      <c r="R43" s="6" t="n">
        <v>0.5848214285714286</v>
      </c>
      <c r="S43" s="6" t="n">
        <v>0.3169642857142857</v>
      </c>
      <c r="T43" s="6" t="n">
        <v>0.3526785714285715</v>
      </c>
      <c r="U43" s="6" t="n">
        <v>0.1626984126984127</v>
      </c>
      <c r="V43" s="6" t="n">
        <v>0.5436507936507936</v>
      </c>
      <c r="W43" s="6" t="n">
        <v>0.006578947368421052</v>
      </c>
      <c r="X43" s="6" t="n">
        <v>0.3327142260412937</v>
      </c>
      <c r="Y43" s="3">
        <f>IF(X43="","",IF(X43&gt;='Léeme'!$B$6,"barato",IF(X43&lt;'Léeme'!$B$7,"caro","medio")))</f>
        <v/>
      </c>
      <c r="Z43" s="10" t="n">
        <v>0.1420977725783312</v>
      </c>
      <c r="AA43" s="10" t="n">
        <v>0.127261342953386</v>
      </c>
    </row>
    <row r="44">
      <c r="A44" s="3" t="inlineStr">
        <is>
          <t>2002-T3</t>
        </is>
      </c>
      <c r="B44" s="12" t="n">
        <v>37529</v>
      </c>
      <c r="C44" s="13" t="n">
        <v>16.120001</v>
      </c>
      <c r="D44" s="13" t="n">
        <v>1.4067</v>
      </c>
      <c r="E44" s="13" t="n">
        <v>1.28</v>
      </c>
      <c r="F44" s="14" t="n">
        <v>0.0363</v>
      </c>
      <c r="G44" s="14" t="n">
        <v>0.01747463359639223</v>
      </c>
      <c r="H44" s="14" t="n">
        <v>0.07400000000000001</v>
      </c>
      <c r="I44" s="15">
        <f>IFERROR(C44/D44,"")</f>
        <v/>
      </c>
      <c r="J44" s="8">
        <f>IFERROR(D44/C44,"")</f>
        <v/>
      </c>
      <c r="K44" s="8">
        <f>IFERROR(E44/C44,"")</f>
        <v/>
      </c>
      <c r="L44" s="8">
        <f>IFERROR(F44-G44,"")</f>
        <v/>
      </c>
      <c r="M44" s="8">
        <f>IFERROR(J44-F44,"")</f>
        <v/>
      </c>
      <c r="N44" s="8">
        <f>IFERROR(J44-L44,"")</f>
        <v/>
      </c>
      <c r="O44" s="8">
        <f>IFERROR(J44-H44,"")</f>
        <v/>
      </c>
      <c r="P44" s="8">
        <f>IFERROR(K44-F44,"")</f>
        <v/>
      </c>
      <c r="Q44" s="6" t="n">
        <v>0.3347826086956522</v>
      </c>
      <c r="R44" s="6" t="n">
        <v>0.6391304347826087</v>
      </c>
      <c r="S44" s="6" t="n">
        <v>0.6478260869565218</v>
      </c>
      <c r="T44" s="6" t="n">
        <v>0.5434782608695652</v>
      </c>
      <c r="U44" s="6" t="n">
        <v>0.1821705426356589</v>
      </c>
      <c r="V44" s="6" t="n">
        <v>0.7093023255813954</v>
      </c>
      <c r="W44" s="6" t="n">
        <v>0.0189873417721519</v>
      </c>
      <c r="X44" s="6" t="n">
        <v>0.4393825144705077</v>
      </c>
      <c r="Y44" s="3">
        <f>IF(X44="","",IF(X44&gt;='Léeme'!$B$6,"barato",IF(X44&lt;'Léeme'!$B$7,"caro","medio")))</f>
        <v/>
      </c>
      <c r="Z44" s="10" t="n">
        <v>0.1253385622472489</v>
      </c>
      <c r="AA44" s="10" t="n">
        <v>0.1476035943807843</v>
      </c>
    </row>
    <row r="45">
      <c r="A45" s="3" t="inlineStr">
        <is>
          <t>2002-T4</t>
        </is>
      </c>
      <c r="B45" s="12" t="n">
        <v>37621</v>
      </c>
      <c r="C45" s="13" t="n">
        <v>15.33</v>
      </c>
      <c r="D45" s="13" t="n">
        <v>1.4067</v>
      </c>
      <c r="E45" s="13" t="n">
        <v>1.28</v>
      </c>
      <c r="F45" s="14" t="n">
        <v>0.0383</v>
      </c>
      <c r="G45" s="14" t="n">
        <v>0.0225352112676056</v>
      </c>
      <c r="H45" s="14" t="n">
        <v>0.073</v>
      </c>
      <c r="I45" s="15">
        <f>IFERROR(C45/D45,"")</f>
        <v/>
      </c>
      <c r="J45" s="8">
        <f>IFERROR(D45/C45,"")</f>
        <v/>
      </c>
      <c r="K45" s="8">
        <f>IFERROR(E45/C45,"")</f>
        <v/>
      </c>
      <c r="L45" s="8">
        <f>IFERROR(F45-G45,"")</f>
        <v/>
      </c>
      <c r="M45" s="8">
        <f>IFERROR(J45-F45,"")</f>
        <v/>
      </c>
      <c r="N45" s="8">
        <f>IFERROR(J45-L45,"")</f>
        <v/>
      </c>
      <c r="O45" s="8">
        <f>IFERROR(J45-H45,"")</f>
        <v/>
      </c>
      <c r="P45" s="8">
        <f>IFERROR(K45-F45,"")</f>
        <v/>
      </c>
      <c r="Q45" s="6" t="n">
        <v>0.5550847457627118</v>
      </c>
      <c r="R45" s="6" t="n">
        <v>0.673728813559322</v>
      </c>
      <c r="S45" s="6" t="n">
        <v>0.6991525423728814</v>
      </c>
      <c r="T45" s="6" t="n">
        <v>0.6228813559322034</v>
      </c>
      <c r="U45" s="6" t="n">
        <v>0.3371212121212121</v>
      </c>
      <c r="V45" s="6" t="n">
        <v>0.7537878787878788</v>
      </c>
      <c r="W45" s="6" t="n">
        <v>0.07926829268292683</v>
      </c>
      <c r="X45" s="6" t="n">
        <v>0.5315749773170194</v>
      </c>
      <c r="Y45" s="3">
        <f>IF(X45="","",IF(X45&gt;='Léeme'!$B$6,"barato",IF(X45&lt;'Léeme'!$B$7,"caro","medio")))</f>
        <v/>
      </c>
      <c r="Z45" s="10" t="n">
        <v>0.234913521816684</v>
      </c>
      <c r="AA45" s="10" t="n">
        <v>0.1484356967008689</v>
      </c>
    </row>
    <row r="46">
      <c r="A46" s="3" t="inlineStr">
        <is>
          <t>2003-T1</t>
        </is>
      </c>
      <c r="B46" s="12" t="n">
        <v>37711</v>
      </c>
      <c r="C46" s="13" t="n">
        <v>15.1</v>
      </c>
      <c r="D46" s="13" t="n">
        <v>1.43</v>
      </c>
      <c r="E46" s="13" t="n">
        <v>1.28</v>
      </c>
      <c r="F46" s="14" t="n">
        <v>0.0383</v>
      </c>
      <c r="G46" s="14" t="n">
        <v>0.03146067415730336</v>
      </c>
      <c r="H46" s="14" t="n">
        <v>0.0693</v>
      </c>
      <c r="I46" s="15">
        <f>IFERROR(C46/D46,"")</f>
        <v/>
      </c>
      <c r="J46" s="8">
        <f>IFERROR(D46/C46,"")</f>
        <v/>
      </c>
      <c r="K46" s="8">
        <f>IFERROR(E46/C46,"")</f>
        <v/>
      </c>
      <c r="L46" s="8">
        <f>IFERROR(F46-G46,"")</f>
        <v/>
      </c>
      <c r="M46" s="8">
        <f>IFERROR(J46-F46,"")</f>
        <v/>
      </c>
      <c r="N46" s="8">
        <f>IFERROR(J46-L46,"")</f>
        <v/>
      </c>
      <c r="O46" s="8">
        <f>IFERROR(J46-H46,"")</f>
        <v/>
      </c>
      <c r="P46" s="8">
        <f>IFERROR(K46-F46,"")</f>
        <v/>
      </c>
      <c r="Q46" s="6" t="n">
        <v>0.5991735537190083</v>
      </c>
      <c r="R46" s="6" t="n">
        <v>0.6900826446280992</v>
      </c>
      <c r="S46" s="6" t="n">
        <v>0.7892561983471075</v>
      </c>
      <c r="T46" s="6" t="n">
        <v>0.6570247933884298</v>
      </c>
      <c r="U46" s="6" t="n">
        <v>0.3740740740740741</v>
      </c>
      <c r="V46" s="6" t="n">
        <v>0.774074074074074</v>
      </c>
      <c r="W46" s="6" t="n">
        <v>0.1235294117647059</v>
      </c>
      <c r="X46" s="6" t="n">
        <v>0.5724592499993572</v>
      </c>
      <c r="Y46" s="3">
        <f>IF(X46="","",IF(X46&gt;='Léeme'!$B$6,"barato",IF(X46&lt;'Léeme'!$B$7,"caro","medio")))</f>
        <v/>
      </c>
      <c r="Z46" s="10" t="n">
        <v>0.3870686142522657</v>
      </c>
      <c r="AA46" s="10" t="n">
        <v>0.1374748333293114</v>
      </c>
    </row>
    <row r="47">
      <c r="A47" s="3" t="inlineStr">
        <is>
          <t>2003-T2</t>
        </is>
      </c>
      <c r="B47" s="12" t="n">
        <v>37802</v>
      </c>
      <c r="C47" s="13" t="n">
        <v>17.24</v>
      </c>
      <c r="D47" s="13" t="n">
        <v>1.43</v>
      </c>
      <c r="E47" s="13" t="n">
        <v>1.28</v>
      </c>
      <c r="F47" s="14" t="n">
        <v>0.0354</v>
      </c>
      <c r="G47" s="14" t="n">
        <v>0.01894150417827301</v>
      </c>
      <c r="H47" s="14" t="n">
        <v>0.0638</v>
      </c>
      <c r="I47" s="15">
        <f>IFERROR(C47/D47,"")</f>
        <v/>
      </c>
      <c r="J47" s="8">
        <f>IFERROR(D47/C47,"")</f>
        <v/>
      </c>
      <c r="K47" s="8">
        <f>IFERROR(E47/C47,"")</f>
        <v/>
      </c>
      <c r="L47" s="8">
        <f>IFERROR(F47-G47,"")</f>
        <v/>
      </c>
      <c r="M47" s="8">
        <f>IFERROR(J47-F47,"")</f>
        <v/>
      </c>
      <c r="N47" s="8">
        <f>IFERROR(J47-L47,"")</f>
        <v/>
      </c>
      <c r="O47" s="8">
        <f>IFERROR(J47-H47,"")</f>
        <v/>
      </c>
      <c r="P47" s="8">
        <f>IFERROR(K47-F47,"")</f>
        <v/>
      </c>
      <c r="Q47" s="6" t="n">
        <v>0.157258064516129</v>
      </c>
      <c r="R47" s="6" t="n">
        <v>0.5766129032258065</v>
      </c>
      <c r="S47" s="6" t="n">
        <v>0.592741935483871</v>
      </c>
      <c r="T47" s="6" t="n">
        <v>0.6008064516129032</v>
      </c>
      <c r="U47" s="6" t="n">
        <v>0.03260869565217391</v>
      </c>
      <c r="V47" s="6" t="n">
        <v>0.6268115942028986</v>
      </c>
      <c r="W47" s="6" t="n">
        <v>0.005681818181818182</v>
      </c>
      <c r="X47" s="6" t="n">
        <v>0.3703602089822287</v>
      </c>
      <c r="Y47" s="3">
        <f>IF(X47="","",IF(X47&gt;='Léeme'!$B$6,"barato",IF(X47&lt;'Léeme'!$B$7,"caro","medio")))</f>
        <v/>
      </c>
      <c r="Z47" s="10" t="n">
        <v>0.05748909192209717</v>
      </c>
      <c r="AA47" s="10" t="n">
        <v>0.09528329763916354</v>
      </c>
    </row>
    <row r="48">
      <c r="A48" s="3" t="inlineStr">
        <is>
          <t>2003-T3</t>
        </is>
      </c>
      <c r="B48" s="12" t="n">
        <v>37894</v>
      </c>
      <c r="C48" s="13" t="n">
        <v>17.030001</v>
      </c>
      <c r="D48" s="13" t="n">
        <v>1.43</v>
      </c>
      <c r="E48" s="13" t="n">
        <v>1.28</v>
      </c>
      <c r="F48" s="14" t="n">
        <v>0.0396</v>
      </c>
      <c r="G48" s="14" t="n">
        <v>0.02216066481994461</v>
      </c>
      <c r="H48" s="14" t="n">
        <v>0.0665</v>
      </c>
      <c r="I48" s="15">
        <f>IFERROR(C48/D48,"")</f>
        <v/>
      </c>
      <c r="J48" s="8">
        <f>IFERROR(D48/C48,"")</f>
        <v/>
      </c>
      <c r="K48" s="8">
        <f>IFERROR(E48/C48,"")</f>
        <v/>
      </c>
      <c r="L48" s="8">
        <f>IFERROR(F48-G48,"")</f>
        <v/>
      </c>
      <c r="M48" s="8">
        <f>IFERROR(J48-F48,"")</f>
        <v/>
      </c>
      <c r="N48" s="8">
        <f>IFERROR(J48-L48,"")</f>
        <v/>
      </c>
      <c r="O48" s="8">
        <f>IFERROR(J48-H48,"")</f>
        <v/>
      </c>
      <c r="P48" s="8">
        <f>IFERROR(K48-F48,"")</f>
        <v/>
      </c>
      <c r="Q48" s="6" t="n">
        <v>0.1850393700787402</v>
      </c>
      <c r="R48" s="6" t="n">
        <v>0.562992125984252</v>
      </c>
      <c r="S48" s="6" t="n">
        <v>0.6023622047244095</v>
      </c>
      <c r="T48" s="6" t="n">
        <v>0.5866141732283464</v>
      </c>
      <c r="U48" s="6" t="n">
        <v>0.05319148936170213</v>
      </c>
      <c r="V48" s="6" t="n">
        <v>0.5709219858156028</v>
      </c>
      <c r="W48" s="6" t="n">
        <v>0.02747252747252747</v>
      </c>
      <c r="X48" s="6" t="n">
        <v>0.3697991252379401</v>
      </c>
      <c r="Y48" s="3">
        <f>IF(X48="","",IF(X48&gt;='Léeme'!$B$6,"barato",IF(X48&lt;'Léeme'!$B$7,"caro","medio")))</f>
        <v/>
      </c>
      <c r="Z48" s="10" t="n">
        <v>0.1349982530573415</v>
      </c>
      <c r="AA48" s="10" t="n">
        <v>0.1282756307252153</v>
      </c>
    </row>
    <row r="49">
      <c r="A49" s="3" t="inlineStr">
        <is>
          <t>2003-T4</t>
        </is>
      </c>
      <c r="B49" s="12" t="n">
        <v>37986</v>
      </c>
      <c r="C49" s="13" t="n">
        <v>17.799999</v>
      </c>
      <c r="D49" s="13" t="n">
        <v>1.43</v>
      </c>
      <c r="E49" s="13" t="n">
        <v>1.28</v>
      </c>
      <c r="F49" s="14" t="n">
        <v>0.04269999999999999</v>
      </c>
      <c r="G49" s="14" t="n">
        <v>0.01928374655647391</v>
      </c>
      <c r="H49" s="14" t="n">
        <v>0.06619999999999999</v>
      </c>
      <c r="I49" s="15">
        <f>IFERROR(C49/D49,"")</f>
        <v/>
      </c>
      <c r="J49" s="8">
        <f>IFERROR(D49/C49,"")</f>
        <v/>
      </c>
      <c r="K49" s="8">
        <f>IFERROR(E49/C49,"")</f>
        <v/>
      </c>
      <c r="L49" s="8">
        <f>IFERROR(F49-G49,"")</f>
        <v/>
      </c>
      <c r="M49" s="8">
        <f>IFERROR(J49-F49,"")</f>
        <v/>
      </c>
      <c r="N49" s="8">
        <f>IFERROR(J49-L49,"")</f>
        <v/>
      </c>
      <c r="O49" s="8">
        <f>IFERROR(J49-H49,"")</f>
        <v/>
      </c>
      <c r="P49" s="8">
        <f>IFERROR(K49-F49,"")</f>
        <v/>
      </c>
      <c r="Q49" s="6" t="n">
        <v>0.1115384615384615</v>
      </c>
      <c r="R49" s="6" t="n">
        <v>0.5192307692307693</v>
      </c>
      <c r="S49" s="6" t="n">
        <v>0.4730769230769231</v>
      </c>
      <c r="T49" s="6" t="n">
        <v>0.5269230769230769</v>
      </c>
      <c r="U49" s="6" t="n">
        <v>0.03819444444444445</v>
      </c>
      <c r="V49" s="6" t="n">
        <v>0.4756944444444444</v>
      </c>
      <c r="W49" s="6" t="n">
        <v>0.01595744680851064</v>
      </c>
      <c r="X49" s="6" t="n">
        <v>0.3086593666380901</v>
      </c>
      <c r="Y49" s="3">
        <f>IF(X49="","",IF(X49&gt;='Léeme'!$B$6,"barato",IF(X49&lt;'Léeme'!$B$7,"caro","medio")))</f>
        <v/>
      </c>
      <c r="Z49" s="10" t="n">
        <v>0.2260553424301674</v>
      </c>
      <c r="AA49" s="10" t="n">
        <v>0.04735793139883349</v>
      </c>
    </row>
    <row r="50">
      <c r="A50" s="3" t="inlineStr">
        <is>
          <t>2004-T1</t>
        </is>
      </c>
      <c r="B50" s="12" t="n">
        <v>38077</v>
      </c>
      <c r="C50" s="13" t="n">
        <v>19.75</v>
      </c>
      <c r="D50" s="13" t="n">
        <v>1.46</v>
      </c>
      <c r="E50" s="13" t="n">
        <v>1.28</v>
      </c>
      <c r="F50" s="14" t="n">
        <v>0.0386</v>
      </c>
      <c r="G50" s="14" t="n">
        <v>0.01688453159041381</v>
      </c>
      <c r="H50" s="14" t="n">
        <v>0.0619</v>
      </c>
      <c r="I50" s="15">
        <f>IFERROR(C50/D50,"")</f>
        <v/>
      </c>
      <c r="J50" s="8">
        <f>IFERROR(D50/C50,"")</f>
        <v/>
      </c>
      <c r="K50" s="8">
        <f>IFERROR(E50/C50,"")</f>
        <v/>
      </c>
      <c r="L50" s="8">
        <f>IFERROR(F50-G50,"")</f>
        <v/>
      </c>
      <c r="M50" s="8">
        <f>IFERROR(J50-F50,"")</f>
        <v/>
      </c>
      <c r="N50" s="8">
        <f>IFERROR(J50-L50,"")</f>
        <v/>
      </c>
      <c r="O50" s="8">
        <f>IFERROR(J50-H50,"")</f>
        <v/>
      </c>
      <c r="P50" s="8">
        <f>IFERROR(K50-F50,"")</f>
        <v/>
      </c>
      <c r="Q50" s="6" t="n">
        <v>0.003759398496240601</v>
      </c>
      <c r="R50" s="6" t="n">
        <v>0.4924812030075188</v>
      </c>
      <c r="S50" s="6" t="n">
        <v>0.3045112781954887</v>
      </c>
      <c r="T50" s="6" t="n">
        <v>0.462406015037594</v>
      </c>
      <c r="U50" s="6" t="n">
        <v>0.003401360544217687</v>
      </c>
      <c r="V50" s="6" t="n">
        <v>0.3979591836734694</v>
      </c>
      <c r="W50" s="6" t="n">
        <v>0.005154639175257732</v>
      </c>
      <c r="X50" s="6" t="n">
        <v>0.2385247254471124</v>
      </c>
      <c r="Y50" s="3">
        <f>IF(X50="","",IF(X50&gt;='Léeme'!$B$6,"barato",IF(X50&lt;'Léeme'!$B$7,"caro","medio")))</f>
        <v/>
      </c>
      <c r="Z50" s="10" t="n">
        <v>-0.01059727598446203</v>
      </c>
      <c r="AA50" s="10" t="n">
        <v>0.00999446707656948</v>
      </c>
    </row>
    <row r="51">
      <c r="A51" s="3" t="inlineStr">
        <is>
          <t>2004-T2</t>
        </is>
      </c>
      <c r="B51" s="12" t="n">
        <v>38168</v>
      </c>
      <c r="C51" s="13" t="n">
        <v>17.200001</v>
      </c>
      <c r="D51" s="13" t="n">
        <v>1.46</v>
      </c>
      <c r="E51" s="13" t="n">
        <v>1.28</v>
      </c>
      <c r="F51" s="14" t="n">
        <v>0.0462</v>
      </c>
      <c r="G51" s="14" t="n">
        <v>0.02897758337889544</v>
      </c>
      <c r="H51" s="14" t="n">
        <v>0.06759999999999999</v>
      </c>
      <c r="I51" s="15">
        <f>IFERROR(C51/D51,"")</f>
        <v/>
      </c>
      <c r="J51" s="8">
        <f>IFERROR(D51/C51,"")</f>
        <v/>
      </c>
      <c r="K51" s="8">
        <f>IFERROR(E51/C51,"")</f>
        <v/>
      </c>
      <c r="L51" s="8">
        <f>IFERROR(F51-G51,"")</f>
        <v/>
      </c>
      <c r="M51" s="8">
        <f>IFERROR(J51-F51,"")</f>
        <v/>
      </c>
      <c r="N51" s="8">
        <f>IFERROR(J51-L51,"")</f>
        <v/>
      </c>
      <c r="O51" s="8">
        <f>IFERROR(J51-H51,"")</f>
        <v/>
      </c>
      <c r="P51" s="8">
        <f>IFERROR(K51-F51,"")</f>
        <v/>
      </c>
      <c r="Q51" s="6" t="n">
        <v>0.2536764705882353</v>
      </c>
      <c r="R51" s="6" t="n">
        <v>0.5257352941176471</v>
      </c>
      <c r="S51" s="6" t="n">
        <v>0.6360294117647058</v>
      </c>
      <c r="T51" s="6" t="n">
        <v>0.5919117647058824</v>
      </c>
      <c r="U51" s="6" t="n">
        <v>0.08</v>
      </c>
      <c r="V51" s="6" t="n">
        <v>0.4633333333333333</v>
      </c>
      <c r="W51" s="6" t="n">
        <v>0.115</v>
      </c>
      <c r="X51" s="6" t="n">
        <v>0.380812324929972</v>
      </c>
      <c r="Y51" s="3">
        <f>IF(X51="","",IF(X51&gt;='Léeme'!$B$6,"barato",IF(X51&lt;'Léeme'!$B$7,"caro","medio")))</f>
        <v/>
      </c>
      <c r="Z51" s="10" t="n">
        <v>0.2586098656107139</v>
      </c>
      <c r="AA51" s="10" t="n">
        <v>0.05780891852658021</v>
      </c>
    </row>
    <row r="52">
      <c r="A52" s="3" t="inlineStr">
        <is>
          <t>2004-T3</t>
        </is>
      </c>
      <c r="B52" s="12" t="n">
        <v>38260</v>
      </c>
      <c r="C52" s="13" t="n">
        <v>18.219999</v>
      </c>
      <c r="D52" s="13" t="n">
        <v>1.46</v>
      </c>
      <c r="E52" s="13" t="n">
        <v>1.3</v>
      </c>
      <c r="F52" s="14" t="n">
        <v>0.0414</v>
      </c>
      <c r="G52" s="14" t="n">
        <v>0.02547425474254728</v>
      </c>
      <c r="H52" s="14" t="n">
        <v>0.0622</v>
      </c>
      <c r="I52" s="15">
        <f>IFERROR(C52/D52,"")</f>
        <v/>
      </c>
      <c r="J52" s="8">
        <f>IFERROR(D52/C52,"")</f>
        <v/>
      </c>
      <c r="K52" s="8">
        <f>IFERROR(E52/C52,"")</f>
        <v/>
      </c>
      <c r="L52" s="8">
        <f>IFERROR(F52-G52,"")</f>
        <v/>
      </c>
      <c r="M52" s="8">
        <f>IFERROR(J52-F52,"")</f>
        <v/>
      </c>
      <c r="N52" s="8">
        <f>IFERROR(J52-L52,"")</f>
        <v/>
      </c>
      <c r="O52" s="8">
        <f>IFERROR(J52-H52,"")</f>
        <v/>
      </c>
      <c r="P52" s="8">
        <f>IFERROR(K52-F52,"")</f>
        <v/>
      </c>
      <c r="Q52" s="6" t="n">
        <v>0.118705035971223</v>
      </c>
      <c r="R52" s="6" t="n">
        <v>0.5215827338129496</v>
      </c>
      <c r="S52" s="6" t="n">
        <v>0.5935251798561151</v>
      </c>
      <c r="T52" s="6" t="n">
        <v>0.6007194244604317</v>
      </c>
      <c r="U52" s="6" t="n">
        <v>0.04901960784313725</v>
      </c>
      <c r="V52" s="6" t="n">
        <v>0.5</v>
      </c>
      <c r="W52" s="6" t="n">
        <v>0.1601941747572816</v>
      </c>
      <c r="X52" s="6" t="n">
        <v>0.3633923081001626</v>
      </c>
      <c r="Y52" s="3">
        <f>IF(X52="","",IF(X52&gt;='Léeme'!$B$6,"barato",IF(X52&lt;'Léeme'!$B$7,"caro","medio")))</f>
        <v/>
      </c>
      <c r="Z52" s="10" t="n">
        <v>0.1576921039479073</v>
      </c>
      <c r="AA52" s="10" t="n">
        <v>0.09127925628301514</v>
      </c>
    </row>
    <row r="53">
      <c r="A53" s="3" t="inlineStr">
        <is>
          <t>2004-T4</t>
        </is>
      </c>
      <c r="B53" s="12" t="n">
        <v>38352</v>
      </c>
      <c r="C53" s="13" t="n">
        <v>20.6</v>
      </c>
      <c r="D53" s="13" t="n">
        <v>1.46</v>
      </c>
      <c r="E53" s="13" t="n">
        <v>1.3</v>
      </c>
      <c r="F53" s="14" t="n">
        <v>0.0424</v>
      </c>
      <c r="G53" s="14" t="n">
        <v>0.03621621621621607</v>
      </c>
      <c r="H53" s="14" t="n">
        <v>0.0616</v>
      </c>
      <c r="I53" s="15">
        <f>IFERROR(C53/D53,"")</f>
        <v/>
      </c>
      <c r="J53" s="8">
        <f>IFERROR(D53/C53,"")</f>
        <v/>
      </c>
      <c r="K53" s="8">
        <f>IFERROR(E53/C53,"")</f>
        <v/>
      </c>
      <c r="L53" s="8">
        <f>IFERROR(F53-G53,"")</f>
        <v/>
      </c>
      <c r="M53" s="8">
        <f>IFERROR(J53-F53,"")</f>
        <v/>
      </c>
      <c r="N53" s="8">
        <f>IFERROR(J53-L53,"")</f>
        <v/>
      </c>
      <c r="O53" s="8">
        <f>IFERROR(J53-H53,"")</f>
        <v/>
      </c>
      <c r="P53" s="8">
        <f>IFERROR(K53-F53,"")</f>
        <v/>
      </c>
      <c r="Q53" s="6" t="n">
        <v>0.00352112676056338</v>
      </c>
      <c r="R53" s="6" t="n">
        <v>0.3838028169014084</v>
      </c>
      <c r="S53" s="6" t="n">
        <v>0.602112676056338</v>
      </c>
      <c r="T53" s="6" t="n">
        <v>0.3345070422535211</v>
      </c>
      <c r="U53" s="6" t="n">
        <v>0.003205128205128205</v>
      </c>
      <c r="V53" s="6" t="n">
        <v>0.2403846153846154</v>
      </c>
      <c r="W53" s="6" t="n">
        <v>0.07075471698113207</v>
      </c>
      <c r="X53" s="6" t="n">
        <v>0.2340411603632438</v>
      </c>
      <c r="Y53" s="3">
        <f>IF(X53="","",IF(X53&gt;='Léeme'!$B$6,"barato",IF(X53&lt;'Léeme'!$B$7,"caro","medio")))</f>
        <v/>
      </c>
      <c r="Z53" s="10" t="n">
        <v>0.04362471230106202</v>
      </c>
      <c r="AA53" s="10" t="n">
        <v>0.06275520148454583</v>
      </c>
    </row>
    <row r="54">
      <c r="A54" s="3" t="inlineStr">
        <is>
          <t>2005-T1</t>
        </is>
      </c>
      <c r="B54" s="12" t="n">
        <v>38442</v>
      </c>
      <c r="C54" s="13" t="n">
        <v>18.450001</v>
      </c>
      <c r="D54" s="13" t="n">
        <v>1.41</v>
      </c>
      <c r="E54" s="13" t="n">
        <v>1.3</v>
      </c>
      <c r="F54" s="14" t="n">
        <v>0.045</v>
      </c>
      <c r="G54" s="14" t="n">
        <v>0.03053026245313339</v>
      </c>
      <c r="H54" s="14" t="n">
        <v>0.0617</v>
      </c>
      <c r="I54" s="15">
        <f>IFERROR(C54/D54,"")</f>
        <v/>
      </c>
      <c r="J54" s="8">
        <f>IFERROR(D54/C54,"")</f>
        <v/>
      </c>
      <c r="K54" s="8">
        <f>IFERROR(E54/C54,"")</f>
        <v/>
      </c>
      <c r="L54" s="8">
        <f>IFERROR(F54-G54,"")</f>
        <v/>
      </c>
      <c r="M54" s="8">
        <f>IFERROR(J54-F54,"")</f>
        <v/>
      </c>
      <c r="N54" s="8">
        <f>IFERROR(J54-L54,"")</f>
        <v/>
      </c>
      <c r="O54" s="8">
        <f>IFERROR(J54-H54,"")</f>
        <v/>
      </c>
      <c r="P54" s="8">
        <f>IFERROR(K54-F54,"")</f>
        <v/>
      </c>
      <c r="Q54" s="6" t="n">
        <v>0.08620689655172414</v>
      </c>
      <c r="R54" s="6" t="n">
        <v>0.4379310344827586</v>
      </c>
      <c r="S54" s="6" t="n">
        <v>0.5689655172413793</v>
      </c>
      <c r="T54" s="6" t="n">
        <v>0.5206896551724138</v>
      </c>
      <c r="U54" s="6" t="n">
        <v>0.07861635220125786</v>
      </c>
      <c r="V54" s="6" t="n">
        <v>0.3742138364779874</v>
      </c>
      <c r="W54" s="6" t="n">
        <v>0.2798165137614679</v>
      </c>
      <c r="X54" s="6" t="n">
        <v>0.3352056865555699</v>
      </c>
      <c r="Y54" s="3">
        <f>IF(X54="","",IF(X54&gt;='Léeme'!$B$6,"barato",IF(X54&lt;'Léeme'!$B$7,"caro","medio")))</f>
        <v/>
      </c>
      <c r="Z54" s="10" t="n">
        <v>0.3295683028098355</v>
      </c>
      <c r="AA54" s="10" t="n">
        <v>0.1025858059752347</v>
      </c>
    </row>
    <row r="55">
      <c r="A55" s="3" t="inlineStr">
        <is>
          <t>2005-T2</t>
        </is>
      </c>
      <c r="B55" s="12" t="n">
        <v>38533</v>
      </c>
      <c r="C55" s="13" t="n">
        <v>20.469999</v>
      </c>
      <c r="D55" s="13" t="n">
        <v>1.41</v>
      </c>
      <c r="E55" s="13" t="n">
        <v>1.3</v>
      </c>
      <c r="F55" s="14" t="n">
        <v>0.0394</v>
      </c>
      <c r="G55" s="14" t="n">
        <v>0.02869287991498415</v>
      </c>
      <c r="H55" s="14" t="n">
        <v>0.05860000000000001</v>
      </c>
      <c r="I55" s="15">
        <f>IFERROR(C55/D55,"")</f>
        <v/>
      </c>
      <c r="J55" s="8">
        <f>IFERROR(D55/C55,"")</f>
        <v/>
      </c>
      <c r="K55" s="8">
        <f>IFERROR(E55/C55,"")</f>
        <v/>
      </c>
      <c r="L55" s="8">
        <f>IFERROR(F55-G55,"")</f>
        <v/>
      </c>
      <c r="M55" s="8">
        <f>IFERROR(J55-F55,"")</f>
        <v/>
      </c>
      <c r="N55" s="8">
        <f>IFERROR(J55-L55,"")</f>
        <v/>
      </c>
      <c r="O55" s="8">
        <f>IFERROR(J55-H55,"")</f>
        <v/>
      </c>
      <c r="P55" s="8">
        <f>IFERROR(K55-F55,"")</f>
        <v/>
      </c>
      <c r="Q55" s="6" t="n">
        <v>0.003378378378378379</v>
      </c>
      <c r="R55" s="6" t="n">
        <v>0.3952702702702703</v>
      </c>
      <c r="S55" s="6" t="n">
        <v>0.4628378378378378</v>
      </c>
      <c r="T55" s="6" t="n">
        <v>0.3547297297297297</v>
      </c>
      <c r="U55" s="6" t="n">
        <v>0.009259259259259259</v>
      </c>
      <c r="V55" s="6" t="n">
        <v>0.3364197530864197</v>
      </c>
      <c r="W55" s="6" t="n">
        <v>0.1026785714285714</v>
      </c>
      <c r="X55" s="6" t="n">
        <v>0.2377962571414952</v>
      </c>
      <c r="Y55" s="3">
        <f>IF(X55="","",IF(X55&gt;='Léeme'!$B$6,"barato",IF(X55&lt;'Léeme'!$B$7,"caro","medio")))</f>
        <v/>
      </c>
      <c r="Z55" s="10" t="n">
        <v>0.02474905974068609</v>
      </c>
      <c r="AA55" s="10" t="n">
        <v>0.06622532876621134</v>
      </c>
    </row>
    <row r="56">
      <c r="A56" s="3" t="inlineStr">
        <is>
          <t>2005-T3</t>
        </is>
      </c>
      <c r="B56" s="12" t="n">
        <v>38625</v>
      </c>
      <c r="C56" s="13" t="n">
        <v>20</v>
      </c>
      <c r="D56" s="13" t="n">
        <v>1.41</v>
      </c>
      <c r="E56" s="13" t="n">
        <v>1.3</v>
      </c>
      <c r="F56" s="14" t="n">
        <v>0.0434</v>
      </c>
      <c r="G56" s="14" t="n">
        <v>0.03646934460887952</v>
      </c>
      <c r="H56" s="14" t="n">
        <v>0.0612</v>
      </c>
      <c r="I56" s="15">
        <f>IFERROR(C56/D56,"")</f>
        <v/>
      </c>
      <c r="J56" s="8">
        <f>IFERROR(D56/C56,"")</f>
        <v/>
      </c>
      <c r="K56" s="8">
        <f>IFERROR(E56/C56,"")</f>
        <v/>
      </c>
      <c r="L56" s="8">
        <f>IFERROR(F56-G56,"")</f>
        <v/>
      </c>
      <c r="M56" s="8">
        <f>IFERROR(J56-F56,"")</f>
        <v/>
      </c>
      <c r="N56" s="8">
        <f>IFERROR(J56-L56,"")</f>
        <v/>
      </c>
      <c r="O56" s="8">
        <f>IFERROR(J56-H56,"")</f>
        <v/>
      </c>
      <c r="P56" s="8">
        <f>IFERROR(K56-F56,"")</f>
        <v/>
      </c>
      <c r="Q56" s="6" t="n">
        <v>0.01655629139072848</v>
      </c>
      <c r="R56" s="6" t="n">
        <v>0.3344370860927152</v>
      </c>
      <c r="S56" s="6" t="n">
        <v>0.5794701986754967</v>
      </c>
      <c r="T56" s="6" t="n">
        <v>0.3278145695364238</v>
      </c>
      <c r="U56" s="6" t="n">
        <v>0.03333333333333333</v>
      </c>
      <c r="V56" s="6" t="n">
        <v>0.2515151515151515</v>
      </c>
      <c r="W56" s="6" t="n">
        <v>0.2304347826086957</v>
      </c>
      <c r="X56" s="6" t="n">
        <v>0.2533659161646493</v>
      </c>
      <c r="Y56" s="3">
        <f>IF(X56="","",IF(X56&gt;='Léeme'!$B$6,"barato",IF(X56&lt;'Léeme'!$B$7,"caro","medio")))</f>
        <v/>
      </c>
      <c r="Z56" s="10" t="n">
        <v>0.1362204249969359</v>
      </c>
      <c r="AA56" s="10" t="n">
        <v>0.1056900848629814</v>
      </c>
    </row>
    <row r="57">
      <c r="A57" s="3" t="inlineStr">
        <is>
          <t>2005-T4</t>
        </is>
      </c>
      <c r="B57" s="12" t="n">
        <v>38716</v>
      </c>
      <c r="C57" s="13" t="n">
        <v>20.370001</v>
      </c>
      <c r="D57" s="13" t="n">
        <v>1.41</v>
      </c>
      <c r="E57" s="13" t="n">
        <v>1.3</v>
      </c>
      <c r="F57" s="14" t="n">
        <v>0.04389999999999999</v>
      </c>
      <c r="G57" s="14" t="n">
        <v>0.03338549817423053</v>
      </c>
      <c r="H57" s="14" t="n">
        <v>0.0619</v>
      </c>
      <c r="I57" s="15">
        <f>IFERROR(C57/D57,"")</f>
        <v/>
      </c>
      <c r="J57" s="8">
        <f>IFERROR(D57/C57,"")</f>
        <v/>
      </c>
      <c r="K57" s="8">
        <f>IFERROR(E57/C57,"")</f>
        <v/>
      </c>
      <c r="L57" s="8">
        <f>IFERROR(F57-G57,"")</f>
        <v/>
      </c>
      <c r="M57" s="8">
        <f>IFERROR(J57-F57,"")</f>
        <v/>
      </c>
      <c r="N57" s="8">
        <f>IFERROR(J57-L57,"")</f>
        <v/>
      </c>
      <c r="O57" s="8">
        <f>IFERROR(J57-H57,"")</f>
        <v/>
      </c>
      <c r="P57" s="8">
        <f>IFERROR(K57-F57,"")</f>
        <v/>
      </c>
      <c r="Q57" s="6" t="n">
        <v>0.01623376623376623</v>
      </c>
      <c r="R57" s="6" t="n">
        <v>0.2694805194805195</v>
      </c>
      <c r="S57" s="6" t="n">
        <v>0.4772727272727273</v>
      </c>
      <c r="T57" s="6" t="n">
        <v>0.224025974025974</v>
      </c>
      <c r="U57" s="6" t="n">
        <v>0.02083333333333333</v>
      </c>
      <c r="V57" s="6" t="n">
        <v>0.2232142857142857</v>
      </c>
      <c r="W57" s="6" t="n">
        <v>0.2245762711864407</v>
      </c>
      <c r="X57" s="6" t="n">
        <v>0.2079481253210067</v>
      </c>
      <c r="Y57" s="3">
        <f>IF(X57="","",IF(X57&gt;='Léeme'!$B$6,"barato",IF(X57&lt;'Léeme'!$B$7,"caro","medio")))</f>
        <v/>
      </c>
      <c r="Z57" s="10" t="n">
        <v>0.1829741172972732</v>
      </c>
      <c r="AA57" s="10" t="n">
        <v>0.1146340687716554</v>
      </c>
    </row>
    <row r="58">
      <c r="A58" s="3" t="inlineStr">
        <is>
          <t>2006-T1</t>
        </is>
      </c>
      <c r="B58" s="12" t="n">
        <v>38807</v>
      </c>
      <c r="C58" s="13" t="n">
        <v>23.299999</v>
      </c>
      <c r="D58" s="13" t="n">
        <v>1.5</v>
      </c>
      <c r="E58" s="13" t="n">
        <v>1.3</v>
      </c>
      <c r="F58" s="14" t="n">
        <v>0.0486</v>
      </c>
      <c r="G58" s="14" t="n">
        <v>0.0363825363825363</v>
      </c>
      <c r="H58" s="14" t="n">
        <v>0.06559999999999999</v>
      </c>
      <c r="I58" s="15">
        <f>IFERROR(C58/D58,"")</f>
        <v/>
      </c>
      <c r="J58" s="8">
        <f>IFERROR(D58/C58,"")</f>
        <v/>
      </c>
      <c r="K58" s="8">
        <f>IFERROR(E58/C58,"")</f>
        <v/>
      </c>
      <c r="L58" s="8">
        <f>IFERROR(F58-G58,"")</f>
        <v/>
      </c>
      <c r="M58" s="8">
        <f>IFERROR(J58-F58,"")</f>
        <v/>
      </c>
      <c r="N58" s="8">
        <f>IFERROR(J58-L58,"")</f>
        <v/>
      </c>
      <c r="O58" s="8">
        <f>IFERROR(J58-H58,"")</f>
        <v/>
      </c>
      <c r="P58" s="8">
        <f>IFERROR(K58-F58,"")</f>
        <v/>
      </c>
      <c r="Q58" s="6" t="n">
        <v>0.009554140127388535</v>
      </c>
      <c r="R58" s="6" t="n">
        <v>0.09235668789808917</v>
      </c>
      <c r="S58" s="6" t="n">
        <v>0.2707006369426752</v>
      </c>
      <c r="T58" s="6" t="n">
        <v>0.08598726114649681</v>
      </c>
      <c r="U58" s="6" t="n">
        <v>0.002923976608187134</v>
      </c>
      <c r="V58" s="6" t="n">
        <v>0.002923976608187134</v>
      </c>
      <c r="W58" s="6" t="n">
        <v>0.08677685950413223</v>
      </c>
      <c r="X58" s="6" t="n">
        <v>0.07874621983359374</v>
      </c>
      <c r="Y58" s="3">
        <f>IF(X58="","",IF(X58&gt;='Léeme'!$B$6,"barato",IF(X58&lt;'Léeme'!$B$7,"caro","medio")))</f>
        <v/>
      </c>
      <c r="Z58" s="10" t="n">
        <v>0.08996283550179496</v>
      </c>
      <c r="AA58" s="10" t="n">
        <v>0.08054282028369597</v>
      </c>
    </row>
    <row r="59">
      <c r="A59" s="3" t="inlineStr">
        <is>
          <t>2006-T2</t>
        </is>
      </c>
      <c r="B59" s="12" t="n">
        <v>38898</v>
      </c>
      <c r="C59" s="13" t="n">
        <v>19.950001</v>
      </c>
      <c r="D59" s="13" t="n">
        <v>1.5</v>
      </c>
      <c r="E59" s="13" t="n">
        <v>1.3</v>
      </c>
      <c r="F59" s="14" t="n">
        <v>0.0515</v>
      </c>
      <c r="G59" s="14" t="n">
        <v>0.03977272727272729</v>
      </c>
      <c r="H59" s="14" t="n">
        <v>0.06909999999999999</v>
      </c>
      <c r="I59" s="15">
        <f>IFERROR(C59/D59,"")</f>
        <v/>
      </c>
      <c r="J59" s="8">
        <f>IFERROR(D59/C59,"")</f>
        <v/>
      </c>
      <c r="K59" s="8">
        <f>IFERROR(E59/C59,"")</f>
        <v/>
      </c>
      <c r="L59" s="8">
        <f>IFERROR(F59-G59,"")</f>
        <v/>
      </c>
      <c r="M59" s="8">
        <f>IFERROR(J59-F59,"")</f>
        <v/>
      </c>
      <c r="N59" s="8">
        <f>IFERROR(J59-L59,"")</f>
        <v/>
      </c>
      <c r="O59" s="8">
        <f>IFERROR(J59-H59,"")</f>
        <v/>
      </c>
      <c r="P59" s="8">
        <f>IFERROR(K59-F59,"")</f>
        <v/>
      </c>
      <c r="Q59" s="6" t="n">
        <v>0.128125</v>
      </c>
      <c r="R59" s="6" t="n">
        <v>0.228125</v>
      </c>
      <c r="S59" s="6" t="n">
        <v>0.584375</v>
      </c>
      <c r="T59" s="6" t="n">
        <v>0.196875</v>
      </c>
      <c r="U59" s="6" t="n">
        <v>0.07758620689655173</v>
      </c>
      <c r="V59" s="6" t="n">
        <v>0.1235632183908046</v>
      </c>
      <c r="W59" s="6" t="n">
        <v>0.4233870967741936</v>
      </c>
      <c r="X59" s="6" t="n">
        <v>0.25171950315165</v>
      </c>
      <c r="Y59" s="3">
        <f>IF(X59="","",IF(X59&gt;='Léeme'!$B$6,"barato",IF(X59&lt;'Léeme'!$B$7,"caro","medio")))</f>
        <v/>
      </c>
      <c r="Z59" s="10" t="n">
        <v>0.1494932193898821</v>
      </c>
      <c r="AA59" s="10" t="n">
        <v>0.1002798989756857</v>
      </c>
    </row>
    <row r="60">
      <c r="A60" s="3" t="inlineStr">
        <is>
          <t>2006-T3</t>
        </is>
      </c>
      <c r="B60" s="12" t="n">
        <v>38989</v>
      </c>
      <c r="C60" s="13" t="n">
        <v>21.6</v>
      </c>
      <c r="D60" s="13" t="n">
        <v>1.5</v>
      </c>
      <c r="E60" s="13" t="n">
        <v>1.34</v>
      </c>
      <c r="F60" s="14" t="n">
        <v>0.0464</v>
      </c>
      <c r="G60" s="14" t="n">
        <v>0.03926568077511483</v>
      </c>
      <c r="H60" s="14" t="n">
        <v>0.0636</v>
      </c>
      <c r="I60" s="15">
        <f>IFERROR(C60/D60,"")</f>
        <v/>
      </c>
      <c r="J60" s="8">
        <f>IFERROR(D60/C60,"")</f>
        <v/>
      </c>
      <c r="K60" s="8">
        <f>IFERROR(E60/C60,"")</f>
        <v/>
      </c>
      <c r="L60" s="8">
        <f>IFERROR(F60-G60,"")</f>
        <v/>
      </c>
      <c r="M60" s="8">
        <f>IFERROR(J60-F60,"")</f>
        <v/>
      </c>
      <c r="N60" s="8">
        <f>IFERROR(J60-L60,"")</f>
        <v/>
      </c>
      <c r="O60" s="8">
        <f>IFERROR(J60-H60,"")</f>
        <v/>
      </c>
      <c r="P60" s="8">
        <f>IFERROR(K60-F60,"")</f>
        <v/>
      </c>
      <c r="Q60" s="6" t="n">
        <v>0.0460122699386503</v>
      </c>
      <c r="R60" s="6" t="n">
        <v>0.2177914110429448</v>
      </c>
      <c r="S60" s="6" t="n">
        <v>0.5674846625766872</v>
      </c>
      <c r="T60" s="6" t="n">
        <v>0.1871165644171779</v>
      </c>
      <c r="U60" s="6" t="n">
        <v>0.03107344632768362</v>
      </c>
      <c r="V60" s="6" t="n">
        <v>0.1553672316384181</v>
      </c>
      <c r="W60" s="6" t="n">
        <v>0.3818897637795275</v>
      </c>
      <c r="X60" s="6" t="n">
        <v>0.2266764785315842</v>
      </c>
      <c r="Y60" s="3">
        <f>IF(X60="","",IF(X60&gt;='Léeme'!$B$6,"barato",IF(X60&lt;'Léeme'!$B$7,"caro","medio")))</f>
        <v/>
      </c>
      <c r="Z60" s="10" t="n">
        <v>0.1847465197741716</v>
      </c>
      <c r="AA60" s="10" t="n">
        <v>0.104074596554584</v>
      </c>
    </row>
    <row r="61">
      <c r="A61" s="3" t="inlineStr">
        <is>
          <t>2006-T4</t>
        </is>
      </c>
      <c r="B61" s="12" t="n">
        <v>39080</v>
      </c>
      <c r="C61" s="13" t="n">
        <v>22.950001</v>
      </c>
      <c r="D61" s="13" t="n">
        <v>1.5</v>
      </c>
      <c r="E61" s="13" t="n">
        <v>1.34</v>
      </c>
      <c r="F61" s="14" t="n">
        <v>0.0471</v>
      </c>
      <c r="G61" s="14" t="n">
        <v>0.01968702675416467</v>
      </c>
      <c r="H61" s="14" t="n">
        <v>0.0635</v>
      </c>
      <c r="I61" s="15">
        <f>IFERROR(C61/D61,"")</f>
        <v/>
      </c>
      <c r="J61" s="8">
        <f>IFERROR(D61/C61,"")</f>
        <v/>
      </c>
      <c r="K61" s="8">
        <f>IFERROR(E61/C61,"")</f>
        <v/>
      </c>
      <c r="L61" s="8">
        <f>IFERROR(F61-G61,"")</f>
        <v/>
      </c>
      <c r="M61" s="8">
        <f>IFERROR(J61-F61,"")</f>
        <v/>
      </c>
      <c r="N61" s="8">
        <f>IFERROR(J61-L61,"")</f>
        <v/>
      </c>
      <c r="O61" s="8">
        <f>IFERROR(J61-H61,"")</f>
        <v/>
      </c>
      <c r="P61" s="8">
        <f>IFERROR(K61-F61,"")</f>
        <v/>
      </c>
      <c r="Q61" s="6" t="n">
        <v>0.02108433734939759</v>
      </c>
      <c r="R61" s="6" t="n">
        <v>0.105421686746988</v>
      </c>
      <c r="S61" s="6" t="n">
        <v>0.08132530120481928</v>
      </c>
      <c r="T61" s="6" t="n">
        <v>0.1234939759036145</v>
      </c>
      <c r="U61" s="6" t="n">
        <v>0.025</v>
      </c>
      <c r="V61" s="6" t="n">
        <v>0.05277777777777778</v>
      </c>
      <c r="W61" s="6" t="n">
        <v>0.3038461538461538</v>
      </c>
      <c r="X61" s="6" t="n">
        <v>0.1018498904041073</v>
      </c>
      <c r="Y61" s="3">
        <f>IF(X61="","",IF(X61&gt;='Léeme'!$B$6,"barato",IF(X61&lt;'Léeme'!$B$7,"caro","medio")))</f>
        <v/>
      </c>
      <c r="Z61" s="10" t="n">
        <v>0.07878453872000724</v>
      </c>
      <c r="AA61" s="10" t="n">
        <v>0.08686316917246817</v>
      </c>
    </row>
    <row r="62">
      <c r="A62" s="3" t="inlineStr">
        <is>
          <t>2007-T1</t>
        </is>
      </c>
      <c r="B62" s="12" t="n">
        <v>39171</v>
      </c>
      <c r="C62" s="13" t="n">
        <v>24.190001</v>
      </c>
      <c r="D62" s="13" t="n">
        <v>1.67</v>
      </c>
      <c r="E62" s="13" t="n">
        <v>1.34</v>
      </c>
      <c r="F62" s="14" t="n">
        <v>0.04650000000000001</v>
      </c>
      <c r="G62" s="14" t="n">
        <v>0.02420260782347028</v>
      </c>
      <c r="H62" s="14" t="n">
        <v>0.0638</v>
      </c>
      <c r="I62" s="15">
        <f>IFERROR(C62/D62,"")</f>
        <v/>
      </c>
      <c r="J62" s="8">
        <f>IFERROR(D62/C62,"")</f>
        <v/>
      </c>
      <c r="K62" s="8">
        <f>IFERROR(E62/C62,"")</f>
        <v/>
      </c>
      <c r="L62" s="8">
        <f>IFERROR(F62-G62,"")</f>
        <v/>
      </c>
      <c r="M62" s="8">
        <f>IFERROR(J62-F62,"")</f>
        <v/>
      </c>
      <c r="N62" s="8">
        <f>IFERROR(J62-L62,"")</f>
        <v/>
      </c>
      <c r="O62" s="8">
        <f>IFERROR(J62-H62,"")</f>
        <v/>
      </c>
      <c r="P62" s="8">
        <f>IFERROR(K62-F62,"")</f>
        <v/>
      </c>
      <c r="Q62" s="6" t="n">
        <v>0.05621301775147929</v>
      </c>
      <c r="R62" s="6" t="n">
        <v>0.2100591715976331</v>
      </c>
      <c r="S62" s="6" t="n">
        <v>0.1686390532544379</v>
      </c>
      <c r="T62" s="6" t="n">
        <v>0.1804733727810651</v>
      </c>
      <c r="U62" s="6" t="n">
        <v>0.00273224043715847</v>
      </c>
      <c r="V62" s="6" t="n">
        <v>0.02459016393442623</v>
      </c>
      <c r="W62" s="6" t="n">
        <v>0.4398496240601504</v>
      </c>
      <c r="X62" s="6" t="n">
        <v>0.1546509491166215</v>
      </c>
      <c r="Y62" s="3">
        <f>IF(X62="","",IF(X62&gt;='Léeme'!$B$6,"barato",IF(X62&lt;'Léeme'!$B$7,"caro","medio")))</f>
        <v/>
      </c>
      <c r="Z62" s="10" t="n">
        <v>-0.02952456448386998</v>
      </c>
      <c r="AA62" s="10" t="n">
        <v>0.08052255288274002</v>
      </c>
    </row>
    <row r="63">
      <c r="A63" s="3" t="inlineStr">
        <is>
          <t>2007-T2</t>
        </is>
      </c>
      <c r="B63" s="12" t="n">
        <v>39262</v>
      </c>
      <c r="C63" s="13" t="n">
        <v>21.860001</v>
      </c>
      <c r="D63" s="13" t="n">
        <v>1.67</v>
      </c>
      <c r="E63" s="13" t="n">
        <v>1.42</v>
      </c>
      <c r="F63" s="14" t="n">
        <v>0.0503</v>
      </c>
      <c r="G63" s="14" t="n">
        <v>0.02709885742672613</v>
      </c>
      <c r="H63" s="14" t="n">
        <v>0.0672</v>
      </c>
      <c r="I63" s="15">
        <f>IFERROR(C63/D63,"")</f>
        <v/>
      </c>
      <c r="J63" s="8">
        <f>IFERROR(D63/C63,"")</f>
        <v/>
      </c>
      <c r="K63" s="8">
        <f>IFERROR(E63/C63,"")</f>
        <v/>
      </c>
      <c r="L63" s="8">
        <f>IFERROR(F63-G63,"")</f>
        <v/>
      </c>
      <c r="M63" s="8">
        <f>IFERROR(J63-F63,"")</f>
        <v/>
      </c>
      <c r="N63" s="8">
        <f>IFERROR(J63-L63,"")</f>
        <v/>
      </c>
      <c r="O63" s="8">
        <f>IFERROR(J63-H63,"")</f>
        <v/>
      </c>
      <c r="P63" s="8">
        <f>IFERROR(K63-F63,"")</f>
        <v/>
      </c>
      <c r="Q63" s="6" t="n">
        <v>0.2180232558139535</v>
      </c>
      <c r="R63" s="6" t="n">
        <v>0.3633720930232558</v>
      </c>
      <c r="S63" s="6" t="n">
        <v>0.3343023255813953</v>
      </c>
      <c r="T63" s="6" t="n">
        <v>0.3924418604651163</v>
      </c>
      <c r="U63" s="6" t="n">
        <v>0.1209677419354839</v>
      </c>
      <c r="V63" s="6" t="n">
        <v>0.1854838709677419</v>
      </c>
      <c r="W63" s="6" t="n">
        <v>0.5992647058823529</v>
      </c>
      <c r="X63" s="6" t="n">
        <v>0.3162651219527571</v>
      </c>
      <c r="Y63" s="3">
        <f>IF(X63="","",IF(X63&gt;='Léeme'!$B$6,"barato",IF(X63&lt;'Léeme'!$B$7,"caro","medio")))</f>
        <v/>
      </c>
      <c r="Z63" s="10" t="n">
        <v>0.01021628091176696</v>
      </c>
      <c r="AA63" s="10" t="n">
        <v>0.1113370082434944</v>
      </c>
    </row>
    <row r="64">
      <c r="A64" s="3" t="inlineStr">
        <is>
          <t>2007-T3</t>
        </is>
      </c>
      <c r="B64" s="12" t="n">
        <v>39353</v>
      </c>
      <c r="C64" s="13" t="n">
        <v>24.379999</v>
      </c>
      <c r="D64" s="13" t="n">
        <v>1.67</v>
      </c>
      <c r="E64" s="13" t="n">
        <v>1.42</v>
      </c>
      <c r="F64" s="14" t="n">
        <v>0.0459</v>
      </c>
      <c r="G64" s="14" t="n">
        <v>0.01897448478900876</v>
      </c>
      <c r="H64" s="14" t="n">
        <v>0.0659</v>
      </c>
      <c r="I64" s="15">
        <f>IFERROR(C64/D64,"")</f>
        <v/>
      </c>
      <c r="J64" s="8">
        <f>IFERROR(D64/C64,"")</f>
        <v/>
      </c>
      <c r="K64" s="8">
        <f>IFERROR(E64/C64,"")</f>
        <v/>
      </c>
      <c r="L64" s="8">
        <f>IFERROR(F64-G64,"")</f>
        <v/>
      </c>
      <c r="M64" s="8">
        <f>IFERROR(J64-F64,"")</f>
        <v/>
      </c>
      <c r="N64" s="8">
        <f>IFERROR(J64-L64,"")</f>
        <v/>
      </c>
      <c r="O64" s="8">
        <f>IFERROR(J64-H64,"")</f>
        <v/>
      </c>
      <c r="P64" s="8">
        <f>IFERROR(K64-F64,"")</f>
        <v/>
      </c>
      <c r="Q64" s="6" t="n">
        <v>0.04857142857142857</v>
      </c>
      <c r="R64" s="6" t="n">
        <v>0.22</v>
      </c>
      <c r="S64" s="6" t="n">
        <v>0.1057142857142857</v>
      </c>
      <c r="T64" s="6" t="n">
        <v>0.1285714285714286</v>
      </c>
      <c r="U64" s="6" t="n">
        <v>0.03968253968253968</v>
      </c>
      <c r="V64" s="6" t="n">
        <v>0.1084656084656085</v>
      </c>
      <c r="W64" s="6" t="n">
        <v>0.4640287769784173</v>
      </c>
      <c r="X64" s="6" t="n">
        <v>0.1592905811405298</v>
      </c>
      <c r="Y64" s="3">
        <f>IF(X64="","",IF(X64&gt;='Léeme'!$B$6,"barato",IF(X64&lt;'Léeme'!$B$7,"caro","medio")))</f>
        <v/>
      </c>
      <c r="Z64" s="10" t="n">
        <v>0.03025953758721323</v>
      </c>
      <c r="AA64" s="10" t="n">
        <v>0.1032080909264264</v>
      </c>
    </row>
    <row r="65">
      <c r="A65" s="3" t="inlineStr">
        <is>
          <t>2007-T4</t>
        </is>
      </c>
      <c r="B65" s="12" t="n">
        <v>39447</v>
      </c>
      <c r="C65" s="13" t="n">
        <v>23.379999</v>
      </c>
      <c r="D65" s="13" t="n">
        <v>1.67</v>
      </c>
      <c r="E65" s="13" t="n">
        <v>1.42</v>
      </c>
      <c r="F65" s="14" t="n">
        <v>0.0404</v>
      </c>
      <c r="G65" s="14" t="n">
        <v>0.04373267326732666</v>
      </c>
      <c r="H65" s="14" t="n">
        <v>0.06619999999999999</v>
      </c>
      <c r="I65" s="15">
        <f>IFERROR(C65/D65,"")</f>
        <v/>
      </c>
      <c r="J65" s="8">
        <f>IFERROR(D65/C65,"")</f>
        <v/>
      </c>
      <c r="K65" s="8">
        <f>IFERROR(E65/C65,"")</f>
        <v/>
      </c>
      <c r="L65" s="8">
        <f>IFERROR(F65-G65,"")</f>
        <v/>
      </c>
      <c r="M65" s="8">
        <f>IFERROR(J65-F65,"")</f>
        <v/>
      </c>
      <c r="N65" s="8">
        <f>IFERROR(J65-L65,"")</f>
        <v/>
      </c>
      <c r="O65" s="8">
        <f>IFERROR(J65-H65,"")</f>
        <v/>
      </c>
      <c r="P65" s="8">
        <f>IFERROR(K65-F65,"")</f>
        <v/>
      </c>
      <c r="Q65" s="6" t="n">
        <v>0.1432584269662921</v>
      </c>
      <c r="R65" s="6" t="n">
        <v>0.5196629213483146</v>
      </c>
      <c r="S65" s="6" t="n">
        <v>0.7612359550561798</v>
      </c>
      <c r="T65" s="6" t="n">
        <v>0.1938202247191011</v>
      </c>
      <c r="U65" s="6" t="n">
        <v>0.0859375</v>
      </c>
      <c r="V65" s="6" t="n">
        <v>0.3255208333333333</v>
      </c>
      <c r="W65" s="6" t="n">
        <v>0.5246478873239436</v>
      </c>
      <c r="X65" s="6" t="n">
        <v>0.3648691069638806</v>
      </c>
      <c r="Y65" s="3">
        <f>IF(X65="","",IF(X65&gt;='Léeme'!$B$6,"barato",IF(X65&lt;'Léeme'!$B$7,"caro","medio")))</f>
        <v/>
      </c>
      <c r="Z65" s="10" t="n">
        <v>-0.2209259127510493</v>
      </c>
      <c r="AA65" s="10" t="n">
        <v>0.1172092694892475</v>
      </c>
    </row>
    <row r="66">
      <c r="A66" s="3" t="inlineStr">
        <is>
          <t>2008-T1</t>
        </is>
      </c>
      <c r="B66" s="12" t="n">
        <v>39538</v>
      </c>
      <c r="C66" s="13" t="n">
        <v>22.049999</v>
      </c>
      <c r="D66" s="13" t="n">
        <v>1.87</v>
      </c>
      <c r="E66" s="13" t="n">
        <v>1.42</v>
      </c>
      <c r="F66" s="14" t="n">
        <v>0.0345</v>
      </c>
      <c r="G66" s="14" t="n">
        <v>0.04142959270611968</v>
      </c>
      <c r="H66" s="14" t="n">
        <v>0.0694</v>
      </c>
      <c r="I66" s="15">
        <f>IFERROR(C66/D66,"")</f>
        <v/>
      </c>
      <c r="J66" s="8">
        <f>IFERROR(D66/C66,"")</f>
        <v/>
      </c>
      <c r="K66" s="8">
        <f>IFERROR(E66/C66,"")</f>
        <v/>
      </c>
      <c r="L66" s="8">
        <f>IFERROR(F66-G66,"")</f>
        <v/>
      </c>
      <c r="M66" s="8">
        <f>IFERROR(J66-F66,"")</f>
        <v/>
      </c>
      <c r="N66" s="8">
        <f>IFERROR(J66-L66,"")</f>
        <v/>
      </c>
      <c r="O66" s="8">
        <f>IFERROR(J66-H66,"")</f>
        <v/>
      </c>
      <c r="P66" s="8">
        <f>IFERROR(K66-F66,"")</f>
        <v/>
      </c>
      <c r="Q66" s="6" t="n">
        <v>0.4116022099447514</v>
      </c>
      <c r="R66" s="6" t="n">
        <v>0.7265193370165746</v>
      </c>
      <c r="S66" s="6" t="n">
        <v>0.8701657458563536</v>
      </c>
      <c r="T66" s="6" t="n">
        <v>0.6160220994475138</v>
      </c>
      <c r="U66" s="6" t="n">
        <v>0.141025641025641</v>
      </c>
      <c r="V66" s="6" t="n">
        <v>0.5974358974358974</v>
      </c>
      <c r="W66" s="6" t="n">
        <v>0.7827586206896552</v>
      </c>
      <c r="X66" s="6" t="n">
        <v>0.5922185073451981</v>
      </c>
      <c r="Y66" s="3">
        <f>IF(X66="","",IF(X66&gt;='Léeme'!$B$6,"barato",IF(X66&lt;'Léeme'!$B$7,"caro","medio")))</f>
        <v/>
      </c>
      <c r="Z66" s="10" t="n">
        <v>-0.2344317130134593</v>
      </c>
      <c r="AA66" s="10" t="n">
        <v>0.1636502639860868</v>
      </c>
    </row>
    <row r="67">
      <c r="A67" s="3" t="inlineStr">
        <is>
          <t>2008-T2</t>
        </is>
      </c>
      <c r="B67" s="12" t="n">
        <v>39629</v>
      </c>
      <c r="C67" s="13" t="n">
        <v>20.9</v>
      </c>
      <c r="D67" s="13" t="n">
        <v>1.87</v>
      </c>
      <c r="E67" s="13" t="n">
        <v>1.5</v>
      </c>
      <c r="F67" s="14" t="n">
        <v>0.0399</v>
      </c>
      <c r="G67" s="14" t="n">
        <v>0.04088413823123993</v>
      </c>
      <c r="H67" s="14" t="n">
        <v>0.0703</v>
      </c>
      <c r="I67" s="15">
        <f>IFERROR(C67/D67,"")</f>
        <v/>
      </c>
      <c r="J67" s="8">
        <f>IFERROR(D67/C67,"")</f>
        <v/>
      </c>
      <c r="K67" s="8">
        <f>IFERROR(E67/C67,"")</f>
        <v/>
      </c>
      <c r="L67" s="8">
        <f>IFERROR(F67-G67,"")</f>
        <v/>
      </c>
      <c r="M67" s="8">
        <f>IFERROR(J67-F67,"")</f>
        <v/>
      </c>
      <c r="N67" s="8">
        <f>IFERROR(J67-L67,"")</f>
        <v/>
      </c>
      <c r="O67" s="8">
        <f>IFERROR(J67-H67,"")</f>
        <v/>
      </c>
      <c r="P67" s="8">
        <f>IFERROR(K67-F67,"")</f>
        <v/>
      </c>
      <c r="Q67" s="6" t="n">
        <v>0.6114130434782609</v>
      </c>
      <c r="R67" s="6" t="n">
        <v>0.7146739130434783</v>
      </c>
      <c r="S67" s="6" t="n">
        <v>0.8614130434782609</v>
      </c>
      <c r="T67" s="6" t="n">
        <v>0.7255434782608695</v>
      </c>
      <c r="U67" s="6" t="n">
        <v>0.2702020202020202</v>
      </c>
      <c r="V67" s="6" t="n">
        <v>0.6540404040404041</v>
      </c>
      <c r="W67" s="6" t="n">
        <v>0.8006756756756757</v>
      </c>
      <c r="X67" s="6" t="n">
        <v>0.6625659397398528</v>
      </c>
      <c r="Y67" s="3">
        <f>IF(X67="","",IF(X67&gt;='Léeme'!$B$6,"barato",IF(X67&lt;'Léeme'!$B$7,"caro","medio")))</f>
        <v/>
      </c>
      <c r="Z67" s="10" t="n">
        <v>-0.1114544571361442</v>
      </c>
      <c r="AA67" s="10" t="n">
        <v>0.1633540646231062</v>
      </c>
    </row>
    <row r="68">
      <c r="A68" s="3" t="inlineStr">
        <is>
          <t>2008-T3</t>
        </is>
      </c>
      <c r="B68" s="12" t="n">
        <v>39721</v>
      </c>
      <c r="C68" s="13" t="n">
        <v>23.950001</v>
      </c>
      <c r="D68" s="13" t="n">
        <v>1.87</v>
      </c>
      <c r="E68" s="13" t="n">
        <v>1.5</v>
      </c>
      <c r="F68" s="14" t="n">
        <v>0.0385</v>
      </c>
      <c r="G68" s="14" t="n">
        <v>0.05308017162091239</v>
      </c>
      <c r="H68" s="14" t="n">
        <v>0.0762</v>
      </c>
      <c r="I68" s="15">
        <f>IFERROR(C68/D68,"")</f>
        <v/>
      </c>
      <c r="J68" s="8">
        <f>IFERROR(D68/C68,"")</f>
        <v/>
      </c>
      <c r="K68" s="8">
        <f>IFERROR(E68/C68,"")</f>
        <v/>
      </c>
      <c r="L68" s="8">
        <f>IFERROR(F68-G68,"")</f>
        <v/>
      </c>
      <c r="M68" s="8">
        <f>IFERROR(J68-F68,"")</f>
        <v/>
      </c>
      <c r="N68" s="8">
        <f>IFERROR(J68-L68,"")</f>
        <v/>
      </c>
      <c r="O68" s="8">
        <f>IFERROR(J68-H68,"")</f>
        <v/>
      </c>
      <c r="P68" s="8">
        <f>IFERROR(K68-F68,"")</f>
        <v/>
      </c>
      <c r="Q68" s="6" t="n">
        <v>0.2754010695187166</v>
      </c>
      <c r="R68" s="6" t="n">
        <v>0.6176470588235294</v>
      </c>
      <c r="S68" s="6" t="n">
        <v>0.8689839572192514</v>
      </c>
      <c r="T68" s="6" t="n">
        <v>0.1149732620320856</v>
      </c>
      <c r="U68" s="6" t="n">
        <v>0.1019900497512438</v>
      </c>
      <c r="V68" s="6" t="n">
        <v>0.4203980099502487</v>
      </c>
      <c r="W68" s="6" t="n">
        <v>0.6986754966887417</v>
      </c>
      <c r="X68" s="6" t="n">
        <v>0.4425812719976882</v>
      </c>
      <c r="Y68" s="3">
        <f>IF(X68="","",IF(X68&gt;='Léeme'!$B$6,"barato",IF(X68&lt;'Léeme'!$B$7,"caro","medio")))</f>
        <v/>
      </c>
      <c r="Z68" s="10" t="n">
        <v>-0.03927597232430502</v>
      </c>
      <c r="AA68" s="10" t="n">
        <v>0.1134019884171531</v>
      </c>
    </row>
    <row r="69">
      <c r="A69" s="3" t="inlineStr">
        <is>
          <t>2008-T4</t>
        </is>
      </c>
      <c r="B69" s="12" t="n">
        <v>39813</v>
      </c>
      <c r="C69" s="13" t="n">
        <v>17.190001</v>
      </c>
      <c r="D69" s="13" t="n">
        <v>1.87</v>
      </c>
      <c r="E69" s="13" t="n">
        <v>1.5</v>
      </c>
      <c r="F69" s="14" t="n">
        <v>0.0225</v>
      </c>
      <c r="G69" s="14" t="n">
        <v>0.01099917470616685</v>
      </c>
      <c r="H69" s="14" t="n">
        <v>0.07969999999999999</v>
      </c>
      <c r="I69" s="15">
        <f>IFERROR(C69/D69,"")</f>
        <v/>
      </c>
      <c r="J69" s="8">
        <f>IFERROR(D69/C69,"")</f>
        <v/>
      </c>
      <c r="K69" s="8">
        <f>IFERROR(E69/C69,"")</f>
        <v/>
      </c>
      <c r="L69" s="8">
        <f>IFERROR(F69-G69,"")</f>
        <v/>
      </c>
      <c r="M69" s="8">
        <f>IFERROR(J69-F69,"")</f>
        <v/>
      </c>
      <c r="N69" s="8">
        <f>IFERROR(J69-L69,"")</f>
        <v/>
      </c>
      <c r="O69" s="8">
        <f>IFERROR(J69-H69,"")</f>
        <v/>
      </c>
      <c r="P69" s="8">
        <f>IFERROR(K69-F69,"")</f>
        <v/>
      </c>
      <c r="Q69" s="6" t="n">
        <v>0.8131578947368421</v>
      </c>
      <c r="R69" s="6" t="n">
        <v>0.9657894736842105</v>
      </c>
      <c r="S69" s="6" t="n">
        <v>0.8763157894736842</v>
      </c>
      <c r="T69" s="6" t="n">
        <v>0.7973684210526316</v>
      </c>
      <c r="U69" s="6" t="n">
        <v>0.6102941176470589</v>
      </c>
      <c r="V69" s="6" t="n">
        <v>0.9779411764705882</v>
      </c>
      <c r="W69" s="6" t="n">
        <v>0.8928571428571429</v>
      </c>
      <c r="X69" s="6" t="n">
        <v>0.8476748594174512</v>
      </c>
      <c r="Y69" s="3">
        <f>IF(X69="","",IF(X69&gt;='Léeme'!$B$6,"barato",IF(X69&lt;'Léeme'!$B$7,"caro","medio")))</f>
        <v/>
      </c>
      <c r="Z69" s="10" t="n">
        <v>0.3188659042348387</v>
      </c>
      <c r="AA69" s="10" t="n">
        <v>0.1762511936198112</v>
      </c>
    </row>
    <row r="70">
      <c r="A70" s="3" t="inlineStr">
        <is>
          <t>2009-T1</t>
        </is>
      </c>
      <c r="B70" s="12" t="n">
        <v>39903</v>
      </c>
      <c r="C70" s="13" t="n">
        <v>15.84</v>
      </c>
      <c r="D70" s="13" t="n">
        <v>1.99</v>
      </c>
      <c r="E70" s="13" t="n">
        <v>1.5</v>
      </c>
      <c r="F70" s="14" t="n">
        <v>0.0271</v>
      </c>
      <c r="G70" s="14" t="n">
        <v>8.463140671510772e-05</v>
      </c>
      <c r="H70" s="14" t="n">
        <v>0.0848</v>
      </c>
      <c r="I70" s="15">
        <f>IFERROR(C70/D70,"")</f>
        <v/>
      </c>
      <c r="J70" s="8">
        <f>IFERROR(D70/C70,"")</f>
        <v/>
      </c>
      <c r="K70" s="8">
        <f>IFERROR(E70/C70,"")</f>
        <v/>
      </c>
      <c r="L70" s="8">
        <f>IFERROR(F70-G70,"")</f>
        <v/>
      </c>
      <c r="M70" s="8">
        <f>IFERROR(J70-F70,"")</f>
        <v/>
      </c>
      <c r="N70" s="8">
        <f>IFERROR(J70-L70,"")</f>
        <v/>
      </c>
      <c r="O70" s="8">
        <f>IFERROR(J70-H70,"")</f>
        <v/>
      </c>
      <c r="P70" s="8">
        <f>IFERROR(K70-F70,"")</f>
        <v/>
      </c>
      <c r="Q70" s="6" t="n">
        <v>0.883419689119171</v>
      </c>
      <c r="R70" s="6" t="n">
        <v>0.9818652849740933</v>
      </c>
      <c r="S70" s="6" t="n">
        <v>0.883419689119171</v>
      </c>
      <c r="T70" s="6" t="n">
        <v>0.8678756476683938</v>
      </c>
      <c r="U70" s="6" t="n">
        <v>0.7753623188405797</v>
      </c>
      <c r="V70" s="6" t="n">
        <v>0.9734299516908212</v>
      </c>
      <c r="W70" s="6" t="n">
        <v>0.9777070063694268</v>
      </c>
      <c r="X70" s="6" t="n">
        <v>0.9061542268259509</v>
      </c>
      <c r="Y70" s="3">
        <f>IF(X70="","",IF(X70&gt;='Léeme'!$B$6,"barato",IF(X70&lt;'Léeme'!$B$7,"caro","medio")))</f>
        <v/>
      </c>
      <c r="Z70" s="10" t="n">
        <v>0.5340521198823072</v>
      </c>
      <c r="AA70" s="10" t="n">
        <v>0.2235161155282757</v>
      </c>
    </row>
    <row r="71">
      <c r="A71" s="3" t="inlineStr">
        <is>
          <t>2009-T2</t>
        </is>
      </c>
      <c r="B71" s="12" t="n">
        <v>39994</v>
      </c>
      <c r="C71" s="13" t="n">
        <v>17.35</v>
      </c>
      <c r="D71" s="13" t="n">
        <v>1.99</v>
      </c>
      <c r="E71" s="13" t="n">
        <v>1.5</v>
      </c>
      <c r="F71" s="14" t="n">
        <v>0.0353</v>
      </c>
      <c r="G71" s="14" t="n">
        <v>-0.01015761495855172</v>
      </c>
      <c r="H71" s="14" t="n">
        <v>0.07200000000000001</v>
      </c>
      <c r="I71" s="15">
        <f>IFERROR(C71/D71,"")</f>
        <v/>
      </c>
      <c r="J71" s="8">
        <f>IFERROR(D71/C71,"")</f>
        <v/>
      </c>
      <c r="K71" s="8">
        <f>IFERROR(E71/C71,"")</f>
        <v/>
      </c>
      <c r="L71" s="8">
        <f>IFERROR(F71-G71,"")</f>
        <v/>
      </c>
      <c r="M71" s="8">
        <f>IFERROR(J71-F71,"")</f>
        <v/>
      </c>
      <c r="N71" s="8">
        <f>IFERROR(J71-L71,"")</f>
        <v/>
      </c>
      <c r="O71" s="8">
        <f>IFERROR(J71-H71,"")</f>
        <v/>
      </c>
      <c r="P71" s="8">
        <f>IFERROR(K71-F71,"")</f>
        <v/>
      </c>
      <c r="Q71" s="6" t="n">
        <v>0.8494897959183674</v>
      </c>
      <c r="R71" s="6" t="n">
        <v>0.9056122448979592</v>
      </c>
      <c r="S71" s="6" t="n">
        <v>0.6454081632653061</v>
      </c>
      <c r="T71" s="6" t="n">
        <v>0.8852040816326531</v>
      </c>
      <c r="U71" s="6" t="n">
        <v>0.5833333333333334</v>
      </c>
      <c r="V71" s="6" t="n">
        <v>0.8738095238095238</v>
      </c>
      <c r="W71" s="6" t="n">
        <v>0.909375</v>
      </c>
      <c r="X71" s="6" t="n">
        <v>0.8074617346938776</v>
      </c>
      <c r="Y71" s="3">
        <f>IF(X71="","",IF(X71&gt;='Léeme'!$B$6,"barato",IF(X71&lt;'Léeme'!$B$7,"caro","medio")))</f>
        <v/>
      </c>
      <c r="Z71" s="10" t="n">
        <v>0.3094833665318877</v>
      </c>
      <c r="AA71" s="10" t="n">
        <v>0.2190145123080502</v>
      </c>
    </row>
    <row r="72">
      <c r="A72" s="3" t="inlineStr">
        <is>
          <t>2009-T3</t>
        </is>
      </c>
      <c r="B72" s="12" t="n">
        <v>40086</v>
      </c>
      <c r="C72" s="13" t="n">
        <v>21.469999</v>
      </c>
      <c r="D72" s="13" t="n">
        <v>1.99</v>
      </c>
      <c r="E72" s="13" t="n">
        <v>1.5</v>
      </c>
      <c r="F72" s="14" t="n">
        <v>0.0331</v>
      </c>
      <c r="G72" s="14" t="n">
        <v>-0.01483835566326763</v>
      </c>
      <c r="H72" s="14" t="n">
        <v>0.0612</v>
      </c>
      <c r="I72" s="15">
        <f>IFERROR(C72/D72,"")</f>
        <v/>
      </c>
      <c r="J72" s="8">
        <f>IFERROR(D72/C72,"")</f>
        <v/>
      </c>
      <c r="K72" s="8">
        <f>IFERROR(E72/C72,"")</f>
        <v/>
      </c>
      <c r="L72" s="8">
        <f>IFERROR(F72-G72,"")</f>
        <v/>
      </c>
      <c r="M72" s="8">
        <f>IFERROR(J72-F72,"")</f>
        <v/>
      </c>
      <c r="N72" s="8">
        <f>IFERROR(J72-L72,"")</f>
        <v/>
      </c>
      <c r="O72" s="8">
        <f>IFERROR(J72-H72,"")</f>
        <v/>
      </c>
      <c r="P72" s="8">
        <f>IFERROR(K72-F72,"")</f>
        <v/>
      </c>
      <c r="Q72" s="6" t="n">
        <v>0.6708542713567839</v>
      </c>
      <c r="R72" s="6" t="n">
        <v>0.7763819095477387</v>
      </c>
      <c r="S72" s="6" t="n">
        <v>0.1231155778894472</v>
      </c>
      <c r="T72" s="6" t="n">
        <v>0.7914572864321608</v>
      </c>
      <c r="U72" s="6" t="n">
        <v>0.2417840375586854</v>
      </c>
      <c r="V72" s="6" t="n">
        <v>0.6784037558685446</v>
      </c>
      <c r="W72" s="6" t="n">
        <v>0.7822085889570553</v>
      </c>
      <c r="X72" s="6" t="n">
        <v>0.5806007753729165</v>
      </c>
      <c r="Y72" s="3">
        <f>IF(X72="","",IF(X72&gt;='Léeme'!$B$6,"barato",IF(X72&lt;'Léeme'!$B$7,"caro","medio")))</f>
        <v/>
      </c>
      <c r="Z72" s="10" t="n">
        <v>0.2361769663350297</v>
      </c>
      <c r="AA72" s="10" t="n">
        <v>0.1497629109439631</v>
      </c>
    </row>
    <row r="73">
      <c r="A73" s="3" t="inlineStr">
        <is>
          <t>2009-T4</t>
        </is>
      </c>
      <c r="B73" s="12" t="n">
        <v>40178</v>
      </c>
      <c r="C73" s="13" t="n">
        <v>21.219999</v>
      </c>
      <c r="D73" s="13" t="n">
        <v>1.99</v>
      </c>
      <c r="E73" s="13" t="n">
        <v>1.5</v>
      </c>
      <c r="F73" s="14" t="n">
        <v>0.0385</v>
      </c>
      <c r="G73" s="14" t="n">
        <v>0.01914587174470928</v>
      </c>
      <c r="H73" s="14" t="n">
        <v>0.0636</v>
      </c>
      <c r="I73" s="15">
        <f>IFERROR(C73/D73,"")</f>
        <v/>
      </c>
      <c r="J73" s="8">
        <f>IFERROR(D73/C73,"")</f>
        <v/>
      </c>
      <c r="K73" s="8">
        <f>IFERROR(E73/C73,"")</f>
        <v/>
      </c>
      <c r="L73" s="8">
        <f>IFERROR(F73-G73,"")</f>
        <v/>
      </c>
      <c r="M73" s="8">
        <f>IFERROR(J73-F73,"")</f>
        <v/>
      </c>
      <c r="N73" s="8">
        <f>IFERROR(J73-L73,"")</f>
        <v/>
      </c>
      <c r="O73" s="8">
        <f>IFERROR(J73-H73,"")</f>
        <v/>
      </c>
      <c r="P73" s="8">
        <f>IFERROR(K73-F73,"")</f>
        <v/>
      </c>
      <c r="Q73" s="6" t="n">
        <v>0.6856435643564357</v>
      </c>
      <c r="R73" s="6" t="n">
        <v>0.7400990099009901</v>
      </c>
      <c r="S73" s="6" t="n">
        <v>0.6905940594059405</v>
      </c>
      <c r="T73" s="6" t="n">
        <v>0.7698019801980198</v>
      </c>
      <c r="U73" s="6" t="n">
        <v>0.2523148148148148</v>
      </c>
      <c r="V73" s="6" t="n">
        <v>0.6180555555555556</v>
      </c>
      <c r="W73" s="6" t="n">
        <v>0.7740963855421686</v>
      </c>
      <c r="X73" s="6" t="n">
        <v>0.6472293385391322</v>
      </c>
      <c r="Y73" s="3">
        <f>IF(X73="","",IF(X73&gt;='Léeme'!$B$6,"barato",IF(X73&lt;'Léeme'!$B$7,"caro","medio")))</f>
        <v/>
      </c>
      <c r="Z73" s="10" t="n">
        <v>0.3145415569739509</v>
      </c>
      <c r="AA73" s="10" t="n">
        <v>0.1813258781337077</v>
      </c>
    </row>
    <row r="74">
      <c r="A74" s="3" t="inlineStr">
        <is>
          <t>2010-T1</t>
        </is>
      </c>
      <c r="B74" s="12" t="n">
        <v>40268</v>
      </c>
      <c r="C74" s="13" t="n">
        <v>22.83</v>
      </c>
      <c r="D74" s="13" t="n">
        <v>1.6547</v>
      </c>
      <c r="E74" s="13" t="n">
        <v>1.5</v>
      </c>
      <c r="F74" s="14" t="n">
        <v>0.0384</v>
      </c>
      <c r="G74" s="14" t="n">
        <v>0.02151336357866529</v>
      </c>
      <c r="H74" s="14" t="n">
        <v>0.0636</v>
      </c>
      <c r="I74" s="15">
        <f>IFERROR(C74/D74,"")</f>
        <v/>
      </c>
      <c r="J74" s="8">
        <f>IFERROR(D74/C74,"")</f>
        <v/>
      </c>
      <c r="K74" s="8">
        <f>IFERROR(E74/C74,"")</f>
        <v/>
      </c>
      <c r="L74" s="8">
        <f>IFERROR(F74-G74,"")</f>
        <v/>
      </c>
      <c r="M74" s="8">
        <f>IFERROR(J74-F74,"")</f>
        <v/>
      </c>
      <c r="N74" s="8">
        <f>IFERROR(J74-L74,"")</f>
        <v/>
      </c>
      <c r="O74" s="8">
        <f>IFERROR(J74-H74,"")</f>
        <v/>
      </c>
      <c r="P74" s="8">
        <f>IFERROR(K74-F74,"")</f>
        <v/>
      </c>
      <c r="Q74" s="6" t="n">
        <v>0.1390243902439025</v>
      </c>
      <c r="R74" s="6" t="n">
        <v>0.4853658536585366</v>
      </c>
      <c r="S74" s="6" t="n">
        <v>0.3634146341463415</v>
      </c>
      <c r="T74" s="6" t="n">
        <v>0.3390243902439025</v>
      </c>
      <c r="U74" s="6" t="n">
        <v>0.1666666666666667</v>
      </c>
      <c r="V74" s="6" t="n">
        <v>0.4817351598173516</v>
      </c>
      <c r="W74" s="6" t="n">
        <v>0.4526627218934911</v>
      </c>
      <c r="X74" s="6" t="n">
        <v>0.3468419738100275</v>
      </c>
      <c r="Y74" s="3">
        <f>IF(X74="","",IF(X74&gt;='Léeme'!$B$6,"barato",IF(X74&lt;'Léeme'!$B$7,"caro","medio")))</f>
        <v/>
      </c>
      <c r="Z74" s="10" t="n">
        <v>0.2018729925690863</v>
      </c>
      <c r="AA74" s="10" t="n">
        <v>0.1718893908146628</v>
      </c>
    </row>
    <row r="75">
      <c r="A75" s="3" t="inlineStr">
        <is>
          <t>2010-T2</t>
        </is>
      </c>
      <c r="B75" s="12" t="n">
        <v>40359</v>
      </c>
      <c r="C75" s="13" t="n">
        <v>21.440001</v>
      </c>
      <c r="D75" s="13" t="n">
        <v>1.6547</v>
      </c>
      <c r="E75" s="13" t="n">
        <v>1.5</v>
      </c>
      <c r="F75" s="14" t="n">
        <v>0.0297</v>
      </c>
      <c r="G75" s="14" t="n">
        <v>0.02003548929218568</v>
      </c>
      <c r="H75" s="14" t="n">
        <v>0.0609</v>
      </c>
      <c r="I75" s="15">
        <f>IFERROR(C75/D75,"")</f>
        <v/>
      </c>
      <c r="J75" s="8">
        <f>IFERROR(D75/C75,"")</f>
        <v/>
      </c>
      <c r="K75" s="8">
        <f>IFERROR(E75/C75,"")</f>
        <v/>
      </c>
      <c r="L75" s="8">
        <f>IFERROR(F75-G75,"")</f>
        <v/>
      </c>
      <c r="M75" s="8">
        <f>IFERROR(J75-F75,"")</f>
        <v/>
      </c>
      <c r="N75" s="8">
        <f>IFERROR(J75-L75,"")</f>
        <v/>
      </c>
      <c r="O75" s="8">
        <f>IFERROR(J75-H75,"")</f>
        <v/>
      </c>
      <c r="P75" s="8">
        <f>IFERROR(K75-F75,"")</f>
        <v/>
      </c>
      <c r="Q75" s="6" t="n">
        <v>0.2524038461538461</v>
      </c>
      <c r="R75" s="6" t="n">
        <v>0.6466346153846154</v>
      </c>
      <c r="S75" s="6" t="n">
        <v>0.6274038461538461</v>
      </c>
      <c r="T75" s="6" t="n">
        <v>0.6225961538461539</v>
      </c>
      <c r="U75" s="6" t="n">
        <v>0.2545045045045045</v>
      </c>
      <c r="V75" s="6" t="n">
        <v>0.722972972972973</v>
      </c>
      <c r="W75" s="6" t="n">
        <v>0.5843023255813954</v>
      </c>
      <c r="X75" s="6" t="n">
        <v>0.5301168949424764</v>
      </c>
      <c r="Y75" s="3">
        <f>IF(X75="","",IF(X75&gt;='Léeme'!$B$6,"barato",IF(X75&lt;'Léeme'!$B$7,"caro","medio")))</f>
        <v/>
      </c>
      <c r="Z75" s="10" t="n">
        <v>0.1991912388202151</v>
      </c>
      <c r="AA75" s="10" t="n">
        <v>0.1489943630818356</v>
      </c>
    </row>
    <row r="76">
      <c r="A76" s="3" t="inlineStr">
        <is>
          <t>2010-T3</t>
        </is>
      </c>
      <c r="B76" s="12" t="n">
        <v>40451</v>
      </c>
      <c r="C76" s="13" t="n">
        <v>25.110001</v>
      </c>
      <c r="D76" s="13" t="n">
        <v>1.6547</v>
      </c>
      <c r="E76" s="13" t="n">
        <v>1.52</v>
      </c>
      <c r="F76" s="14" t="n">
        <v>0.0253</v>
      </c>
      <c r="G76" s="14" t="n">
        <v>0.01150177539511255</v>
      </c>
      <c r="H76" s="14" t="n">
        <v>0.0558</v>
      </c>
      <c r="I76" s="15">
        <f>IFERROR(C76/D76,"")</f>
        <v/>
      </c>
      <c r="J76" s="8">
        <f>IFERROR(D76/C76,"")</f>
        <v/>
      </c>
      <c r="K76" s="8">
        <f>IFERROR(E76/C76,"")</f>
        <v/>
      </c>
      <c r="L76" s="8">
        <f>IFERROR(F76-G76,"")</f>
        <v/>
      </c>
      <c r="M76" s="8">
        <f>IFERROR(J76-F76,"")</f>
        <v/>
      </c>
      <c r="N76" s="8">
        <f>IFERROR(J76-L76,"")</f>
        <v/>
      </c>
      <c r="O76" s="8">
        <f>IFERROR(J76-H76,"")</f>
        <v/>
      </c>
      <c r="P76" s="8">
        <f>IFERROR(K76-F76,"")</f>
        <v/>
      </c>
      <c r="Q76" s="6" t="n">
        <v>0.02606635071090047</v>
      </c>
      <c r="R76" s="6" t="n">
        <v>0.5758293838862559</v>
      </c>
      <c r="S76" s="6" t="n">
        <v>0.2630331753554502</v>
      </c>
      <c r="T76" s="6" t="n">
        <v>0.3957345971563981</v>
      </c>
      <c r="U76" s="6" t="n">
        <v>0.07333333333333333</v>
      </c>
      <c r="V76" s="6" t="n">
        <v>0.6466666666666666</v>
      </c>
      <c r="W76" s="6" t="n">
        <v>0.3228571428571428</v>
      </c>
      <c r="X76" s="6" t="n">
        <v>0.3290743785665925</v>
      </c>
      <c r="Y76" s="3">
        <f>IF(X76="","",IF(X76&gt;='Léeme'!$B$6,"barato",IF(X76&lt;'Léeme'!$B$7,"caro","medio")))</f>
        <v/>
      </c>
      <c r="Z76" s="10" t="n">
        <v>0.1216824922207147</v>
      </c>
      <c r="AA76" s="10" t="n">
        <v>0.1203585776509388</v>
      </c>
    </row>
    <row r="77">
      <c r="A77" s="3" t="inlineStr">
        <is>
          <t>2010-T4</t>
        </is>
      </c>
      <c r="B77" s="12" t="n">
        <v>40543</v>
      </c>
      <c r="C77" s="13" t="n">
        <v>26.5</v>
      </c>
      <c r="D77" s="13" t="n">
        <v>1.6547</v>
      </c>
      <c r="E77" s="13" t="n">
        <v>1.52</v>
      </c>
      <c r="F77" s="14" t="n">
        <v>0.033</v>
      </c>
      <c r="G77" s="14" t="n">
        <v>0.01084544776600338</v>
      </c>
      <c r="H77" s="14" t="n">
        <v>0.0607</v>
      </c>
      <c r="I77" s="15">
        <f>IFERROR(C77/D77,"")</f>
        <v/>
      </c>
      <c r="J77" s="8">
        <f>IFERROR(D77/C77,"")</f>
        <v/>
      </c>
      <c r="K77" s="8">
        <f>IFERROR(E77/C77,"")</f>
        <v/>
      </c>
      <c r="L77" s="8">
        <f>IFERROR(F77-G77,"")</f>
        <v/>
      </c>
      <c r="M77" s="8">
        <f>IFERROR(J77-F77,"")</f>
        <v/>
      </c>
      <c r="N77" s="8">
        <f>IFERROR(J77-L77,"")</f>
        <v/>
      </c>
      <c r="O77" s="8">
        <f>IFERROR(J77-H77,"")</f>
        <v/>
      </c>
      <c r="P77" s="8">
        <f>IFERROR(K77-F77,"")</f>
        <v/>
      </c>
      <c r="Q77" s="6" t="n">
        <v>0.01168224299065421</v>
      </c>
      <c r="R77" s="6" t="n">
        <v>0.4042056074766355</v>
      </c>
      <c r="S77" s="6" t="n">
        <v>0.08177570093457943</v>
      </c>
      <c r="T77" s="6" t="n">
        <v>0.0911214953271028</v>
      </c>
      <c r="U77" s="6" t="n">
        <v>0.04166666666666666</v>
      </c>
      <c r="V77" s="6" t="n">
        <v>0.3793859649122807</v>
      </c>
      <c r="W77" s="6" t="n">
        <v>0.2668539325842696</v>
      </c>
      <c r="X77" s="6" t="n">
        <v>0.1823845158417413</v>
      </c>
      <c r="Y77" s="3">
        <f>IF(X77="","",IF(X77&gt;='Léeme'!$B$6,"barato",IF(X77&lt;'Léeme'!$B$7,"caro","medio")))</f>
        <v/>
      </c>
      <c r="Z77" s="10" t="n">
        <v>0.04351851923425643</v>
      </c>
      <c r="AA77" s="10" t="n">
        <v>0.1300501360274733</v>
      </c>
    </row>
    <row r="78">
      <c r="A78" s="3" t="inlineStr">
        <is>
          <t>2011-T1</t>
        </is>
      </c>
      <c r="B78" s="12" t="n">
        <v>40633</v>
      </c>
      <c r="C78" s="13" t="n">
        <v>26.129999</v>
      </c>
      <c r="D78" s="13" t="n">
        <v>1.45</v>
      </c>
      <c r="E78" s="13" t="n">
        <v>1.52</v>
      </c>
      <c r="F78" s="14" t="n">
        <v>0.0347</v>
      </c>
      <c r="G78" s="14" t="n">
        <v>0.02124898173333145</v>
      </c>
      <c r="H78" s="14" t="n">
        <v>0.06059999999999999</v>
      </c>
      <c r="I78" s="15">
        <f>IFERROR(C78/D78,"")</f>
        <v/>
      </c>
      <c r="J78" s="8">
        <f>IFERROR(D78/C78,"")</f>
        <v/>
      </c>
      <c r="K78" s="8">
        <f>IFERROR(E78/C78,"")</f>
        <v/>
      </c>
      <c r="L78" s="8">
        <f>IFERROR(F78-G78,"")</f>
        <v/>
      </c>
      <c r="M78" s="8">
        <f>IFERROR(J78-F78,"")</f>
        <v/>
      </c>
      <c r="N78" s="8">
        <f>IFERROR(J78-L78,"")</f>
        <v/>
      </c>
      <c r="O78" s="8">
        <f>IFERROR(J78-H78,"")</f>
        <v/>
      </c>
      <c r="P78" s="8">
        <f>IFERROR(K78-F78,"")</f>
        <v/>
      </c>
      <c r="Q78" s="6" t="n">
        <v>0.002304147465437788</v>
      </c>
      <c r="R78" s="6" t="n">
        <v>0.1313364055299539</v>
      </c>
      <c r="S78" s="6" t="n">
        <v>0.09907834101382489</v>
      </c>
      <c r="T78" s="6" t="n">
        <v>0.04838709677419355</v>
      </c>
      <c r="U78" s="6" t="n">
        <v>0.04978354978354978</v>
      </c>
      <c r="V78" s="6" t="n">
        <v>0.3398268398268398</v>
      </c>
      <c r="W78" s="6" t="n">
        <v>0.04143646408839779</v>
      </c>
      <c r="X78" s="6" t="n">
        <v>0.1017361206403139</v>
      </c>
      <c r="Y78" s="3">
        <f>IF(X78="","",IF(X78&gt;='Léeme'!$B$6,"barato",IF(X78&lt;'Léeme'!$B$7,"caro","medio")))</f>
        <v/>
      </c>
      <c r="Z78" s="10" t="n">
        <v>0.08986061889030084</v>
      </c>
      <c r="AA78" s="10" t="n">
        <v>0.1651764884731937</v>
      </c>
    </row>
    <row r="79">
      <c r="A79" s="3" t="inlineStr">
        <is>
          <t>2011-T2</t>
        </is>
      </c>
      <c r="B79" s="12" t="n">
        <v>40724</v>
      </c>
      <c r="C79" s="13" t="n">
        <v>24.51</v>
      </c>
      <c r="D79" s="13" t="n">
        <v>1.45</v>
      </c>
      <c r="E79" s="13" t="n">
        <v>1.52</v>
      </c>
      <c r="F79" s="14" t="n">
        <v>0.0318</v>
      </c>
      <c r="G79" s="14" t="n">
        <v>0.034589718808965</v>
      </c>
      <c r="H79" s="14" t="n">
        <v>0.05889999999999999</v>
      </c>
      <c r="I79" s="15">
        <f>IFERROR(C79/D79,"")</f>
        <v/>
      </c>
      <c r="J79" s="8">
        <f>IFERROR(D79/C79,"")</f>
        <v/>
      </c>
      <c r="K79" s="8">
        <f>IFERROR(E79/C79,"")</f>
        <v/>
      </c>
      <c r="L79" s="8">
        <f>IFERROR(F79-G79,"")</f>
        <v/>
      </c>
      <c r="M79" s="8">
        <f>IFERROR(J79-F79,"")</f>
        <v/>
      </c>
      <c r="N79" s="8">
        <f>IFERROR(J79-L79,"")</f>
        <v/>
      </c>
      <c r="O79" s="8">
        <f>IFERROR(J79-H79,"")</f>
        <v/>
      </c>
      <c r="P79" s="8">
        <f>IFERROR(K79-F79,"")</f>
        <v/>
      </c>
      <c r="Q79" s="6" t="n">
        <v>0.02045454545454545</v>
      </c>
      <c r="R79" s="6" t="n">
        <v>0.3659090909090909</v>
      </c>
      <c r="S79" s="6" t="n">
        <v>0.5522727272727272</v>
      </c>
      <c r="T79" s="6" t="n">
        <v>0.09772727272727273</v>
      </c>
      <c r="U79" s="6" t="n">
        <v>0.1175213675213675</v>
      </c>
      <c r="V79" s="6" t="n">
        <v>0.5662393162393162</v>
      </c>
      <c r="W79" s="6" t="n">
        <v>0.1711956521739131</v>
      </c>
      <c r="X79" s="6" t="n">
        <v>0.2701885674711762</v>
      </c>
      <c r="Y79" s="3">
        <f>IF(X79="","",IF(X79&gt;='Léeme'!$B$6,"barato",IF(X79&lt;'Léeme'!$B$7,"caro","medio")))</f>
        <v/>
      </c>
      <c r="Z79" s="10" t="n">
        <v>0.2084241715482431</v>
      </c>
      <c r="AA79" s="10" t="n">
        <v>0.2062246560013448</v>
      </c>
    </row>
    <row r="80">
      <c r="A80" s="3" t="inlineStr">
        <is>
          <t>2011-T3</t>
        </is>
      </c>
      <c r="B80" s="12" t="n">
        <v>40816</v>
      </c>
      <c r="C80" s="13" t="n">
        <v>26.870001</v>
      </c>
      <c r="D80" s="13" t="n">
        <v>1.45</v>
      </c>
      <c r="E80" s="13" t="n">
        <v>1.54</v>
      </c>
      <c r="F80" s="14" t="n">
        <v>0.0192</v>
      </c>
      <c r="G80" s="14" t="n">
        <v>0.0375499603070808</v>
      </c>
      <c r="H80" s="14" t="n">
        <v>0.0529</v>
      </c>
      <c r="I80" s="15">
        <f>IFERROR(C80/D80,"")</f>
        <v/>
      </c>
      <c r="J80" s="8">
        <f>IFERROR(D80/C80,"")</f>
        <v/>
      </c>
      <c r="K80" s="8">
        <f>IFERROR(E80/C80,"")</f>
        <v/>
      </c>
      <c r="L80" s="8">
        <f>IFERROR(F80-G80,"")</f>
        <v/>
      </c>
      <c r="M80" s="8">
        <f>IFERROR(J80-F80,"")</f>
        <v/>
      </c>
      <c r="N80" s="8">
        <f>IFERROR(J80-L80,"")</f>
        <v/>
      </c>
      <c r="O80" s="8">
        <f>IFERROR(J80-H80,"")</f>
        <v/>
      </c>
      <c r="P80" s="8">
        <f>IFERROR(K80-F80,"")</f>
        <v/>
      </c>
      <c r="Q80" s="6" t="n">
        <v>0.006726457399103139</v>
      </c>
      <c r="R80" s="6" t="n">
        <v>0.5089686098654709</v>
      </c>
      <c r="S80" s="6" t="n">
        <v>0.6928251121076233</v>
      </c>
      <c r="T80" s="6" t="n">
        <v>0.1143497757847534</v>
      </c>
      <c r="U80" s="6" t="n">
        <v>0.04430379746835443</v>
      </c>
      <c r="V80" s="6" t="n">
        <v>0.7151898734177216</v>
      </c>
      <c r="W80" s="6" t="n">
        <v>0.05614973262032086</v>
      </c>
      <c r="X80" s="6" t="n">
        <v>0.3055019083804782</v>
      </c>
      <c r="Y80" s="3">
        <f>IF(X80="","",IF(X80&gt;='Léeme'!$B$6,"barato",IF(X80&lt;'Léeme'!$B$7,"caro","medio")))</f>
        <v/>
      </c>
      <c r="Z80" s="10" t="n">
        <v>0.1866925290082306</v>
      </c>
      <c r="AA80" s="10" t="n">
        <v>0.1790257265351614</v>
      </c>
    </row>
    <row r="81">
      <c r="A81" s="3" t="inlineStr">
        <is>
          <t>2011-T4</t>
        </is>
      </c>
      <c r="B81" s="12" t="n">
        <v>40907</v>
      </c>
      <c r="C81" s="13" t="n">
        <v>26.379999</v>
      </c>
      <c r="D81" s="13" t="n">
        <v>1.45</v>
      </c>
      <c r="E81" s="13" t="n">
        <v>1.54</v>
      </c>
      <c r="F81" s="14" t="n">
        <v>0.0189</v>
      </c>
      <c r="G81" s="14" t="n">
        <v>0.03451432214581729</v>
      </c>
      <c r="H81" s="14" t="n">
        <v>0.0519</v>
      </c>
      <c r="I81" s="15">
        <f>IFERROR(C81/D81,"")</f>
        <v/>
      </c>
      <c r="J81" s="8">
        <f>IFERROR(D81/C81,"")</f>
        <v/>
      </c>
      <c r="K81" s="8">
        <f>IFERROR(E81/C81,"")</f>
        <v/>
      </c>
      <c r="L81" s="8">
        <f>IFERROR(F81-G81,"")</f>
        <v/>
      </c>
      <c r="M81" s="8">
        <f>IFERROR(J81-F81,"")</f>
        <v/>
      </c>
      <c r="N81" s="8">
        <f>IFERROR(J81-L81,"")</f>
        <v/>
      </c>
      <c r="O81" s="8">
        <f>IFERROR(J81-H81,"")</f>
        <v/>
      </c>
      <c r="P81" s="8">
        <f>IFERROR(K81-F81,"")</f>
        <v/>
      </c>
      <c r="Q81" s="6" t="n">
        <v>0.01991150442477876</v>
      </c>
      <c r="R81" s="6" t="n">
        <v>0.5420353982300885</v>
      </c>
      <c r="S81" s="6" t="n">
        <v>0.6924778761061947</v>
      </c>
      <c r="T81" s="6" t="n">
        <v>0.1747787610619469</v>
      </c>
      <c r="U81" s="6" t="n">
        <v>0.07708333333333334</v>
      </c>
      <c r="V81" s="6" t="n">
        <v>0.73125</v>
      </c>
      <c r="W81" s="6" t="n">
        <v>0.09736842105263158</v>
      </c>
      <c r="X81" s="6" t="n">
        <v>0.3335578991727106</v>
      </c>
      <c r="Y81" s="3">
        <f>IF(X81="","",IF(X81&gt;='Léeme'!$B$6,"barato",IF(X81&lt;'Léeme'!$B$7,"caro","medio")))</f>
        <v/>
      </c>
      <c r="Z81" s="10" t="n">
        <v>0.2356544780481897</v>
      </c>
      <c r="AA81" s="10" t="n">
        <v>0.1499412110817351</v>
      </c>
    </row>
    <row r="82">
      <c r="A82" s="3" t="inlineStr">
        <is>
          <t>2012-T1</t>
        </is>
      </c>
      <c r="B82" s="12" t="n">
        <v>40998</v>
      </c>
      <c r="C82" s="13" t="n">
        <v>27.190001</v>
      </c>
      <c r="D82" s="13" t="n">
        <v>1.57</v>
      </c>
      <c r="E82" s="13" t="n">
        <v>1.54</v>
      </c>
      <c r="F82" s="14" t="n">
        <v>0.0223</v>
      </c>
      <c r="G82" s="14" t="n">
        <v>0.02898178442347388</v>
      </c>
      <c r="H82" s="14" t="n">
        <v>0.0521</v>
      </c>
      <c r="I82" s="15">
        <f>IFERROR(C82/D82,"")</f>
        <v/>
      </c>
      <c r="J82" s="8">
        <f>IFERROR(D82/C82,"")</f>
        <v/>
      </c>
      <c r="K82" s="8">
        <f>IFERROR(E82/C82,"")</f>
        <v/>
      </c>
      <c r="L82" s="8">
        <f>IFERROR(F82-G82,"")</f>
        <v/>
      </c>
      <c r="M82" s="8">
        <f>IFERROR(J82-F82,"")</f>
        <v/>
      </c>
      <c r="N82" s="8">
        <f>IFERROR(J82-L82,"")</f>
        <v/>
      </c>
      <c r="O82" s="8">
        <f>IFERROR(J82-H82,"")</f>
        <v/>
      </c>
      <c r="P82" s="8">
        <f>IFERROR(K82-F82,"")</f>
        <v/>
      </c>
      <c r="Q82" s="6" t="n">
        <v>0.04585152838427948</v>
      </c>
      <c r="R82" s="6" t="n">
        <v>0.5262008733624454</v>
      </c>
      <c r="S82" s="6" t="n">
        <v>0.5873362445414847</v>
      </c>
      <c r="T82" s="6" t="n">
        <v>0.2379912663755459</v>
      </c>
      <c r="U82" s="6" t="n">
        <v>0.03909465020576132</v>
      </c>
      <c r="V82" s="6" t="n">
        <v>0.6316872427983539</v>
      </c>
      <c r="W82" s="6" t="n">
        <v>0.1787564766839378</v>
      </c>
      <c r="X82" s="6" t="n">
        <v>0.3209883260502583</v>
      </c>
      <c r="Y82" s="3">
        <f>IF(X82="","",IF(X82&gt;='Léeme'!$B$6,"barato",IF(X82&lt;'Léeme'!$B$7,"caro","medio")))</f>
        <v/>
      </c>
      <c r="Z82" s="10" t="n">
        <v>0.3869435193535566</v>
      </c>
      <c r="AA82" s="10" t="n">
        <v>0.1391783668348385</v>
      </c>
    </row>
    <row r="83">
      <c r="A83" s="3" t="inlineStr">
        <is>
          <t>2012-T2</t>
        </is>
      </c>
      <c r="B83" s="12" t="n">
        <v>41089</v>
      </c>
      <c r="C83" s="13" t="n">
        <v>28.290001</v>
      </c>
      <c r="D83" s="13" t="n">
        <v>1.57</v>
      </c>
      <c r="E83" s="13" t="n">
        <v>1.54</v>
      </c>
      <c r="F83" s="14" t="n">
        <v>0.0167</v>
      </c>
      <c r="G83" s="14" t="n">
        <v>0.01737942937466075</v>
      </c>
      <c r="H83" s="14" t="n">
        <v>0.04969999999999999</v>
      </c>
      <c r="I83" s="15">
        <f>IFERROR(C83/D83,"")</f>
        <v/>
      </c>
      <c r="J83" s="8">
        <f>IFERROR(D83/C83,"")</f>
        <v/>
      </c>
      <c r="K83" s="8">
        <f>IFERROR(E83/C83,"")</f>
        <v/>
      </c>
      <c r="L83" s="8">
        <f>IFERROR(F83-G83,"")</f>
        <v/>
      </c>
      <c r="M83" s="8">
        <f>IFERROR(J83-F83,"")</f>
        <v/>
      </c>
      <c r="N83" s="8">
        <f>IFERROR(J83-L83,"")</f>
        <v/>
      </c>
      <c r="O83" s="8">
        <f>IFERROR(J83-H83,"")</f>
        <v/>
      </c>
      <c r="P83" s="8">
        <f>IFERROR(K83-F83,"")</f>
        <v/>
      </c>
      <c r="Q83" s="6" t="n">
        <v>0.03663793103448276</v>
      </c>
      <c r="R83" s="6" t="n">
        <v>0.5754310344827587</v>
      </c>
      <c r="S83" s="6" t="n">
        <v>0.3814655172413793</v>
      </c>
      <c r="T83" s="6" t="n">
        <v>0.2478448275862069</v>
      </c>
      <c r="U83" s="6" t="n">
        <v>0.002032520325203252</v>
      </c>
      <c r="V83" s="6" t="n">
        <v>0.6971544715447154</v>
      </c>
      <c r="W83" s="6" t="n">
        <v>0.1198979591836735</v>
      </c>
      <c r="X83" s="6" t="n">
        <v>0.2943520373426313</v>
      </c>
      <c r="Y83" s="3">
        <f>IF(X83="","",IF(X83&gt;='Léeme'!$B$6,"barato",IF(X83&lt;'Léeme'!$B$7,"caro","medio")))</f>
        <v/>
      </c>
      <c r="Z83" s="10" t="n">
        <v>0.2637816006884413</v>
      </c>
      <c r="AA83" s="10" t="n">
        <v>0.1072800802703739</v>
      </c>
    </row>
    <row r="84">
      <c r="A84" s="3" t="inlineStr">
        <is>
          <t>2012-T3</t>
        </is>
      </c>
      <c r="B84" s="12" t="n">
        <v>41180</v>
      </c>
      <c r="C84" s="13" t="n">
        <v>30.5</v>
      </c>
      <c r="D84" s="13" t="n">
        <v>1.57</v>
      </c>
      <c r="E84" s="13" t="n">
        <v>1.58</v>
      </c>
      <c r="F84" s="14" t="n">
        <v>0.0165</v>
      </c>
      <c r="G84" s="14" t="n">
        <v>0.01685934915482123</v>
      </c>
      <c r="H84" s="14" t="n">
        <v>0.0471</v>
      </c>
      <c r="I84" s="15">
        <f>IFERROR(C84/D84,"")</f>
        <v/>
      </c>
      <c r="J84" s="8">
        <f>IFERROR(D84/C84,"")</f>
        <v/>
      </c>
      <c r="K84" s="8">
        <f>IFERROR(E84/C84,"")</f>
        <v/>
      </c>
      <c r="L84" s="8">
        <f>IFERROR(F84-G84,"")</f>
        <v/>
      </c>
      <c r="M84" s="8">
        <f>IFERROR(J84-F84,"")</f>
        <v/>
      </c>
      <c r="N84" s="8">
        <f>IFERROR(J84-L84,"")</f>
        <v/>
      </c>
      <c r="O84" s="8">
        <f>IFERROR(J84-H84,"")</f>
        <v/>
      </c>
      <c r="P84" s="8">
        <f>IFERROR(K84-F84,"")</f>
        <v/>
      </c>
      <c r="Q84" s="6" t="n">
        <v>0.006382978723404255</v>
      </c>
      <c r="R84" s="6" t="n">
        <v>0.5</v>
      </c>
      <c r="S84" s="6" t="n">
        <v>0.2531914893617021</v>
      </c>
      <c r="T84" s="6" t="n">
        <v>0.2106382978723404</v>
      </c>
      <c r="U84" s="6" t="n">
        <v>0.006024096385542169</v>
      </c>
      <c r="V84" s="6" t="n">
        <v>0.6445783132530121</v>
      </c>
      <c r="W84" s="6" t="n">
        <v>0.02261306532663317</v>
      </c>
      <c r="X84" s="6" t="n">
        <v>0.2347754629889477</v>
      </c>
      <c r="Y84" s="3">
        <f>IF(X84="","",IF(X84&gt;='Léeme'!$B$6,"barato",IF(X84&lt;'Léeme'!$B$7,"caro","medio")))</f>
        <v/>
      </c>
      <c r="Z84" s="10" t="n">
        <v>0.08508315508512276</v>
      </c>
      <c r="AA84" s="10" t="n">
        <v>0.1031671171044273</v>
      </c>
    </row>
    <row r="85">
      <c r="A85" s="3" t="inlineStr">
        <is>
          <t>2012-T4</t>
        </is>
      </c>
      <c r="B85" s="12" t="n">
        <v>41274</v>
      </c>
      <c r="C85" s="13" t="n">
        <v>31.200001</v>
      </c>
      <c r="D85" s="13" t="n">
        <v>1.57</v>
      </c>
      <c r="E85" s="13" t="n">
        <v>1.58</v>
      </c>
      <c r="F85" s="14" t="n">
        <v>0.0178</v>
      </c>
      <c r="G85" s="14" t="n">
        <v>0.01796019703392626</v>
      </c>
      <c r="H85" s="14" t="n">
        <v>0.0458</v>
      </c>
      <c r="I85" s="15">
        <f>IFERROR(C85/D85,"")</f>
        <v/>
      </c>
      <c r="J85" s="8">
        <f>IFERROR(D85/C85,"")</f>
        <v/>
      </c>
      <c r="K85" s="8">
        <f>IFERROR(E85/C85,"")</f>
        <v/>
      </c>
      <c r="L85" s="8">
        <f>IFERROR(F85-G85,"")</f>
        <v/>
      </c>
      <c r="M85" s="8">
        <f>IFERROR(J85-F85,"")</f>
        <v/>
      </c>
      <c r="N85" s="8">
        <f>IFERROR(J85-L85,"")</f>
        <v/>
      </c>
      <c r="O85" s="8">
        <f>IFERROR(J85-H85,"")</f>
        <v/>
      </c>
      <c r="P85" s="8">
        <f>IFERROR(K85-F85,"")</f>
        <v/>
      </c>
      <c r="Q85" s="6" t="n">
        <v>0.006302521008403362</v>
      </c>
      <c r="R85" s="6" t="n">
        <v>0.4558823529411765</v>
      </c>
      <c r="S85" s="6" t="n">
        <v>0.2205882352941176</v>
      </c>
      <c r="T85" s="6" t="n">
        <v>0.2121848739495798</v>
      </c>
      <c r="U85" s="6" t="n">
        <v>0.005952380952380952</v>
      </c>
      <c r="V85" s="6" t="n">
        <v>0.5813492063492064</v>
      </c>
      <c r="W85" s="6" t="n">
        <v>0.01732673267326733</v>
      </c>
      <c r="X85" s="6" t="n">
        <v>0.2142266147383046</v>
      </c>
      <c r="Y85" s="3">
        <f>IF(X85="","",IF(X85&gt;='Léeme'!$B$6,"barato",IF(X85&lt;'Léeme'!$B$7,"caro","medio")))</f>
        <v/>
      </c>
      <c r="Z85" s="10" t="n">
        <v>0.007874583457570639</v>
      </c>
      <c r="AA85" s="10" t="n">
        <v>0.1048541263601421</v>
      </c>
    </row>
    <row r="86">
      <c r="A86" s="3" t="inlineStr">
        <is>
          <t>2013-T1</t>
        </is>
      </c>
      <c r="B86" s="12" t="n">
        <v>41361</v>
      </c>
      <c r="C86" s="13" t="n">
        <v>36.169998</v>
      </c>
      <c r="D86" s="13" t="n">
        <v>1.77</v>
      </c>
      <c r="E86" s="13" t="n">
        <v>1.58</v>
      </c>
      <c r="F86" s="14" t="n">
        <v>0.0187</v>
      </c>
      <c r="G86" s="14" t="n">
        <v>0.02018140490257481</v>
      </c>
      <c r="H86" s="14" t="n">
        <v>0.048</v>
      </c>
      <c r="I86" s="15">
        <f>IFERROR(C86/D86,"")</f>
        <v/>
      </c>
      <c r="J86" s="8">
        <f>IFERROR(D86/C86,"")</f>
        <v/>
      </c>
      <c r="K86" s="8">
        <f>IFERROR(E86/C86,"")</f>
        <v/>
      </c>
      <c r="L86" s="8">
        <f>IFERROR(F86-G86,"")</f>
        <v/>
      </c>
      <c r="M86" s="8">
        <f>IFERROR(J86-F86,"")</f>
        <v/>
      </c>
      <c r="N86" s="8">
        <f>IFERROR(J86-L86,"")</f>
        <v/>
      </c>
      <c r="O86" s="8">
        <f>IFERROR(J86-H86,"")</f>
        <v/>
      </c>
      <c r="P86" s="8">
        <f>IFERROR(K86-F86,"")</f>
        <v/>
      </c>
      <c r="Q86" s="6" t="n">
        <v>0.002074688796680498</v>
      </c>
      <c r="R86" s="6" t="n">
        <v>0.4045643153526971</v>
      </c>
      <c r="S86" s="6" t="n">
        <v>0.2261410788381743</v>
      </c>
      <c r="T86" s="6" t="n">
        <v>0.1141078838174274</v>
      </c>
      <c r="U86" s="6" t="n">
        <v>0.00196078431372549</v>
      </c>
      <c r="V86" s="6" t="n">
        <v>0.3705882352941177</v>
      </c>
      <c r="W86" s="6" t="n">
        <v>0.06097560975609756</v>
      </c>
      <c r="X86" s="6" t="n">
        <v>0.1686303708812743</v>
      </c>
      <c r="Y86" s="3">
        <f>IF(X86="","",IF(X86&gt;='Léeme'!$B$6,"barato",IF(X86&lt;'Léeme'!$B$7,"caro","medio")))</f>
        <v/>
      </c>
      <c r="Z86" s="10" t="n">
        <v>-0.02906993834181792</v>
      </c>
      <c r="AA86" s="10" t="n">
        <v>0.05116048605743395</v>
      </c>
    </row>
    <row r="87">
      <c r="A87" s="3" t="inlineStr">
        <is>
          <t>2013-T2</t>
        </is>
      </c>
      <c r="B87" s="12" t="n">
        <v>41453</v>
      </c>
      <c r="C87" s="13" t="n">
        <v>34.400002</v>
      </c>
      <c r="D87" s="13" t="n">
        <v>1.77</v>
      </c>
      <c r="E87" s="13" t="n">
        <v>1.58</v>
      </c>
      <c r="F87" s="14" t="n">
        <v>0.0252</v>
      </c>
      <c r="G87" s="14" t="n">
        <v>0.01390388827919709</v>
      </c>
      <c r="H87" s="14" t="n">
        <v>0.0541</v>
      </c>
      <c r="I87" s="15">
        <f>IFERROR(C87/D87,"")</f>
        <v/>
      </c>
      <c r="J87" s="8">
        <f>IFERROR(D87/C87,"")</f>
        <v/>
      </c>
      <c r="K87" s="8">
        <f>IFERROR(E87/C87,"")</f>
        <v/>
      </c>
      <c r="L87" s="8">
        <f>IFERROR(F87-G87,"")</f>
        <v/>
      </c>
      <c r="M87" s="8">
        <f>IFERROR(J87-F87,"")</f>
        <v/>
      </c>
      <c r="N87" s="8">
        <f>IFERROR(J87-L87,"")</f>
        <v/>
      </c>
      <c r="O87" s="8">
        <f>IFERROR(J87-H87,"")</f>
        <v/>
      </c>
      <c r="P87" s="8">
        <f>IFERROR(K87-F87,"")</f>
        <v/>
      </c>
      <c r="Q87" s="6" t="n">
        <v>0.0389344262295082</v>
      </c>
      <c r="R87" s="6" t="n">
        <v>0.2889344262295082</v>
      </c>
      <c r="S87" s="6" t="n">
        <v>0.07991803278688525</v>
      </c>
      <c r="T87" s="6" t="n">
        <v>0.05942622950819672</v>
      </c>
      <c r="U87" s="6" t="n">
        <v>0.01744186046511628</v>
      </c>
      <c r="V87" s="6" t="n">
        <v>0.2538759689922481</v>
      </c>
      <c r="W87" s="6" t="n">
        <v>0.3293269230769231</v>
      </c>
      <c r="X87" s="6" t="n">
        <v>0.1525511238983408</v>
      </c>
      <c r="Y87" s="3">
        <f>IF(X87="","",IF(X87&gt;='Léeme'!$B$6,"barato",IF(X87&lt;'Léeme'!$B$7,"caro","medio")))</f>
        <v/>
      </c>
      <c r="Z87" s="10" t="n">
        <v>0.1233490651500866</v>
      </c>
      <c r="AA87" s="10" t="n">
        <v>0.08809452144363172</v>
      </c>
    </row>
    <row r="88">
      <c r="A88" s="3" t="inlineStr">
        <is>
          <t>2013-T3</t>
        </is>
      </c>
      <c r="B88" s="12" t="n">
        <v>41547</v>
      </c>
      <c r="C88" s="13" t="n">
        <v>31.82</v>
      </c>
      <c r="D88" s="13" t="n">
        <v>1.77</v>
      </c>
      <c r="E88" s="13" t="n">
        <v>1.62</v>
      </c>
      <c r="F88" s="14" t="n">
        <v>0.0264</v>
      </c>
      <c r="G88" s="14" t="n">
        <v>0.01538809488600279</v>
      </c>
      <c r="H88" s="14" t="n">
        <v>0.0537</v>
      </c>
      <c r="I88" s="15">
        <f>IFERROR(C88/D88,"")</f>
        <v/>
      </c>
      <c r="J88" s="8">
        <f>IFERROR(D88/C88,"")</f>
        <v/>
      </c>
      <c r="K88" s="8">
        <f>IFERROR(E88/C88,"")</f>
        <v/>
      </c>
      <c r="L88" s="8">
        <f>IFERROR(F88-G88,"")</f>
        <v/>
      </c>
      <c r="M88" s="8">
        <f>IFERROR(J88-F88,"")</f>
        <v/>
      </c>
      <c r="N88" s="8">
        <f>IFERROR(J88-L88,"")</f>
        <v/>
      </c>
      <c r="O88" s="8">
        <f>IFERROR(J88-H88,"")</f>
        <v/>
      </c>
      <c r="P88" s="8">
        <f>IFERROR(K88-F88,"")</f>
        <v/>
      </c>
      <c r="Q88" s="6" t="n">
        <v>0.09109311740890688</v>
      </c>
      <c r="R88" s="6" t="n">
        <v>0.3825910931174089</v>
      </c>
      <c r="S88" s="6" t="n">
        <v>0.1275303643724696</v>
      </c>
      <c r="T88" s="6" t="n">
        <v>0.1558704453441296</v>
      </c>
      <c r="U88" s="6" t="n">
        <v>0.04022988505747126</v>
      </c>
      <c r="V88" s="6" t="n">
        <v>0.3582375478927203</v>
      </c>
      <c r="W88" s="6" t="n">
        <v>0.518957345971564</v>
      </c>
      <c r="X88" s="6" t="n">
        <v>0.239215685594953</v>
      </c>
      <c r="Y88" s="3">
        <f>IF(X88="","",IF(X88&gt;='Léeme'!$B$6,"barato",IF(X88&lt;'Léeme'!$B$7,"caro","medio")))</f>
        <v/>
      </c>
      <c r="Z88" s="10" t="n">
        <v>0.1281845941925717</v>
      </c>
      <c r="AA88" s="10" t="n">
        <v>0.1093880987643596</v>
      </c>
    </row>
    <row r="89">
      <c r="A89" s="3" t="inlineStr">
        <is>
          <t>2013-T4</t>
        </is>
      </c>
      <c r="B89" s="12" t="n">
        <v>41639</v>
      </c>
      <c r="C89" s="13" t="n">
        <v>30.33</v>
      </c>
      <c r="D89" s="13" t="n">
        <v>1.77</v>
      </c>
      <c r="E89" s="13" t="n">
        <v>1.62</v>
      </c>
      <c r="F89" s="14" t="n">
        <v>0.0304</v>
      </c>
      <c r="G89" s="14" t="n">
        <v>0.01232870196195446</v>
      </c>
      <c r="H89" s="14" t="n">
        <v>0.0534</v>
      </c>
      <c r="I89" s="15">
        <f>IFERROR(C89/D89,"")</f>
        <v/>
      </c>
      <c r="J89" s="8">
        <f>IFERROR(D89/C89,"")</f>
        <v/>
      </c>
      <c r="K89" s="8">
        <f>IFERROR(E89/C89,"")</f>
        <v/>
      </c>
      <c r="L89" s="8">
        <f>IFERROR(F89-G89,"")</f>
        <v/>
      </c>
      <c r="M89" s="8">
        <f>IFERROR(J89-F89,"")</f>
        <v/>
      </c>
      <c r="N89" s="8">
        <f>IFERROR(J89-L89,"")</f>
        <v/>
      </c>
      <c r="O89" s="8">
        <f>IFERROR(J89-H89,"")</f>
        <v/>
      </c>
      <c r="P89" s="8">
        <f>IFERROR(K89-F89,"")</f>
        <v/>
      </c>
      <c r="Q89" s="6" t="n">
        <v>0.126</v>
      </c>
      <c r="R89" s="6" t="n">
        <v>0.35</v>
      </c>
      <c r="S89" s="6" t="n">
        <v>0.09</v>
      </c>
      <c r="T89" s="6" t="n">
        <v>0.258</v>
      </c>
      <c r="U89" s="6" t="n">
        <v>0.0625</v>
      </c>
      <c r="V89" s="6" t="n">
        <v>0.3125</v>
      </c>
      <c r="W89" s="6" t="n">
        <v>0.6144859813084113</v>
      </c>
      <c r="X89" s="6" t="n">
        <v>0.2590694259012016</v>
      </c>
      <c r="Y89" s="3">
        <f>IF(X89="","",IF(X89&gt;='Léeme'!$B$6,"barato",IF(X89&lt;'Léeme'!$B$7,"caro","medio")))</f>
        <v/>
      </c>
      <c r="Z89" s="10" t="n">
        <v>0.3475622730867569</v>
      </c>
      <c r="AA89" s="10" t="n">
        <v>0.137738325294162</v>
      </c>
    </row>
    <row r="90">
      <c r="A90" s="3" t="inlineStr">
        <is>
          <t>2014-T1</t>
        </is>
      </c>
      <c r="B90" s="12" t="n">
        <v>41729</v>
      </c>
      <c r="C90" s="13" t="n">
        <v>34.32</v>
      </c>
      <c r="D90" s="13" t="n">
        <v>1.91</v>
      </c>
      <c r="E90" s="13" t="n">
        <v>1.62</v>
      </c>
      <c r="F90" s="14" t="n">
        <v>0.0273</v>
      </c>
      <c r="G90" s="14" t="n">
        <v>0.01120474634772495</v>
      </c>
      <c r="H90" s="14" t="n">
        <v>0.0498</v>
      </c>
      <c r="I90" s="15">
        <f>IFERROR(C90/D90,"")</f>
        <v/>
      </c>
      <c r="J90" s="8">
        <f>IFERROR(D90/C90,"")</f>
        <v/>
      </c>
      <c r="K90" s="8">
        <f>IFERROR(E90/C90,"")</f>
        <v/>
      </c>
      <c r="L90" s="8">
        <f>IFERROR(F90-G90,"")</f>
        <v/>
      </c>
      <c r="M90" s="8">
        <f>IFERROR(J90-F90,"")</f>
        <v/>
      </c>
      <c r="N90" s="8">
        <f>IFERROR(J90-L90,"")</f>
        <v/>
      </c>
      <c r="O90" s="8">
        <f>IFERROR(J90-H90,"")</f>
        <v/>
      </c>
      <c r="P90" s="8">
        <f>IFERROR(K90-F90,"")</f>
        <v/>
      </c>
      <c r="Q90" s="6" t="n">
        <v>0.1047430830039526</v>
      </c>
      <c r="R90" s="6" t="n">
        <v>0.3735177865612648</v>
      </c>
      <c r="S90" s="6" t="n">
        <v>0.08498023715415019</v>
      </c>
      <c r="T90" s="6" t="n">
        <v>0.3221343873517787</v>
      </c>
      <c r="U90" s="6" t="n">
        <v>0.03183520599250936</v>
      </c>
      <c r="V90" s="6" t="n">
        <v>0.2303370786516854</v>
      </c>
      <c r="W90" s="6" t="n">
        <v>0.5506912442396313</v>
      </c>
      <c r="X90" s="6" t="n">
        <v>0.2426055747078532</v>
      </c>
      <c r="Y90" s="3">
        <f>IF(X90="","",IF(X90&gt;='Léeme'!$B$6,"barato",IF(X90&lt;'Léeme'!$B$7,"caro","medio")))</f>
        <v/>
      </c>
      <c r="Z90" s="10" t="n">
        <v>0.2365872316981761</v>
      </c>
      <c r="AA90" s="10" t="n">
        <v>0.139278769457972</v>
      </c>
    </row>
    <row r="91">
      <c r="A91" s="3" t="inlineStr">
        <is>
          <t>2014-T2</t>
        </is>
      </c>
      <c r="B91" s="12" t="n">
        <v>41820</v>
      </c>
      <c r="C91" s="13" t="n">
        <v>37.189999</v>
      </c>
      <c r="D91" s="13" t="n">
        <v>1.91</v>
      </c>
      <c r="E91" s="13" t="n">
        <v>1.62</v>
      </c>
      <c r="F91" s="14" t="n">
        <v>0.0253</v>
      </c>
      <c r="G91" s="14" t="n">
        <v>0.02166947687079812</v>
      </c>
      <c r="H91" s="14" t="n">
        <v>0.0474</v>
      </c>
      <c r="I91" s="15">
        <f>IFERROR(C91/D91,"")</f>
        <v/>
      </c>
      <c r="J91" s="8">
        <f>IFERROR(D91/C91,"")</f>
        <v/>
      </c>
      <c r="K91" s="8">
        <f>IFERROR(E91/C91,"")</f>
        <v/>
      </c>
      <c r="L91" s="8">
        <f>IFERROR(F91-G91,"")</f>
        <v/>
      </c>
      <c r="M91" s="8">
        <f>IFERROR(J91-F91,"")</f>
        <v/>
      </c>
      <c r="N91" s="8">
        <f>IFERROR(J91-L91,"")</f>
        <v/>
      </c>
      <c r="O91" s="8">
        <f>IFERROR(J91-H91,"")</f>
        <v/>
      </c>
      <c r="P91" s="8">
        <f>IFERROR(K91-F91,"")</f>
        <v/>
      </c>
      <c r="Q91" s="6" t="n">
        <v>0.037109375</v>
      </c>
      <c r="R91" s="6" t="n">
        <v>0.279296875</v>
      </c>
      <c r="S91" s="6" t="n">
        <v>0.216796875</v>
      </c>
      <c r="T91" s="6" t="n">
        <v>0.224609375</v>
      </c>
      <c r="U91" s="6" t="n">
        <v>0.005555555555555556</v>
      </c>
      <c r="V91" s="6" t="n">
        <v>0.1944444444444444</v>
      </c>
      <c r="W91" s="6" t="n">
        <v>0.4886363636363636</v>
      </c>
      <c r="X91" s="6" t="n">
        <v>0.2066355519480519</v>
      </c>
      <c r="Y91" s="3">
        <f>IF(X91="","",IF(X91&gt;='Léeme'!$B$6,"barato",IF(X91&lt;'Léeme'!$B$7,"caro","medio")))</f>
        <v/>
      </c>
      <c r="Z91" s="10" t="n">
        <v>-0.02580679274122233</v>
      </c>
      <c r="AA91" s="10" t="n">
        <v>0.1109465011053168</v>
      </c>
    </row>
    <row r="92">
      <c r="A92" s="3" t="inlineStr">
        <is>
          <t>2014-T3</t>
        </is>
      </c>
      <c r="B92" s="12" t="n">
        <v>41912</v>
      </c>
      <c r="C92" s="13" t="n">
        <v>34.57</v>
      </c>
      <c r="D92" s="13" t="n">
        <v>1.91</v>
      </c>
      <c r="E92" s="13" t="n">
        <v>1.68</v>
      </c>
      <c r="F92" s="14" t="n">
        <v>0.0252</v>
      </c>
      <c r="G92" s="14" t="n">
        <v>0.01715098348296906</v>
      </c>
      <c r="H92" s="14" t="n">
        <v>0.04769999999999999</v>
      </c>
      <c r="I92" s="15">
        <f>IFERROR(C92/D92,"")</f>
        <v/>
      </c>
      <c r="J92" s="8">
        <f>IFERROR(D92/C92,"")</f>
        <v/>
      </c>
      <c r="K92" s="8">
        <f>IFERROR(E92/C92,"")</f>
        <v/>
      </c>
      <c r="L92" s="8">
        <f>IFERROR(F92-G92,"")</f>
        <v/>
      </c>
      <c r="M92" s="8">
        <f>IFERROR(J92-F92,"")</f>
        <v/>
      </c>
      <c r="N92" s="8">
        <f>IFERROR(J92-L92,"")</f>
        <v/>
      </c>
      <c r="O92" s="8">
        <f>IFERROR(J92-H92,"")</f>
        <v/>
      </c>
      <c r="P92" s="8">
        <f>IFERROR(K92-F92,"")</f>
        <v/>
      </c>
      <c r="Q92" s="6" t="n">
        <v>0.1061776061776062</v>
      </c>
      <c r="R92" s="6" t="n">
        <v>0.4382239382239382</v>
      </c>
      <c r="S92" s="6" t="n">
        <v>0.2104247104247104</v>
      </c>
      <c r="T92" s="6" t="n">
        <v>0.3918918918918919</v>
      </c>
      <c r="U92" s="6" t="n">
        <v>0.05311355311355311</v>
      </c>
      <c r="V92" s="6" t="n">
        <v>0.3388278388278388</v>
      </c>
      <c r="W92" s="6" t="n">
        <v>0.6031390134529148</v>
      </c>
      <c r="X92" s="6" t="n">
        <v>0.3059712217303505</v>
      </c>
      <c r="Y92" s="3">
        <f>IF(X92="","",IF(X92&gt;='Léeme'!$B$6,"barato",IF(X92&lt;'Léeme'!$B$7,"caro","medio")))</f>
        <v/>
      </c>
      <c r="Z92" s="10" t="n">
        <v>0.08598640740802121</v>
      </c>
      <c r="AA92" s="10" t="n">
        <v>0.1410489398855674</v>
      </c>
    </row>
    <row r="93">
      <c r="A93" s="3" t="inlineStr">
        <is>
          <t>2014-T4</t>
        </is>
      </c>
      <c r="B93" s="12" t="n">
        <v>42004</v>
      </c>
      <c r="C93" s="13" t="n">
        <v>39.369999</v>
      </c>
      <c r="D93" s="13" t="n">
        <v>1.91</v>
      </c>
      <c r="E93" s="13" t="n">
        <v>1.68</v>
      </c>
      <c r="F93" s="14" t="n">
        <v>0.0217</v>
      </c>
      <c r="G93" s="14" t="n">
        <v>0.01231524989320798</v>
      </c>
      <c r="H93" s="14" t="n">
        <v>0.0469</v>
      </c>
      <c r="I93" s="15">
        <f>IFERROR(C93/D93,"")</f>
        <v/>
      </c>
      <c r="J93" s="8">
        <f>IFERROR(D93/C93,"")</f>
        <v/>
      </c>
      <c r="K93" s="8">
        <f>IFERROR(E93/C93,"")</f>
        <v/>
      </c>
      <c r="L93" s="8">
        <f>IFERROR(F93-G93,"")</f>
        <v/>
      </c>
      <c r="M93" s="8">
        <f>IFERROR(J93-F93,"")</f>
        <v/>
      </c>
      <c r="N93" s="8">
        <f>IFERROR(J93-L93,"")</f>
        <v/>
      </c>
      <c r="O93" s="8">
        <f>IFERROR(J93-H93,"")</f>
        <v/>
      </c>
      <c r="P93" s="8">
        <f>IFERROR(K93-F93,"")</f>
        <v/>
      </c>
      <c r="Q93" s="6" t="n">
        <v>0.005725190839694656</v>
      </c>
      <c r="R93" s="6" t="n">
        <v>0.3110687022900763</v>
      </c>
      <c r="S93" s="6" t="n">
        <v>0.07442748091603053</v>
      </c>
      <c r="T93" s="6" t="n">
        <v>0.1354961832061069</v>
      </c>
      <c r="U93" s="6" t="n">
        <v>0.005434782608695652</v>
      </c>
      <c r="V93" s="6" t="n">
        <v>0.266304347826087</v>
      </c>
      <c r="W93" s="6" t="n">
        <v>0.4048672566371682</v>
      </c>
      <c r="X93" s="6" t="n">
        <v>0.1719034206176942</v>
      </c>
      <c r="Y93" s="3">
        <f>IF(X93="","",IF(X93&gt;='Léeme'!$B$6,"barato",IF(X93&lt;'Léeme'!$B$7,"caro","medio")))</f>
        <v/>
      </c>
      <c r="Z93" s="10" t="n">
        <v>0.05296586150202232</v>
      </c>
      <c r="AA93" s="10" t="n">
        <v>0.1001491569720887</v>
      </c>
    </row>
    <row r="94">
      <c r="A94" s="3" t="inlineStr">
        <is>
          <t>2015-T1</t>
        </is>
      </c>
      <c r="B94" s="12" t="n">
        <v>42094</v>
      </c>
      <c r="C94" s="13" t="n">
        <v>40.970001</v>
      </c>
      <c r="D94" s="13" t="n">
        <v>2.09</v>
      </c>
      <c r="E94" s="13" t="n">
        <v>1.68</v>
      </c>
      <c r="F94" s="14" t="n">
        <v>0.0194</v>
      </c>
      <c r="G94" s="14" t="n">
        <v>-0.0008703146293520536</v>
      </c>
      <c r="H94" s="14" t="n">
        <v>0.0451</v>
      </c>
      <c r="I94" s="15">
        <f>IFERROR(C94/D94,"")</f>
        <v/>
      </c>
      <c r="J94" s="8">
        <f>IFERROR(D94/C94,"")</f>
        <v/>
      </c>
      <c r="K94" s="8">
        <f>IFERROR(E94/C94,"")</f>
        <v/>
      </c>
      <c r="L94" s="8">
        <f>IFERROR(F94-G94,"")</f>
        <v/>
      </c>
      <c r="M94" s="8">
        <f>IFERROR(J94-F94,"")</f>
        <v/>
      </c>
      <c r="N94" s="8">
        <f>IFERROR(J94-L94,"")</f>
        <v/>
      </c>
      <c r="O94" s="8">
        <f>IFERROR(J94-H94,"")</f>
        <v/>
      </c>
      <c r="P94" s="8">
        <f>IFERROR(K94-F94,"")</f>
        <v/>
      </c>
      <c r="Q94" s="6" t="n">
        <v>0.04716981132075472</v>
      </c>
      <c r="R94" s="6" t="n">
        <v>0.4849056603773585</v>
      </c>
      <c r="S94" s="6" t="n">
        <v>0.02075471698113207</v>
      </c>
      <c r="T94" s="6" t="n">
        <v>0.3339622641509434</v>
      </c>
      <c r="U94" s="6" t="n">
        <v>0.008960573476702509</v>
      </c>
      <c r="V94" s="6" t="n">
        <v>0.2885304659498208</v>
      </c>
      <c r="W94" s="6" t="n">
        <v>0.5087336244541485</v>
      </c>
      <c r="X94" s="6" t="n">
        <v>0.2418595881015515</v>
      </c>
      <c r="Y94" s="3">
        <f>IF(X94="","",IF(X94&gt;='Léeme'!$B$6,"barato",IF(X94&lt;'Léeme'!$B$7,"caro","medio")))</f>
        <v/>
      </c>
      <c r="Z94" s="10" t="n">
        <v>0.1678418288987562</v>
      </c>
      <c r="AA94" s="10" t="n">
        <v>-0.01456051196794128</v>
      </c>
    </row>
    <row r="95">
      <c r="A95" s="3" t="inlineStr">
        <is>
          <t>2015-T2</t>
        </is>
      </c>
      <c r="B95" s="12" t="n">
        <v>42185</v>
      </c>
      <c r="C95" s="13" t="n">
        <v>35.009998</v>
      </c>
      <c r="D95" s="13" t="n">
        <v>2.09</v>
      </c>
      <c r="E95" s="13" t="n">
        <v>1.68</v>
      </c>
      <c r="F95" s="14" t="n">
        <v>0.0235</v>
      </c>
      <c r="G95" s="14" t="n">
        <v>0.0003503321824429584</v>
      </c>
      <c r="H95" s="14" t="n">
        <v>0.0517</v>
      </c>
      <c r="I95" s="15">
        <f>IFERROR(C95/D95,"")</f>
        <v/>
      </c>
      <c r="J95" s="8">
        <f>IFERROR(D95/C95,"")</f>
        <v/>
      </c>
      <c r="K95" s="8">
        <f>IFERROR(E95/C95,"")</f>
        <v/>
      </c>
      <c r="L95" s="8">
        <f>IFERROR(F95-G95,"")</f>
        <v/>
      </c>
      <c r="M95" s="8">
        <f>IFERROR(J95-F95,"")</f>
        <v/>
      </c>
      <c r="N95" s="8">
        <f>IFERROR(J95-L95,"")</f>
        <v/>
      </c>
      <c r="O95" s="8">
        <f>IFERROR(J95-H95,"")</f>
        <v/>
      </c>
      <c r="P95" s="8">
        <f>IFERROR(K95-F95,"")</f>
        <v/>
      </c>
      <c r="Q95" s="6" t="n">
        <v>0.1958955223880597</v>
      </c>
      <c r="R95" s="6" t="n">
        <v>0.5951492537313433</v>
      </c>
      <c r="S95" s="6" t="n">
        <v>0.06156716417910447</v>
      </c>
      <c r="T95" s="6" t="n">
        <v>0.4309701492537313</v>
      </c>
      <c r="U95" s="6" t="n">
        <v>0.0797872340425532</v>
      </c>
      <c r="V95" s="6" t="n">
        <v>0.398936170212766</v>
      </c>
      <c r="W95" s="6" t="n">
        <v>0.7435344827586207</v>
      </c>
      <c r="X95" s="6" t="n">
        <v>0.3579771395094541</v>
      </c>
      <c r="Y95" s="3">
        <f>IF(X95="","",IF(X95&gt;='Léeme'!$B$6,"barato",IF(X95&lt;'Léeme'!$B$7,"caro","medio")))</f>
        <v/>
      </c>
      <c r="Z95" s="10" t="n">
        <v>0.5291143502097255</v>
      </c>
      <c r="AA95" s="10" t="n">
        <v>0.03777764868471833</v>
      </c>
    </row>
    <row r="96">
      <c r="A96" s="3" t="inlineStr">
        <is>
          <t>2015-T3</t>
        </is>
      </c>
      <c r="B96" s="12" t="n">
        <v>42277</v>
      </c>
      <c r="C96" s="13" t="n">
        <v>36.27</v>
      </c>
      <c r="D96" s="13" t="n">
        <v>2.09</v>
      </c>
      <c r="E96" s="13" t="n">
        <v>1.74</v>
      </c>
      <c r="F96" s="14" t="n">
        <v>0.0206</v>
      </c>
      <c r="G96" s="14" t="n">
        <v>0.002413037985344868</v>
      </c>
      <c r="H96" s="14" t="n">
        <v>0.05309999999999999</v>
      </c>
      <c r="I96" s="15">
        <f>IFERROR(C96/D96,"")</f>
        <v/>
      </c>
      <c r="J96" s="8">
        <f>IFERROR(D96/C96,"")</f>
        <v/>
      </c>
      <c r="K96" s="8">
        <f>IFERROR(E96/C96,"")</f>
        <v/>
      </c>
      <c r="L96" s="8">
        <f>IFERROR(F96-G96,"")</f>
        <v/>
      </c>
      <c r="M96" s="8">
        <f>IFERROR(J96-F96,"")</f>
        <v/>
      </c>
      <c r="N96" s="8">
        <f>IFERROR(J96-L96,"")</f>
        <v/>
      </c>
      <c r="O96" s="8">
        <f>IFERROR(J96-H96,"")</f>
        <v/>
      </c>
      <c r="P96" s="8">
        <f>IFERROR(K96-F96,"")</f>
        <v/>
      </c>
      <c r="Q96" s="6" t="n">
        <v>0.1715867158671587</v>
      </c>
      <c r="R96" s="6" t="n">
        <v>0.6070110701107011</v>
      </c>
      <c r="S96" s="6" t="n">
        <v>0.1088560885608856</v>
      </c>
      <c r="T96" s="6" t="n">
        <v>0.2564575645756458</v>
      </c>
      <c r="U96" s="6" t="n">
        <v>0.0824561403508772</v>
      </c>
      <c r="V96" s="6" t="n">
        <v>0.5</v>
      </c>
      <c r="W96" s="6" t="n">
        <v>0.7127659574468085</v>
      </c>
      <c r="X96" s="6" t="n">
        <v>0.3484476481302967</v>
      </c>
      <c r="Y96" s="3">
        <f>IF(X96="","",IF(X96&gt;='Léeme'!$B$6,"barato",IF(X96&lt;'Léeme'!$B$7,"caro","medio")))</f>
        <v/>
      </c>
      <c r="Z96" s="10" t="n">
        <v>0.4477751947418325</v>
      </c>
      <c r="AA96" s="10" t="n">
        <v>0.02523766677532069</v>
      </c>
    </row>
    <row r="97">
      <c r="A97" s="3" t="inlineStr">
        <is>
          <t>2015-T4</t>
        </is>
      </c>
      <c r="B97" s="12" t="n">
        <v>42369</v>
      </c>
      <c r="C97" s="13" t="n">
        <v>40.049999</v>
      </c>
      <c r="D97" s="13" t="n">
        <v>2.09</v>
      </c>
      <c r="E97" s="13" t="n">
        <v>1.74</v>
      </c>
      <c r="F97" s="14" t="n">
        <v>0.0227</v>
      </c>
      <c r="G97" s="14" t="n">
        <v>0.004363182169185187</v>
      </c>
      <c r="H97" s="14" t="n">
        <v>0.0554</v>
      </c>
      <c r="I97" s="15">
        <f>IFERROR(C97/D97,"")</f>
        <v/>
      </c>
      <c r="J97" s="8">
        <f>IFERROR(D97/C97,"")</f>
        <v/>
      </c>
      <c r="K97" s="8">
        <f>IFERROR(E97/C97,"")</f>
        <v/>
      </c>
      <c r="L97" s="8">
        <f>IFERROR(F97-G97,"")</f>
        <v/>
      </c>
      <c r="M97" s="8">
        <f>IFERROR(J97-F97,"")</f>
        <v/>
      </c>
      <c r="N97" s="8">
        <f>IFERROR(J97-L97,"")</f>
        <v/>
      </c>
      <c r="O97" s="8">
        <f>IFERROR(J97-H97,"")</f>
        <v/>
      </c>
      <c r="P97" s="8">
        <f>IFERROR(K97-F97,"")</f>
        <v/>
      </c>
      <c r="Q97" s="6" t="n">
        <v>0.07846715328467153</v>
      </c>
      <c r="R97" s="6" t="n">
        <v>0.4142335766423358</v>
      </c>
      <c r="S97" s="6" t="n">
        <v>0.05656934306569343</v>
      </c>
      <c r="T97" s="6" t="n">
        <v>0.04927007299270073</v>
      </c>
      <c r="U97" s="6" t="n">
        <v>0.01909722222222222</v>
      </c>
      <c r="V97" s="6" t="n">
        <v>0.2482638888888889</v>
      </c>
      <c r="W97" s="6" t="n">
        <v>0.5273109243697479</v>
      </c>
      <c r="X97" s="6" t="n">
        <v>0.1990303116380372</v>
      </c>
      <c r="Y97" s="3">
        <f>IF(X97="","",IF(X97&gt;='Léeme'!$B$6,"barato",IF(X97&lt;'Léeme'!$B$7,"caro","medio")))</f>
        <v/>
      </c>
      <c r="Z97" s="10" t="n">
        <v>0.1386488001810349</v>
      </c>
      <c r="AA97" s="10" t="n">
        <v>0.04071903505034147</v>
      </c>
    </row>
    <row r="98">
      <c r="A98" s="3" t="inlineStr">
        <is>
          <t>2016-T1</t>
        </is>
      </c>
      <c r="B98" s="12" t="n">
        <v>42460</v>
      </c>
      <c r="C98" s="13" t="n">
        <v>46.200001</v>
      </c>
      <c r="D98" s="13" t="n">
        <v>2.15</v>
      </c>
      <c r="E98" s="13" t="n">
        <v>1.74</v>
      </c>
      <c r="F98" s="14" t="n">
        <v>0.0178</v>
      </c>
      <c r="G98" s="14" t="n">
        <v>0.008472775790126619</v>
      </c>
      <c r="H98" s="14" t="n">
        <v>0.04940000000000001</v>
      </c>
      <c r="I98" s="15">
        <f>IFERROR(C98/D98,"")</f>
        <v/>
      </c>
      <c r="J98" s="8">
        <f>IFERROR(D98/C98,"")</f>
        <v/>
      </c>
      <c r="K98" s="8">
        <f>IFERROR(E98/C98,"")</f>
        <v/>
      </c>
      <c r="L98" s="8">
        <f>IFERROR(F98-G98,"")</f>
        <v/>
      </c>
      <c r="M98" s="8">
        <f>IFERROR(J98-F98,"")</f>
        <v/>
      </c>
      <c r="N98" s="8">
        <f>IFERROR(J98-L98,"")</f>
        <v/>
      </c>
      <c r="O98" s="8">
        <f>IFERROR(J98-H98,"")</f>
        <v/>
      </c>
      <c r="P98" s="8">
        <f>IFERROR(K98-F98,"")</f>
        <v/>
      </c>
      <c r="Q98" s="6" t="n">
        <v>0.009025270758122744</v>
      </c>
      <c r="R98" s="6" t="n">
        <v>0.3808664259927798</v>
      </c>
      <c r="S98" s="6" t="n">
        <v>0.09205776173285199</v>
      </c>
      <c r="T98" s="6" t="n">
        <v>0.0631768953068592</v>
      </c>
      <c r="U98" s="6" t="n">
        <v>0.001718213058419244</v>
      </c>
      <c r="V98" s="6" t="n">
        <v>0.2147766323024055</v>
      </c>
      <c r="W98" s="6" t="n">
        <v>0.3713692946058091</v>
      </c>
      <c r="X98" s="6" t="n">
        <v>0.1618557848224639</v>
      </c>
      <c r="Y98" s="3">
        <f>IF(X98="","",IF(X98&gt;='Léeme'!$B$6,"barato",IF(X98&lt;'Léeme'!$B$7,"caro","medio")))</f>
        <v/>
      </c>
      <c r="Z98" s="10" t="n">
        <v>-0.02575132360282928</v>
      </c>
      <c r="AA98" s="10" t="n">
        <v>0.02694104493813887</v>
      </c>
    </row>
    <row r="99">
      <c r="A99" s="3" t="inlineStr">
        <is>
          <t>2016-T2</t>
        </is>
      </c>
      <c r="B99" s="12" t="n">
        <v>42551</v>
      </c>
      <c r="C99" s="13" t="n">
        <v>51.720001</v>
      </c>
      <c r="D99" s="13" t="n">
        <v>2.15</v>
      </c>
      <c r="E99" s="13" t="n">
        <v>1.74</v>
      </c>
      <c r="F99" s="14" t="n">
        <v>0.0149</v>
      </c>
      <c r="G99" s="14" t="n">
        <v>0.01078476462124622</v>
      </c>
      <c r="H99" s="14" t="n">
        <v>0.044</v>
      </c>
      <c r="I99" s="15">
        <f>IFERROR(C99/D99,"")</f>
        <v/>
      </c>
      <c r="J99" s="8">
        <f>IFERROR(D99/C99,"")</f>
        <v/>
      </c>
      <c r="K99" s="8">
        <f>IFERROR(E99/C99,"")</f>
        <v/>
      </c>
      <c r="L99" s="8">
        <f>IFERROR(F99-G99,"")</f>
        <v/>
      </c>
      <c r="M99" s="8">
        <f>IFERROR(J99-F99,"")</f>
        <v/>
      </c>
      <c r="N99" s="8">
        <f>IFERROR(J99-L99,"")</f>
        <v/>
      </c>
      <c r="O99" s="8">
        <f>IFERROR(J99-H99,"")</f>
        <v/>
      </c>
      <c r="P99" s="8">
        <f>IFERROR(K99-F99,"")</f>
        <v/>
      </c>
      <c r="Q99" s="6" t="n">
        <v>0.001785714285714286</v>
      </c>
      <c r="R99" s="6" t="n">
        <v>0.2910714285714286</v>
      </c>
      <c r="S99" s="6" t="n">
        <v>0.09464285714285714</v>
      </c>
      <c r="T99" s="6" t="n">
        <v>0.07321428571428572</v>
      </c>
      <c r="U99" s="6" t="n">
        <v>0.001700680272108843</v>
      </c>
      <c r="V99" s="6" t="n">
        <v>0.1989795918367347</v>
      </c>
      <c r="W99" s="6" t="n">
        <v>0.1700819672131147</v>
      </c>
      <c r="X99" s="6" t="n">
        <v>0.1187823607194634</v>
      </c>
      <c r="Y99" s="3">
        <f>IF(X99="","",IF(X99&gt;='Léeme'!$B$6,"barato",IF(X99&lt;'Léeme'!$B$7,"caro","medio")))</f>
        <v/>
      </c>
      <c r="Z99" s="10" t="n">
        <v>-0.2194773737795073</v>
      </c>
      <c r="AA99" s="10" t="n">
        <v>0.01672302525589164</v>
      </c>
    </row>
    <row r="100">
      <c r="A100" s="3" t="inlineStr">
        <is>
          <t>2016-T3</t>
        </is>
      </c>
      <c r="B100" s="12" t="n">
        <v>42643</v>
      </c>
      <c r="C100" s="13" t="n">
        <v>50.849998</v>
      </c>
      <c r="D100" s="13" t="n">
        <v>2.15</v>
      </c>
      <c r="E100" s="13" t="n">
        <v>1.82</v>
      </c>
      <c r="F100" s="14" t="n">
        <v>0.016</v>
      </c>
      <c r="G100" s="14" t="n">
        <v>0.01055315859565686</v>
      </c>
      <c r="H100" s="14" t="n">
        <v>0.0423</v>
      </c>
      <c r="I100" s="15">
        <f>IFERROR(C100/D100,"")</f>
        <v/>
      </c>
      <c r="J100" s="8">
        <f>IFERROR(D100/C100,"")</f>
        <v/>
      </c>
      <c r="K100" s="8">
        <f>IFERROR(E100/C100,"")</f>
        <v/>
      </c>
      <c r="L100" s="8">
        <f>IFERROR(F100-G100,"")</f>
        <v/>
      </c>
      <c r="M100" s="8">
        <f>IFERROR(J100-F100,"")</f>
        <v/>
      </c>
      <c r="N100" s="8">
        <f>IFERROR(J100-L100,"")</f>
        <v/>
      </c>
      <c r="O100" s="8">
        <f>IFERROR(J100-H100,"")</f>
        <v/>
      </c>
      <c r="P100" s="8">
        <f>IFERROR(K100-F100,"")</f>
        <v/>
      </c>
      <c r="Q100" s="6" t="n">
        <v>0.008833922261484099</v>
      </c>
      <c r="R100" s="6" t="n">
        <v>0.2703180212014134</v>
      </c>
      <c r="S100" s="6" t="n">
        <v>0.09010600706713781</v>
      </c>
      <c r="T100" s="6" t="n">
        <v>0.1219081272084806</v>
      </c>
      <c r="U100" s="6" t="n">
        <v>0.008417508417508417</v>
      </c>
      <c r="V100" s="6" t="n">
        <v>0.2138047138047138</v>
      </c>
      <c r="W100" s="6" t="n">
        <v>0.2489878542510121</v>
      </c>
      <c r="X100" s="6" t="n">
        <v>0.1374823077445357</v>
      </c>
      <c r="Y100" s="3">
        <f>IF(X100="","",IF(X100&gt;='Léeme'!$B$6,"barato",IF(X100&lt;'Léeme'!$B$7,"caro","medio")))</f>
        <v/>
      </c>
      <c r="Z100" s="10" t="n">
        <v>-0.1522582390751154</v>
      </c>
      <c r="AA100" s="10" t="n">
        <v>0.003915047783134673</v>
      </c>
    </row>
    <row r="101">
      <c r="A101" s="3" t="inlineStr">
        <is>
          <t>2016-T4</t>
        </is>
      </c>
      <c r="B101" s="12" t="n">
        <v>42734</v>
      </c>
      <c r="C101" s="13" t="n">
        <v>44.200001</v>
      </c>
      <c r="D101" s="13" t="n">
        <v>2.15</v>
      </c>
      <c r="E101" s="13" t="n">
        <v>1.82</v>
      </c>
      <c r="F101" s="14" t="n">
        <v>0.0245</v>
      </c>
      <c r="G101" s="14" t="n">
        <v>0.01684333471978894</v>
      </c>
      <c r="H101" s="14" t="n">
        <v>0.0476</v>
      </c>
      <c r="I101" s="15">
        <f>IFERROR(C101/D101,"")</f>
        <v/>
      </c>
      <c r="J101" s="8">
        <f>IFERROR(D101/C101,"")</f>
        <v/>
      </c>
      <c r="K101" s="8">
        <f>IFERROR(E101/C101,"")</f>
        <v/>
      </c>
      <c r="L101" s="8">
        <f>IFERROR(F101-G101,"")</f>
        <v/>
      </c>
      <c r="M101" s="8">
        <f>IFERROR(J101-F101,"")</f>
        <v/>
      </c>
      <c r="N101" s="8">
        <f>IFERROR(J101-L101,"")</f>
        <v/>
      </c>
      <c r="O101" s="8">
        <f>IFERROR(J101-H101,"")</f>
        <v/>
      </c>
      <c r="P101" s="8">
        <f>IFERROR(K101-F101,"")</f>
        <v/>
      </c>
      <c r="Q101" s="6" t="n">
        <v>0.03671328671328671</v>
      </c>
      <c r="R101" s="6" t="n">
        <v>0.1905594405594405</v>
      </c>
      <c r="S101" s="6" t="n">
        <v>0.1660839160839161</v>
      </c>
      <c r="T101" s="6" t="n">
        <v>0.1555944055944056</v>
      </c>
      <c r="U101" s="6" t="n">
        <v>0.045</v>
      </c>
      <c r="V101" s="6" t="n">
        <v>0.155</v>
      </c>
      <c r="W101" s="6" t="n">
        <v>0.526</v>
      </c>
      <c r="X101" s="6" t="n">
        <v>0.1821358641358642</v>
      </c>
      <c r="Y101" s="3">
        <f>IF(X101="","",IF(X101&gt;='Léeme'!$B$6,"barato",IF(X101&lt;'Léeme'!$B$7,"caro","medio")))</f>
        <v/>
      </c>
      <c r="Z101" s="10" t="n">
        <v>0.01103290194278372</v>
      </c>
      <c r="AA101" s="10" t="n">
        <v>0.05497494590459939</v>
      </c>
    </row>
    <row r="102">
      <c r="A102" s="3" t="inlineStr">
        <is>
          <t>2017-T1</t>
        </is>
      </c>
      <c r="B102" s="12" t="n">
        <v>42825</v>
      </c>
      <c r="C102" s="13" t="n">
        <v>43.619999</v>
      </c>
      <c r="D102" s="13" t="n">
        <v>2.28</v>
      </c>
      <c r="E102" s="13" t="n">
        <v>1.82</v>
      </c>
      <c r="F102" s="14" t="n">
        <v>0.024</v>
      </c>
      <c r="G102" s="14" t="n">
        <v>0.02810361681329421</v>
      </c>
      <c r="H102" s="14" t="n">
        <v>0.04650000000000001</v>
      </c>
      <c r="I102" s="15">
        <f>IFERROR(C102/D102,"")</f>
        <v/>
      </c>
      <c r="J102" s="8">
        <f>IFERROR(D102/C102,"")</f>
        <v/>
      </c>
      <c r="K102" s="8">
        <f>IFERROR(E102/C102,"")</f>
        <v/>
      </c>
      <c r="L102" s="8">
        <f>IFERROR(F102-G102,"")</f>
        <v/>
      </c>
      <c r="M102" s="8">
        <f>IFERROR(J102-F102,"")</f>
        <v/>
      </c>
      <c r="N102" s="8">
        <f>IFERROR(J102-L102,"")</f>
        <v/>
      </c>
      <c r="O102" s="8">
        <f>IFERROR(J102-H102,"")</f>
        <v/>
      </c>
      <c r="P102" s="8">
        <f>IFERROR(K102-F102,"")</f>
        <v/>
      </c>
      <c r="Q102" s="6" t="n">
        <v>0.1262975778546713</v>
      </c>
      <c r="R102" s="6" t="n">
        <v>0.3788927335640138</v>
      </c>
      <c r="S102" s="6" t="n">
        <v>0.5069204152249135</v>
      </c>
      <c r="T102" s="6" t="n">
        <v>0.3546712802768166</v>
      </c>
      <c r="U102" s="6" t="n">
        <v>0.05115511551155116</v>
      </c>
      <c r="V102" s="6" t="n">
        <v>0.1765676567656766</v>
      </c>
      <c r="W102" s="6" t="n">
        <v>0.66600790513834</v>
      </c>
      <c r="X102" s="6" t="n">
        <v>0.322930383476569</v>
      </c>
      <c r="Y102" s="3">
        <f>IF(X102="","",IF(X102&gt;='Léeme'!$B$6,"barato",IF(X102&lt;'Léeme'!$B$7,"caro","medio")))</f>
        <v/>
      </c>
      <c r="Z102" s="10" t="n">
        <v>-0.06619773780857807</v>
      </c>
      <c r="AA102" s="10" t="n">
        <v>0.04393866859462592</v>
      </c>
    </row>
    <row r="103">
      <c r="A103" s="3" t="inlineStr">
        <is>
          <t>2017-T2</t>
        </is>
      </c>
      <c r="B103" s="12" t="n">
        <v>42916</v>
      </c>
      <c r="C103" s="13" t="n">
        <v>39.099998</v>
      </c>
      <c r="D103" s="13" t="n">
        <v>2.28</v>
      </c>
      <c r="E103" s="13" t="n">
        <v>1.82</v>
      </c>
      <c r="F103" s="14" t="n">
        <v>0.0231</v>
      </c>
      <c r="G103" s="14" t="n">
        <v>0.01856343166761976</v>
      </c>
      <c r="H103" s="14" t="n">
        <v>0.0438</v>
      </c>
      <c r="I103" s="15">
        <f>IFERROR(C103/D103,"")</f>
        <v/>
      </c>
      <c r="J103" s="8">
        <f>IFERROR(D103/C103,"")</f>
        <v/>
      </c>
      <c r="K103" s="8">
        <f>IFERROR(E103/C103,"")</f>
        <v/>
      </c>
      <c r="L103" s="8">
        <f>IFERROR(F103-G103,"")</f>
        <v/>
      </c>
      <c r="M103" s="8">
        <f>IFERROR(J103-F103,"")</f>
        <v/>
      </c>
      <c r="N103" s="8">
        <f>IFERROR(J103-L103,"")</f>
        <v/>
      </c>
      <c r="O103" s="8">
        <f>IFERROR(J103-H103,"")</f>
        <v/>
      </c>
      <c r="P103" s="8">
        <f>IFERROR(K103-F103,"")</f>
        <v/>
      </c>
      <c r="Q103" s="6" t="n">
        <v>0.238013698630137</v>
      </c>
      <c r="R103" s="6" t="n">
        <v>0.5873287671232876</v>
      </c>
      <c r="S103" s="6" t="n">
        <v>0.4434931506849315</v>
      </c>
      <c r="T103" s="6" t="n">
        <v>0.6763698630136986</v>
      </c>
      <c r="U103" s="6" t="n">
        <v>0.1225490196078431</v>
      </c>
      <c r="V103" s="6" t="n">
        <v>0.3872549019607843</v>
      </c>
      <c r="W103" s="6" t="n">
        <v>0.794921875</v>
      </c>
      <c r="X103" s="6" t="n">
        <v>0.4642758965743831</v>
      </c>
      <c r="Y103" s="3">
        <f>IF(X103="","",IF(X103&gt;='Léeme'!$B$6,"barato",IF(X103&lt;'Léeme'!$B$7,"caro","medio")))</f>
        <v/>
      </c>
      <c r="Z103" s="10" t="n">
        <v>0.1681550595287118</v>
      </c>
      <c r="AA103" s="10" t="n">
        <v>0.05782896885706301</v>
      </c>
    </row>
    <row r="104">
      <c r="A104" s="3" t="inlineStr">
        <is>
          <t>2017-T3</t>
        </is>
      </c>
      <c r="B104" s="12" t="n">
        <v>43007</v>
      </c>
      <c r="C104" s="13" t="n">
        <v>41.66</v>
      </c>
      <c r="D104" s="13" t="n">
        <v>2.28</v>
      </c>
      <c r="E104" s="13" t="n">
        <v>1.9</v>
      </c>
      <c r="F104" s="14" t="n">
        <v>0.0233</v>
      </c>
      <c r="G104" s="14" t="n">
        <v>0.0192812155729698</v>
      </c>
      <c r="H104" s="14" t="n">
        <v>0.0436</v>
      </c>
      <c r="I104" s="15">
        <f>IFERROR(C104/D104,"")</f>
        <v/>
      </c>
      <c r="J104" s="8">
        <f>IFERROR(D104/C104,"")</f>
        <v/>
      </c>
      <c r="K104" s="8">
        <f>IFERROR(E104/C104,"")</f>
        <v/>
      </c>
      <c r="L104" s="8">
        <f>IFERROR(F104-G104,"")</f>
        <v/>
      </c>
      <c r="M104" s="8">
        <f>IFERROR(J104-F104,"")</f>
        <v/>
      </c>
      <c r="N104" s="8">
        <f>IFERROR(J104-L104,"")</f>
        <v/>
      </c>
      <c r="O104" s="8">
        <f>IFERROR(J104-H104,"")</f>
        <v/>
      </c>
      <c r="P104" s="8">
        <f>IFERROR(K104-F104,"")</f>
        <v/>
      </c>
      <c r="Q104" s="6" t="n">
        <v>0.1711864406779661</v>
      </c>
      <c r="R104" s="6" t="n">
        <v>0.4864406779661017</v>
      </c>
      <c r="S104" s="6" t="n">
        <v>0.3610169491525424</v>
      </c>
      <c r="T104" s="6" t="n">
        <v>0.588135593220339</v>
      </c>
      <c r="U104" s="6" t="n">
        <v>0.1084142394822006</v>
      </c>
      <c r="V104" s="6" t="n">
        <v>0.3478964401294498</v>
      </c>
      <c r="W104" s="6" t="n">
        <v>0.7393822393822393</v>
      </c>
      <c r="X104" s="6" t="n">
        <v>0.4003532257158341</v>
      </c>
      <c r="Y104" s="3">
        <f>IF(X104="","",IF(X104&gt;='Léeme'!$B$6,"barato",IF(X104&lt;'Léeme'!$B$7,"caro","medio")))</f>
        <v/>
      </c>
      <c r="Z104" s="10" t="n">
        <v>0.1175018462252937</v>
      </c>
      <c r="AA104" s="10" t="n">
        <v>0.02477410611687936</v>
      </c>
    </row>
    <row r="105">
      <c r="A105" s="3" t="inlineStr">
        <is>
          <t>2017-T4</t>
        </is>
      </c>
      <c r="B105" s="12" t="n">
        <v>43098</v>
      </c>
      <c r="C105" s="13" t="n">
        <v>43.130001</v>
      </c>
      <c r="D105" s="13" t="n">
        <v>2.28</v>
      </c>
      <c r="E105" s="13" t="n">
        <v>1.9</v>
      </c>
      <c r="F105" s="14" t="n">
        <v>0.024</v>
      </c>
      <c r="G105" s="14" t="n">
        <v>0.02172493864295566</v>
      </c>
      <c r="H105" s="14" t="n">
        <v>0.04190000000000001</v>
      </c>
      <c r="I105" s="15">
        <f>IFERROR(C105/D105,"")</f>
        <v/>
      </c>
      <c r="J105" s="8">
        <f>IFERROR(D105/C105,"")</f>
        <v/>
      </c>
      <c r="K105" s="8">
        <f>IFERROR(E105/C105,"")</f>
        <v/>
      </c>
      <c r="L105" s="8">
        <f>IFERROR(F105-G105,"")</f>
        <v/>
      </c>
      <c r="M105" s="8">
        <f>IFERROR(J105-F105,"")</f>
        <v/>
      </c>
      <c r="N105" s="8">
        <f>IFERROR(J105-L105,"")</f>
        <v/>
      </c>
      <c r="O105" s="8">
        <f>IFERROR(J105-H105,"")</f>
        <v/>
      </c>
      <c r="P105" s="8">
        <f>IFERROR(K105-F105,"")</f>
        <v/>
      </c>
      <c r="Q105" s="6" t="n">
        <v>0.1258389261744967</v>
      </c>
      <c r="R105" s="6" t="n">
        <v>0.3976510067114094</v>
      </c>
      <c r="S105" s="6" t="n">
        <v>0.3573825503355705</v>
      </c>
      <c r="T105" s="6" t="n">
        <v>0.5822147651006712</v>
      </c>
      <c r="U105" s="6" t="n">
        <v>0.08814102564102565</v>
      </c>
      <c r="V105" s="6" t="n">
        <v>0.2387820512820513</v>
      </c>
      <c r="W105" s="6" t="n">
        <v>0.6622137404580153</v>
      </c>
      <c r="X105" s="6" t="n">
        <v>0.3503177236718913</v>
      </c>
      <c r="Y105" s="3">
        <f>IF(X105="","",IF(X105&gt;='Léeme'!$B$6,"barato",IF(X105&lt;'Léeme'!$B$7,"caro","medio")))</f>
        <v/>
      </c>
      <c r="Z105" s="10" t="n">
        <v>0.1648962107350553</v>
      </c>
      <c r="AA105" s="10" t="n">
        <v>0.0504867478614075</v>
      </c>
    </row>
    <row r="106">
      <c r="A106" s="3" t="inlineStr">
        <is>
          <t>2018-T1</t>
        </is>
      </c>
      <c r="B106" s="12" t="n">
        <v>43188</v>
      </c>
      <c r="C106" s="13" t="n">
        <v>39.259998</v>
      </c>
      <c r="D106" s="13" t="n">
        <v>2.4</v>
      </c>
      <c r="E106" s="13" t="n">
        <v>1.9</v>
      </c>
      <c r="F106" s="14" t="n">
        <v>0.0274</v>
      </c>
      <c r="G106" s="14" t="n">
        <v>0.02263468931091861</v>
      </c>
      <c r="H106" s="14" t="n">
        <v>0.0463</v>
      </c>
      <c r="I106" s="15">
        <f>IFERROR(C106/D106,"")</f>
        <v/>
      </c>
      <c r="J106" s="8">
        <f>IFERROR(D106/C106,"")</f>
        <v/>
      </c>
      <c r="K106" s="8">
        <f>IFERROR(E106/C106,"")</f>
        <v/>
      </c>
      <c r="L106" s="8">
        <f>IFERROR(F106-G106,"")</f>
        <v/>
      </c>
      <c r="M106" s="8">
        <f>IFERROR(J106-F106,"")</f>
        <v/>
      </c>
      <c r="N106" s="8">
        <f>IFERROR(J106-L106,"")</f>
        <v/>
      </c>
      <c r="O106" s="8">
        <f>IFERROR(J106-H106,"")</f>
        <v/>
      </c>
      <c r="P106" s="8">
        <f>IFERROR(K106-F106,"")</f>
        <v/>
      </c>
      <c r="Q106" s="6" t="n">
        <v>0.2840531561461794</v>
      </c>
      <c r="R106" s="6" t="n">
        <v>0.5465116279069767</v>
      </c>
      <c r="S106" s="6" t="n">
        <v>0.5166112956810631</v>
      </c>
      <c r="T106" s="6" t="n">
        <v>0.6960132890365448</v>
      </c>
      <c r="U106" s="6" t="n">
        <v>0.1698412698412698</v>
      </c>
      <c r="V106" s="6" t="n">
        <v>0.2841269841269841</v>
      </c>
      <c r="W106" s="6" t="n">
        <v>0.809433962264151</v>
      </c>
      <c r="X106" s="6" t="n">
        <v>0.4723702264290241</v>
      </c>
      <c r="Y106" s="3">
        <f>IF(X106="","",IF(X106&gt;='Léeme'!$B$6,"barato",IF(X106&lt;'Léeme'!$B$7,"caro","medio")))</f>
        <v/>
      </c>
      <c r="Z106" s="10" t="n">
        <v>0.4608865519837233</v>
      </c>
      <c r="AA106" s="10" t="n">
        <v>0.05646697659443745</v>
      </c>
    </row>
    <row r="107">
      <c r="A107" s="3" t="inlineStr">
        <is>
          <t>2018-T2</t>
        </is>
      </c>
      <c r="B107" s="12" t="n">
        <v>43280</v>
      </c>
      <c r="C107" s="13" t="n">
        <v>43.959999</v>
      </c>
      <c r="D107" s="13" t="n">
        <v>2.4</v>
      </c>
      <c r="E107" s="13" t="n">
        <v>1.9</v>
      </c>
      <c r="F107" s="14" t="n">
        <v>0.0285</v>
      </c>
      <c r="G107" s="14" t="n">
        <v>0.02781921607842497</v>
      </c>
      <c r="H107" s="14" t="n">
        <v>0.0484</v>
      </c>
      <c r="I107" s="15">
        <f>IFERROR(C107/D107,"")</f>
        <v/>
      </c>
      <c r="J107" s="8">
        <f>IFERROR(D107/C107,"")</f>
        <v/>
      </c>
      <c r="K107" s="8">
        <f>IFERROR(E107/C107,"")</f>
        <v/>
      </c>
      <c r="L107" s="8">
        <f>IFERROR(F107-G107,"")</f>
        <v/>
      </c>
      <c r="M107" s="8">
        <f>IFERROR(J107-F107,"")</f>
        <v/>
      </c>
      <c r="N107" s="8">
        <f>IFERROR(J107-L107,"")</f>
        <v/>
      </c>
      <c r="O107" s="8">
        <f>IFERROR(J107-H107,"")</f>
        <v/>
      </c>
      <c r="P107" s="8">
        <f>IFERROR(K107-F107,"")</f>
        <v/>
      </c>
      <c r="Q107" s="6" t="n">
        <v>0.1661184210526316</v>
      </c>
      <c r="R107" s="6" t="n">
        <v>0.2483552631578947</v>
      </c>
      <c r="S107" s="6" t="n">
        <v>0.4490131578947368</v>
      </c>
      <c r="T107" s="6" t="n">
        <v>0.3865131578947368</v>
      </c>
      <c r="U107" s="6" t="n">
        <v>0.06761006289308176</v>
      </c>
      <c r="V107" s="6" t="n">
        <v>0.1179245283018868</v>
      </c>
      <c r="W107" s="6" t="n">
        <v>0.6399253731343284</v>
      </c>
      <c r="X107" s="6" t="n">
        <v>0.296494280618471</v>
      </c>
      <c r="Y107" s="3">
        <f>IF(X107="","",IF(X107&gt;='Léeme'!$B$6,"barato",IF(X107&lt;'Léeme'!$B$7,"caro","medio")))</f>
        <v/>
      </c>
      <c r="Z107" s="10" t="n">
        <v>0.2459329602442091</v>
      </c>
      <c r="AA107" s="10" t="n">
        <v>0.03287144122503882</v>
      </c>
    </row>
    <row r="108">
      <c r="A108" s="3" t="inlineStr">
        <is>
          <t>2018-T3</t>
        </is>
      </c>
      <c r="B108" s="12" t="n">
        <v>43371</v>
      </c>
      <c r="C108" s="13" t="n">
        <v>44.82</v>
      </c>
      <c r="D108" s="13" t="n">
        <v>2.4</v>
      </c>
      <c r="E108" s="13" t="n">
        <v>2</v>
      </c>
      <c r="F108" s="14" t="n">
        <v>0.0305</v>
      </c>
      <c r="G108" s="14" t="n">
        <v>0.02642923856874257</v>
      </c>
      <c r="H108" s="14" t="n">
        <v>0.0489</v>
      </c>
      <c r="I108" s="15">
        <f>IFERROR(C108/D108,"")</f>
        <v/>
      </c>
      <c r="J108" s="8">
        <f>IFERROR(D108/C108,"")</f>
        <v/>
      </c>
      <c r="K108" s="8">
        <f>IFERROR(E108/C108,"")</f>
        <v/>
      </c>
      <c r="L108" s="8">
        <f>IFERROR(F108-G108,"")</f>
        <v/>
      </c>
      <c r="M108" s="8">
        <f>IFERROR(J108-F108,"")</f>
        <v/>
      </c>
      <c r="N108" s="8">
        <f>IFERROR(J108-L108,"")</f>
        <v/>
      </c>
      <c r="O108" s="8">
        <f>IFERROR(J108-H108,"")</f>
        <v/>
      </c>
      <c r="P108" s="8">
        <f>IFERROR(K108-F108,"")</f>
        <v/>
      </c>
      <c r="Q108" s="6" t="n">
        <v>0.1449511400651466</v>
      </c>
      <c r="R108" s="6" t="n">
        <v>0.1547231270358306</v>
      </c>
      <c r="S108" s="6" t="n">
        <v>0.3143322475570032</v>
      </c>
      <c r="T108" s="6" t="n">
        <v>0.2882736156351792</v>
      </c>
      <c r="U108" s="6" t="n">
        <v>0.09813084112149532</v>
      </c>
      <c r="V108" s="6" t="n">
        <v>0.1074766355140187</v>
      </c>
      <c r="W108" s="6" t="n">
        <v>0.584870848708487</v>
      </c>
      <c r="X108" s="6" t="n">
        <v>0.2418226365195944</v>
      </c>
      <c r="Y108" s="3">
        <f>IF(X108="","",IF(X108&gt;='Léeme'!$B$6,"barato",IF(X108&lt;'Léeme'!$B$7,"caro","medio")))</f>
        <v/>
      </c>
      <c r="Z108" s="10" t="n">
        <v>0.298855960153273</v>
      </c>
      <c r="AA108" s="10" t="n">
        <v>-0.01061055544035427</v>
      </c>
    </row>
    <row r="109">
      <c r="A109" s="3" t="inlineStr">
        <is>
          <t>2018-T4</t>
        </is>
      </c>
      <c r="B109" s="12" t="n">
        <v>43465</v>
      </c>
      <c r="C109" s="13" t="n">
        <v>48.509998</v>
      </c>
      <c r="D109" s="13" t="n">
        <v>2.4</v>
      </c>
      <c r="E109" s="13" t="n">
        <v>2</v>
      </c>
      <c r="F109" s="14" t="n">
        <v>0.0269</v>
      </c>
      <c r="G109" s="14" t="n">
        <v>0.02147328577667773</v>
      </c>
      <c r="H109" s="14" t="n">
        <v>0.0516</v>
      </c>
      <c r="I109" s="15">
        <f>IFERROR(C109/D109,"")</f>
        <v/>
      </c>
      <c r="J109" s="8">
        <f>IFERROR(D109/C109,"")</f>
        <v/>
      </c>
      <c r="K109" s="8">
        <f>IFERROR(E109/C109,"")</f>
        <v/>
      </c>
      <c r="L109" s="8">
        <f>IFERROR(F109-G109,"")</f>
        <v/>
      </c>
      <c r="M109" s="8">
        <f>IFERROR(J109-F109,"")</f>
        <v/>
      </c>
      <c r="N109" s="8">
        <f>IFERROR(J109-L109,"")</f>
        <v/>
      </c>
      <c r="O109" s="8">
        <f>IFERROR(J109-H109,"")</f>
        <v/>
      </c>
      <c r="P109" s="8">
        <f>IFERROR(K109-F109,"")</f>
        <v/>
      </c>
      <c r="Q109" s="6" t="n">
        <v>0.06290322580645161</v>
      </c>
      <c r="R109" s="6" t="n">
        <v>0.1403225806451613</v>
      </c>
      <c r="S109" s="6" t="n">
        <v>0.2080645161290323</v>
      </c>
      <c r="T109" s="6" t="n">
        <v>0.07258064516129033</v>
      </c>
      <c r="U109" s="6" t="n">
        <v>0.05092592592592592</v>
      </c>
      <c r="V109" s="6" t="n">
        <v>0.1157407407407407</v>
      </c>
      <c r="W109" s="6" t="n">
        <v>0.4653284671532847</v>
      </c>
      <c r="X109" s="6" t="n">
        <v>0.1594094430802695</v>
      </c>
      <c r="Y109" s="3">
        <f>IF(X109="","",IF(X109&gt;='Léeme'!$B$6,"barato",IF(X109&lt;'Léeme'!$B$7,"caro","medio")))</f>
        <v/>
      </c>
      <c r="Z109" s="10" t="n">
        <v>0.1391863079799913</v>
      </c>
      <c r="AA109" s="10" t="n">
        <v>0.0150376676385533</v>
      </c>
    </row>
    <row r="110">
      <c r="A110" s="3" t="inlineStr">
        <is>
          <t>2019-T1</t>
        </is>
      </c>
      <c r="B110" s="12" t="n">
        <v>43553</v>
      </c>
      <c r="C110" s="13" t="n">
        <v>55.389999</v>
      </c>
      <c r="D110" s="13" t="n">
        <v>2.53</v>
      </c>
      <c r="E110" s="13" t="n">
        <v>2</v>
      </c>
      <c r="F110" s="14" t="n">
        <v>0.0241</v>
      </c>
      <c r="G110" s="14" t="n">
        <v>0.01518861535132188</v>
      </c>
      <c r="H110" s="14" t="n">
        <v>0.0466</v>
      </c>
      <c r="I110" s="15">
        <f>IFERROR(C110/D110,"")</f>
        <v/>
      </c>
      <c r="J110" s="8">
        <f>IFERROR(D110/C110,"")</f>
        <v/>
      </c>
      <c r="K110" s="8">
        <f>IFERROR(E110/C110,"")</f>
        <v/>
      </c>
      <c r="L110" s="8">
        <f>IFERROR(F110-G110,"")</f>
        <v/>
      </c>
      <c r="M110" s="8">
        <f>IFERROR(J110-F110,"")</f>
        <v/>
      </c>
      <c r="N110" s="8">
        <f>IFERROR(J110-L110,"")</f>
        <v/>
      </c>
      <c r="O110" s="8">
        <f>IFERROR(J110-H110,"")</f>
        <v/>
      </c>
      <c r="P110" s="8">
        <f>IFERROR(K110-F110,"")</f>
        <v/>
      </c>
      <c r="Q110" s="6" t="n">
        <v>0.02396166134185303</v>
      </c>
      <c r="R110" s="6" t="n">
        <v>0.1166134185303514</v>
      </c>
      <c r="S110" s="6" t="n">
        <v>0.08466453674121406</v>
      </c>
      <c r="T110" s="6" t="n">
        <v>0.09744408945686901</v>
      </c>
      <c r="U110" s="6" t="n">
        <v>0.01070336391437309</v>
      </c>
      <c r="V110" s="6" t="n">
        <v>0.07492354740061162</v>
      </c>
      <c r="W110" s="6" t="n">
        <v>0.3447653429602888</v>
      </c>
      <c r="X110" s="6" t="n">
        <v>0.1075822800493659</v>
      </c>
      <c r="Y110" s="3">
        <f>IF(X110="","",IF(X110&gt;='Léeme'!$B$6,"barato",IF(X110&lt;'Léeme'!$B$7,"caro","medio")))</f>
        <v/>
      </c>
      <c r="Z110" s="10" t="n">
        <v>-0.3629637379744706</v>
      </c>
      <c r="AA110" s="10" t="n">
        <v>-0.01251154719495651</v>
      </c>
    </row>
    <row r="111">
      <c r="A111" s="3" t="inlineStr">
        <is>
          <t>2019-T2</t>
        </is>
      </c>
      <c r="B111" s="12" t="n">
        <v>43644</v>
      </c>
      <c r="C111" s="13" t="n">
        <v>53.009998</v>
      </c>
      <c r="D111" s="13" t="n">
        <v>2.53</v>
      </c>
      <c r="E111" s="13" t="n">
        <v>2</v>
      </c>
      <c r="F111" s="14" t="n">
        <v>0.02</v>
      </c>
      <c r="G111" s="14" t="n">
        <v>0.01795910555360614</v>
      </c>
      <c r="H111" s="14" t="n">
        <v>0.0432</v>
      </c>
      <c r="I111" s="15">
        <f>IFERROR(C111/D111,"")</f>
        <v/>
      </c>
      <c r="J111" s="8">
        <f>IFERROR(D111/C111,"")</f>
        <v/>
      </c>
      <c r="K111" s="8">
        <f>IFERROR(E111/C111,"")</f>
        <v/>
      </c>
      <c r="L111" s="8">
        <f>IFERROR(F111-G111,"")</f>
        <v/>
      </c>
      <c r="M111" s="8">
        <f>IFERROR(J111-F111,"")</f>
        <v/>
      </c>
      <c r="N111" s="8">
        <f>IFERROR(J111-L111,"")</f>
        <v/>
      </c>
      <c r="O111" s="8">
        <f>IFERROR(J111-H111,"")</f>
        <v/>
      </c>
      <c r="P111" s="8">
        <f>IFERROR(K111-F111,"")</f>
        <v/>
      </c>
      <c r="Q111" s="6" t="n">
        <v>0.03955696202531646</v>
      </c>
      <c r="R111" s="6" t="n">
        <v>0.3496835443037974</v>
      </c>
      <c r="S111" s="6" t="n">
        <v>0.2484177215189873</v>
      </c>
      <c r="T111" s="6" t="n">
        <v>0.3022151898734177</v>
      </c>
      <c r="U111" s="6" t="n">
        <v>0.02272727272727273</v>
      </c>
      <c r="V111" s="6" t="n">
        <v>0.2045454545454546</v>
      </c>
      <c r="W111" s="6" t="n">
        <v>0.4517857142857143</v>
      </c>
      <c r="X111" s="6" t="n">
        <v>0.2312759798971372</v>
      </c>
      <c r="Y111" s="3">
        <f>IF(X111="","",IF(X111&gt;='Léeme'!$B$6,"barato",IF(X111&lt;'Léeme'!$B$7,"caro","medio")))</f>
        <v/>
      </c>
      <c r="Z111" s="10" t="n">
        <v>-0.3254103587535399</v>
      </c>
      <c r="AA111" s="10" t="n">
        <v>-0.003778336455656395</v>
      </c>
    </row>
    <row r="112">
      <c r="A112" s="3" t="inlineStr">
        <is>
          <t>2019-T3</t>
        </is>
      </c>
      <c r="B112" s="12" t="n">
        <v>43738</v>
      </c>
      <c r="C112" s="13" t="n">
        <v>56.400002</v>
      </c>
      <c r="D112" s="13" t="n">
        <v>2.53</v>
      </c>
      <c r="E112" s="13" t="n">
        <v>2.06</v>
      </c>
      <c r="F112" s="14" t="n">
        <v>0.0168</v>
      </c>
      <c r="G112" s="14" t="n">
        <v>0.01737641210666641</v>
      </c>
      <c r="H112" s="14" t="n">
        <v>0.0388</v>
      </c>
      <c r="I112" s="15">
        <f>IFERROR(C112/D112,"")</f>
        <v/>
      </c>
      <c r="J112" s="8">
        <f>IFERROR(D112/C112,"")</f>
        <v/>
      </c>
      <c r="K112" s="8">
        <f>IFERROR(E112/C112,"")</f>
        <v/>
      </c>
      <c r="L112" s="8">
        <f>IFERROR(F112-G112,"")</f>
        <v/>
      </c>
      <c r="M112" s="8">
        <f>IFERROR(J112-F112,"")</f>
        <v/>
      </c>
      <c r="N112" s="8">
        <f>IFERROR(J112-L112,"")</f>
        <v/>
      </c>
      <c r="O112" s="8">
        <f>IFERROR(J112-H112,"")</f>
        <v/>
      </c>
      <c r="P112" s="8">
        <f>IFERROR(K112-F112,"")</f>
        <v/>
      </c>
      <c r="Q112" s="6" t="n">
        <v>0.02037617554858934</v>
      </c>
      <c r="R112" s="6" t="n">
        <v>0.3714733542319749</v>
      </c>
      <c r="S112" s="6" t="n">
        <v>0.2492163009404389</v>
      </c>
      <c r="T112" s="6" t="n">
        <v>0.3934169278996865</v>
      </c>
      <c r="U112" s="6" t="n">
        <v>0.01651651651651652</v>
      </c>
      <c r="V112" s="6" t="n">
        <v>0.2507507507507508</v>
      </c>
      <c r="W112" s="6" t="n">
        <v>0.3374558303886926</v>
      </c>
      <c r="X112" s="6" t="n">
        <v>0.2341722651823785</v>
      </c>
      <c r="Y112" s="3">
        <f>IF(X112="","",IF(X112&gt;='Léeme'!$B$6,"barato",IF(X112&lt;'Léeme'!$B$7,"caro","medio")))</f>
        <v/>
      </c>
      <c r="Z112" s="10" t="n">
        <v>-0.3640458607737418</v>
      </c>
      <c r="AA112" s="10" t="n">
        <v>0.01026513103964932</v>
      </c>
    </row>
    <row r="113">
      <c r="A113" s="3" t="inlineStr">
        <is>
          <t>2019-T4</t>
        </is>
      </c>
      <c r="B113" s="12" t="n">
        <v>43830</v>
      </c>
      <c r="C113" s="13" t="n">
        <v>53.619999</v>
      </c>
      <c r="D113" s="13" t="n">
        <v>2.53</v>
      </c>
      <c r="E113" s="13" t="n">
        <v>2.06</v>
      </c>
      <c r="F113" s="14" t="n">
        <v>0.0192</v>
      </c>
      <c r="G113" s="14" t="n">
        <v>0.02092290394862917</v>
      </c>
      <c r="H113" s="14" t="n">
        <v>0.0387</v>
      </c>
      <c r="I113" s="15">
        <f>IFERROR(C113/D113,"")</f>
        <v/>
      </c>
      <c r="J113" s="8">
        <f>IFERROR(D113/C113,"")</f>
        <v/>
      </c>
      <c r="K113" s="8">
        <f>IFERROR(E113/C113,"")</f>
        <v/>
      </c>
      <c r="L113" s="8">
        <f>IFERROR(F113-G113,"")</f>
        <v/>
      </c>
      <c r="M113" s="8">
        <f>IFERROR(J113-F113,"")</f>
        <v/>
      </c>
      <c r="N113" s="8">
        <f>IFERROR(J113-L113,"")</f>
        <v/>
      </c>
      <c r="O113" s="8">
        <f>IFERROR(J113-H113,"")</f>
        <v/>
      </c>
      <c r="P113" s="8">
        <f>IFERROR(K113-F113,"")</f>
        <v/>
      </c>
      <c r="Q113" s="6" t="n">
        <v>0.04503105590062112</v>
      </c>
      <c r="R113" s="6" t="n">
        <v>0.3742236024844721</v>
      </c>
      <c r="S113" s="6" t="n">
        <v>0.3338509316770186</v>
      </c>
      <c r="T113" s="6" t="n">
        <v>0.5077639751552795</v>
      </c>
      <c r="U113" s="6" t="n">
        <v>0.04910714285714286</v>
      </c>
      <c r="V113" s="6" t="n">
        <v>0.2425595238095238</v>
      </c>
      <c r="W113" s="6" t="n">
        <v>0.4737762237762238</v>
      </c>
      <c r="X113" s="6" t="n">
        <v>0.2894732079514687</v>
      </c>
      <c r="Y113" s="3">
        <f>IF(X113="","",IF(X113&gt;='Léeme'!$B$6,"barato",IF(X113&lt;'Léeme'!$B$7,"caro","medio")))</f>
        <v/>
      </c>
      <c r="Z113" s="10" t="n">
        <v>-0.2023287679322915</v>
      </c>
      <c r="AA113" s="10" t="n">
        <v>-0.01316328492279817</v>
      </c>
    </row>
    <row r="114">
      <c r="A114" s="3" t="inlineStr">
        <is>
          <t>2020-T1</t>
        </is>
      </c>
      <c r="B114" s="12" t="n">
        <v>43921</v>
      </c>
      <c r="C114" s="13" t="n">
        <v>32.189999</v>
      </c>
      <c r="D114" s="13" t="n">
        <v>2.71</v>
      </c>
      <c r="E114" s="13" t="n">
        <v>2.06</v>
      </c>
      <c r="F114" s="14" t="n">
        <v>0.006999999999999999</v>
      </c>
      <c r="G114" s="14" t="n">
        <v>0.0234131667975952</v>
      </c>
      <c r="H114" s="14" t="n">
        <v>0.0459</v>
      </c>
      <c r="I114" s="15">
        <f>IFERROR(C114/D114,"")</f>
        <v/>
      </c>
      <c r="J114" s="8">
        <f>IFERROR(D114/C114,"")</f>
        <v/>
      </c>
      <c r="K114" s="8">
        <f>IFERROR(E114/C114,"")</f>
        <v/>
      </c>
      <c r="L114" s="8">
        <f>IFERROR(F114-G114,"")</f>
        <v/>
      </c>
      <c r="M114" s="8">
        <f>IFERROR(J114-F114,"")</f>
        <v/>
      </c>
      <c r="N114" s="8">
        <f>IFERROR(J114-L114,"")</f>
        <v/>
      </c>
      <c r="O114" s="8">
        <f>IFERROR(J114-H114,"")</f>
        <v/>
      </c>
      <c r="P114" s="8">
        <f>IFERROR(K114-F114,"")</f>
        <v/>
      </c>
      <c r="Q114" s="6" t="n">
        <v>0.6107692307692307</v>
      </c>
      <c r="R114" s="6" t="n">
        <v>0.9338461538461539</v>
      </c>
      <c r="S114" s="6" t="n">
        <v>0.936923076923077</v>
      </c>
      <c r="T114" s="6" t="n">
        <v>0.9061538461538462</v>
      </c>
      <c r="U114" s="6" t="n">
        <v>0.4203539823008849</v>
      </c>
      <c r="V114" s="6" t="n">
        <v>0.9424778761061947</v>
      </c>
      <c r="W114" s="6" t="n">
        <v>0.9844290657439446</v>
      </c>
      <c r="X114" s="6" t="n">
        <v>0.8192790331204761</v>
      </c>
      <c r="Y114" s="3">
        <f>IF(X114="","",IF(X114&gt;='Léeme'!$B$6,"barato",IF(X114&lt;'Léeme'!$B$7,"caro","medio")))</f>
        <v/>
      </c>
      <c r="Z114" s="10" t="n">
        <v>0.4353631143022079</v>
      </c>
      <c r="AA114" s="10" t="n">
        <v>0.1033110734906586</v>
      </c>
    </row>
    <row r="115">
      <c r="A115" s="3" t="inlineStr">
        <is>
          <t>2020-T2</t>
        </is>
      </c>
      <c r="B115" s="12" t="n">
        <v>44012</v>
      </c>
      <c r="C115" s="13" t="n">
        <v>35.48</v>
      </c>
      <c r="D115" s="13" t="n">
        <v>2.71</v>
      </c>
      <c r="E115" s="13" t="n">
        <v>2.06</v>
      </c>
      <c r="F115" s="14" t="n">
        <v>0.0066</v>
      </c>
      <c r="G115" s="14" t="n">
        <v>0.001982013035848551</v>
      </c>
      <c r="H115" s="14" t="n">
        <v>0.0358</v>
      </c>
      <c r="I115" s="15">
        <f>IFERROR(C115/D115,"")</f>
        <v/>
      </c>
      <c r="J115" s="8">
        <f>IFERROR(D115/C115,"")</f>
        <v/>
      </c>
      <c r="K115" s="8">
        <f>IFERROR(E115/C115,"")</f>
        <v/>
      </c>
      <c r="L115" s="8">
        <f>IFERROR(F115-G115,"")</f>
        <v/>
      </c>
      <c r="M115" s="8">
        <f>IFERROR(J115-F115,"")</f>
        <v/>
      </c>
      <c r="N115" s="8">
        <f>IFERROR(J115-L115,"")</f>
        <v/>
      </c>
      <c r="O115" s="8">
        <f>IFERROR(J115-H115,"")</f>
        <v/>
      </c>
      <c r="P115" s="8">
        <f>IFERROR(K115-F115,"")</f>
        <v/>
      </c>
      <c r="Q115" s="6" t="n">
        <v>0.4954268292682927</v>
      </c>
      <c r="R115" s="6" t="n">
        <v>0.9070121951219512</v>
      </c>
      <c r="S115" s="6" t="n">
        <v>0.7789634146341463</v>
      </c>
      <c r="T115" s="6" t="n">
        <v>0.9100609756097561</v>
      </c>
      <c r="U115" s="6" t="n">
        <v>0.3289473684210527</v>
      </c>
      <c r="V115" s="6" t="n">
        <v>0.9137426900584795</v>
      </c>
      <c r="W115" s="6" t="n">
        <v>0.9092465753424658</v>
      </c>
      <c r="X115" s="6" t="n">
        <v>0.7490571497794491</v>
      </c>
      <c r="Y115" s="3">
        <f>IF(X115="","",IF(X115&gt;='Léeme'!$B$6,"barato",IF(X115&lt;'Léeme'!$B$7,"caro","medio")))</f>
        <v/>
      </c>
      <c r="Z115" s="10" t="n">
        <v>0.3801671770750894</v>
      </c>
      <c r="AA115" s="10" t="n">
        <v>0.0844224841742216</v>
      </c>
    </row>
    <row r="116">
      <c r="A116" s="3" t="inlineStr">
        <is>
          <t>2020-T3</t>
        </is>
      </c>
      <c r="B116" s="12" t="n">
        <v>44104</v>
      </c>
      <c r="C116" s="13" t="n">
        <v>34.509998</v>
      </c>
      <c r="D116" s="13" t="n">
        <v>2.71</v>
      </c>
      <c r="E116" s="13" t="n">
        <v>2.08</v>
      </c>
      <c r="F116" s="14" t="n">
        <v>0.0069</v>
      </c>
      <c r="G116" s="14" t="n">
        <v>0.01281069849552385</v>
      </c>
      <c r="H116" s="14" t="n">
        <v>0.034</v>
      </c>
      <c r="I116" s="15">
        <f>IFERROR(C116/D116,"")</f>
        <v/>
      </c>
      <c r="J116" s="8">
        <f>IFERROR(D116/C116,"")</f>
        <v/>
      </c>
      <c r="K116" s="8">
        <f>IFERROR(E116/C116,"")</f>
        <v/>
      </c>
      <c r="L116" s="8">
        <f>IFERROR(F116-G116,"")</f>
        <v/>
      </c>
      <c r="M116" s="8">
        <f>IFERROR(J116-F116,"")</f>
        <v/>
      </c>
      <c r="N116" s="8">
        <f>IFERROR(J116-L116,"")</f>
        <v/>
      </c>
      <c r="O116" s="8">
        <f>IFERROR(J116-H116,"")</f>
        <v/>
      </c>
      <c r="P116" s="8">
        <f>IFERROR(K116-F116,"")</f>
        <v/>
      </c>
      <c r="Q116" s="6" t="n">
        <v>0.5392749244712991</v>
      </c>
      <c r="R116" s="6" t="n">
        <v>0.9078549848942599</v>
      </c>
      <c r="S116" s="6" t="n">
        <v>0.8655589123867069</v>
      </c>
      <c r="T116" s="6" t="n">
        <v>0.9290030211480362</v>
      </c>
      <c r="U116" s="6" t="n">
        <v>0.372463768115942</v>
      </c>
      <c r="V116" s="6" t="n">
        <v>0.9231884057971015</v>
      </c>
      <c r="W116" s="6" t="n">
        <v>0.9203389830508475</v>
      </c>
      <c r="X116" s="6" t="n">
        <v>0.779668999980599</v>
      </c>
      <c r="Y116" s="3">
        <f>IF(X116="","",IF(X116&gt;='Léeme'!$B$6,"barato",IF(X116&lt;'Léeme'!$B$7,"caro","medio")))</f>
        <v/>
      </c>
      <c r="Z116" s="10" t="n">
        <v>0.3033563833564634</v>
      </c>
      <c r="AA116" s="10" t="n">
        <v>0.08732668540237754</v>
      </c>
    </row>
    <row r="117">
      <c r="A117" s="3" t="inlineStr">
        <is>
          <t>2020-T4</t>
        </is>
      </c>
      <c r="B117" s="12" t="n">
        <v>44196</v>
      </c>
      <c r="C117" s="13" t="n">
        <v>40.919998</v>
      </c>
      <c r="D117" s="13" t="n">
        <v>2.71</v>
      </c>
      <c r="E117" s="13" t="n">
        <v>2.08</v>
      </c>
      <c r="F117" s="14" t="n">
        <v>0.009300000000000001</v>
      </c>
      <c r="G117" s="14" t="n">
        <v>0.01175745213840584</v>
      </c>
      <c r="H117" s="14" t="n">
        <v>0.0313</v>
      </c>
      <c r="I117" s="15">
        <f>IFERROR(C117/D117,"")</f>
        <v/>
      </c>
      <c r="J117" s="8">
        <f>IFERROR(D117/C117,"")</f>
        <v/>
      </c>
      <c r="K117" s="8">
        <f>IFERROR(E117/C117,"")</f>
        <v/>
      </c>
      <c r="L117" s="8">
        <f>IFERROR(F117-G117,"")</f>
        <v/>
      </c>
      <c r="M117" s="8">
        <f>IFERROR(J117-F117,"")</f>
        <v/>
      </c>
      <c r="N117" s="8">
        <f>IFERROR(J117-L117,"")</f>
        <v/>
      </c>
      <c r="O117" s="8">
        <f>IFERROR(J117-H117,"")</f>
        <v/>
      </c>
      <c r="P117" s="8">
        <f>IFERROR(K117-F117,"")</f>
        <v/>
      </c>
      <c r="Q117" s="6" t="n">
        <v>0.3577844311377246</v>
      </c>
      <c r="R117" s="6" t="n">
        <v>0.8158682634730539</v>
      </c>
      <c r="S117" s="6" t="n">
        <v>0.7410179640718563</v>
      </c>
      <c r="T117" s="6" t="n">
        <v>0.8637724550898204</v>
      </c>
      <c r="U117" s="6" t="n">
        <v>0.2399425287356322</v>
      </c>
      <c r="V117" s="6" t="n">
        <v>0.8117816091954023</v>
      </c>
      <c r="W117" s="6" t="n">
        <v>0.8439597315436241</v>
      </c>
      <c r="X117" s="6" t="n">
        <v>0.6677324261781592</v>
      </c>
      <c r="Y117" s="3">
        <f>IF(X117="","",IF(X117&gt;='Léeme'!$B$6,"barato",IF(X117&lt;'Léeme'!$B$7,"caro","medio")))</f>
        <v/>
      </c>
      <c r="Z117" s="10" t="n">
        <v>0.2190552214364643</v>
      </c>
      <c r="AA117" s="10" t="n">
        <v>0.0357811716527745</v>
      </c>
    </row>
    <row r="118">
      <c r="A118" s="3" t="inlineStr">
        <is>
          <t>2021-T1</t>
        </is>
      </c>
      <c r="B118" s="12" t="n">
        <v>44286</v>
      </c>
      <c r="C118" s="13" t="n">
        <v>44.07</v>
      </c>
      <c r="D118" s="13" t="n">
        <v>2.49</v>
      </c>
      <c r="E118" s="13" t="n">
        <v>2.08</v>
      </c>
      <c r="F118" s="14" t="n">
        <v>0.0174</v>
      </c>
      <c r="G118" s="14" t="n">
        <v>0.01669816779170685</v>
      </c>
      <c r="H118" s="14" t="n">
        <v>0.0377</v>
      </c>
      <c r="I118" s="15">
        <f>IFERROR(C118/D118,"")</f>
        <v/>
      </c>
      <c r="J118" s="8">
        <f>IFERROR(D118/C118,"")</f>
        <v/>
      </c>
      <c r="K118" s="8">
        <f>IFERROR(E118/C118,"")</f>
        <v/>
      </c>
      <c r="L118" s="8">
        <f>IFERROR(F118-G118,"")</f>
        <v/>
      </c>
      <c r="M118" s="8">
        <f>IFERROR(J118-F118,"")</f>
        <v/>
      </c>
      <c r="N118" s="8">
        <f>IFERROR(J118-L118,"")</f>
        <v/>
      </c>
      <c r="O118" s="8">
        <f>IFERROR(J118-H118,"")</f>
        <v/>
      </c>
      <c r="P118" s="8">
        <f>IFERROR(K118-F118,"")</f>
        <v/>
      </c>
      <c r="Q118" s="6" t="n">
        <v>0.2655786350148368</v>
      </c>
      <c r="R118" s="6" t="n">
        <v>0.672106824925816</v>
      </c>
      <c r="S118" s="6" t="n">
        <v>0.5029673590504451</v>
      </c>
      <c r="T118" s="6" t="n">
        <v>0.755192878338279</v>
      </c>
      <c r="U118" s="6" t="n">
        <v>0.1894586894586895</v>
      </c>
      <c r="V118" s="6" t="n">
        <v>0.613960113960114</v>
      </c>
      <c r="W118" s="6" t="n">
        <v>0.7192691029900332</v>
      </c>
      <c r="X118" s="6" t="n">
        <v>0.5312190862483162</v>
      </c>
      <c r="Y118" s="3">
        <f>IF(X118="","",IF(X118&gt;='Léeme'!$B$6,"barato",IF(X118&lt;'Léeme'!$B$7,"caro","medio")))</f>
        <v/>
      </c>
      <c r="Z118" s="10" t="n">
        <v>0.05758963720782551</v>
      </c>
      <c r="AA118" s="10" t="n">
        <v>0.03283846712098648</v>
      </c>
    </row>
    <row r="119">
      <c r="A119" s="3" t="inlineStr">
        <is>
          <t>2021-T2</t>
        </is>
      </c>
      <c r="B119" s="12" t="n">
        <v>44377</v>
      </c>
      <c r="C119" s="13" t="n">
        <v>46.880001</v>
      </c>
      <c r="D119" s="13" t="n">
        <v>2.49</v>
      </c>
      <c r="E119" s="13" t="n">
        <v>2.08</v>
      </c>
      <c r="F119" s="14" t="n">
        <v>0.0145</v>
      </c>
      <c r="G119" s="14" t="n">
        <v>0.04918257089467626</v>
      </c>
      <c r="H119" s="14" t="n">
        <v>0.0336</v>
      </c>
      <c r="I119" s="15">
        <f>IFERROR(C119/D119,"")</f>
        <v/>
      </c>
      <c r="J119" s="8">
        <f>IFERROR(D119/C119,"")</f>
        <v/>
      </c>
      <c r="K119" s="8">
        <f>IFERROR(E119/C119,"")</f>
        <v/>
      </c>
      <c r="L119" s="8">
        <f>IFERROR(F119-G119,"")</f>
        <v/>
      </c>
      <c r="M119" s="8">
        <f>IFERROR(J119-F119,"")</f>
        <v/>
      </c>
      <c r="N119" s="8">
        <f>IFERROR(J119-L119,"")</f>
        <v/>
      </c>
      <c r="O119" s="8">
        <f>IFERROR(J119-H119,"")</f>
        <v/>
      </c>
      <c r="P119" s="8">
        <f>IFERROR(K119-F119,"")</f>
        <v/>
      </c>
      <c r="Q119" s="6" t="n">
        <v>0.1632352941176471</v>
      </c>
      <c r="R119" s="6" t="n">
        <v>0.6602941176470588</v>
      </c>
      <c r="S119" s="6" t="n">
        <v>0.875</v>
      </c>
      <c r="T119" s="6" t="n">
        <v>0.7720588235294118</v>
      </c>
      <c r="U119" s="6" t="n">
        <v>0.1370056497175141</v>
      </c>
      <c r="V119" s="6" t="n">
        <v>0.617231638418079</v>
      </c>
      <c r="W119" s="6" t="n">
        <v>0.5641447368421053</v>
      </c>
      <c r="X119" s="6" t="n">
        <v>0.5412814657531166</v>
      </c>
      <c r="Y119" s="3">
        <f>IF(X119="","",IF(X119&gt;='Léeme'!$B$6,"barato",IF(X119&lt;'Léeme'!$B$7,"caro","medio")))</f>
        <v/>
      </c>
      <c r="Z119" s="10" t="n">
        <v>-0.04841084707921783</v>
      </c>
      <c r="AA119" s="10" t="n">
        <v>0.0415329718720403</v>
      </c>
    </row>
    <row r="120">
      <c r="A120" s="3" t="inlineStr">
        <is>
          <t>2021-T3</t>
        </is>
      </c>
      <c r="B120" s="12" t="n">
        <v>44469</v>
      </c>
      <c r="C120" s="13" t="n">
        <v>43.189999</v>
      </c>
      <c r="D120" s="13" t="n">
        <v>2.49</v>
      </c>
      <c r="E120" s="13" t="n">
        <v>2.12</v>
      </c>
      <c r="F120" s="14" t="n">
        <v>0.0152</v>
      </c>
      <c r="G120" s="14" t="n">
        <v>0.05152015301793966</v>
      </c>
      <c r="H120" s="14" t="n">
        <v>0.0336</v>
      </c>
      <c r="I120" s="15">
        <f>IFERROR(C120/D120,"")</f>
        <v/>
      </c>
      <c r="J120" s="8">
        <f>IFERROR(D120/C120,"")</f>
        <v/>
      </c>
      <c r="K120" s="8">
        <f>IFERROR(E120/C120,"")</f>
        <v/>
      </c>
      <c r="L120" s="8">
        <f>IFERROR(F120-G120,"")</f>
        <v/>
      </c>
      <c r="M120" s="8">
        <f>IFERROR(J120-F120,"")</f>
        <v/>
      </c>
      <c r="N120" s="8">
        <f>IFERROR(J120-L120,"")</f>
        <v/>
      </c>
      <c r="O120" s="8">
        <f>IFERROR(J120-H120,"")</f>
        <v/>
      </c>
      <c r="P120" s="8">
        <f>IFERROR(K120-F120,"")</f>
        <v/>
      </c>
      <c r="Q120" s="6" t="n">
        <v>0.2959183673469388</v>
      </c>
      <c r="R120" s="6" t="n">
        <v>0.7244897959183674</v>
      </c>
      <c r="S120" s="6" t="n">
        <v>0.9139941690962099</v>
      </c>
      <c r="T120" s="6" t="n">
        <v>0.7973760932944607</v>
      </c>
      <c r="U120" s="6" t="n">
        <v>0.2394957983193277</v>
      </c>
      <c r="V120" s="6" t="n">
        <v>0.6820728291316527</v>
      </c>
      <c r="W120" s="6" t="n">
        <v>0.7247557003257329</v>
      </c>
      <c r="X120" s="6" t="n">
        <v>0.6254432504903843</v>
      </c>
      <c r="Y120" s="3">
        <f>IF(X120="","",IF(X120&gt;='Léeme'!$B$6,"barato",IF(X120&lt;'Léeme'!$B$7,"caro","medio")))</f>
        <v/>
      </c>
      <c r="Z120" s="10" t="n">
        <v>-0.04194352922630573</v>
      </c>
      <c r="AA120" s="10" t="n"/>
    </row>
    <row r="121">
      <c r="A121" s="3" t="inlineStr">
        <is>
          <t>2021-T4</t>
        </is>
      </c>
      <c r="B121" s="12" t="n">
        <v>44561</v>
      </c>
      <c r="C121" s="13" t="n">
        <v>48.07</v>
      </c>
      <c r="D121" s="13" t="n">
        <v>2.6</v>
      </c>
      <c r="E121" s="13" t="n">
        <v>2.12</v>
      </c>
      <c r="F121" s="14" t="n">
        <v>0.0152</v>
      </c>
      <c r="G121" s="14" t="n">
        <v>0.06901970403700863</v>
      </c>
      <c r="H121" s="14" t="n">
        <v>0.0337</v>
      </c>
      <c r="I121" s="15">
        <f>IFERROR(C121/D121,"")</f>
        <v/>
      </c>
      <c r="J121" s="8">
        <f>IFERROR(D121/C121,"")</f>
        <v/>
      </c>
      <c r="K121" s="8">
        <f>IFERROR(E121/C121,"")</f>
        <v/>
      </c>
      <c r="L121" s="8">
        <f>IFERROR(F121-G121,"")</f>
        <v/>
      </c>
      <c r="M121" s="8">
        <f>IFERROR(J121-F121,"")</f>
        <v/>
      </c>
      <c r="N121" s="8">
        <f>IFERROR(J121-L121,"")</f>
        <v/>
      </c>
      <c r="O121" s="8">
        <f>IFERROR(J121-H121,"")</f>
        <v/>
      </c>
      <c r="P121" s="8">
        <f>IFERROR(K121-F121,"")</f>
        <v/>
      </c>
      <c r="Q121" s="6" t="n">
        <v>0.2095375722543353</v>
      </c>
      <c r="R121" s="6" t="n">
        <v>0.6632947976878613</v>
      </c>
      <c r="S121" s="6" t="n">
        <v>0.9552023121387283</v>
      </c>
      <c r="T121" s="6" t="n">
        <v>0.7702312138728323</v>
      </c>
      <c r="U121" s="6" t="n">
        <v>0.1375</v>
      </c>
      <c r="V121" s="6" t="n">
        <v>0.5819444444444445</v>
      </c>
      <c r="W121" s="6" t="n">
        <v>0.5951612903225807</v>
      </c>
      <c r="X121" s="6" t="n">
        <v>0.5589816615315403</v>
      </c>
      <c r="Y121" s="3">
        <f>IF(X121="","",IF(X121&gt;='Léeme'!$B$6,"barato",IF(X121&lt;'Léeme'!$B$7,"caro","medio")))</f>
        <v/>
      </c>
      <c r="Z121" s="10" t="n">
        <v>-0.01049702763005578</v>
      </c>
      <c r="AA121" s="10" t="n"/>
    </row>
    <row r="122">
      <c r="A122" s="3" t="inlineStr">
        <is>
          <t>2022-T1</t>
        </is>
      </c>
      <c r="B122" s="12" t="n">
        <v>44651</v>
      </c>
      <c r="C122" s="13" t="n">
        <v>44.939999</v>
      </c>
      <c r="D122" s="13" t="n">
        <v>2.67</v>
      </c>
      <c r="E122" s="13" t="n">
        <v>2.12</v>
      </c>
      <c r="F122" s="14" t="n">
        <v>0.0232</v>
      </c>
      <c r="G122" s="14" t="n">
        <v>0.07937278766517819</v>
      </c>
      <c r="H122" s="14" t="n">
        <v>0.0428</v>
      </c>
      <c r="I122" s="15">
        <f>IFERROR(C122/D122,"")</f>
        <v/>
      </c>
      <c r="J122" s="8">
        <f>IFERROR(D122/C122,"")</f>
        <v/>
      </c>
      <c r="K122" s="8">
        <f>IFERROR(E122/C122,"")</f>
        <v/>
      </c>
      <c r="L122" s="8">
        <f>IFERROR(F122-G122,"")</f>
        <v/>
      </c>
      <c r="M122" s="8">
        <f>IFERROR(J122-F122,"")</f>
        <v/>
      </c>
      <c r="N122" s="8">
        <f>IFERROR(J122-L122,"")</f>
        <v/>
      </c>
      <c r="O122" s="8">
        <f>IFERROR(J122-H122,"")</f>
        <v/>
      </c>
      <c r="P122" s="8">
        <f>IFERROR(K122-F122,"")</f>
        <v/>
      </c>
      <c r="Q122" s="6" t="n">
        <v>0.330945558739255</v>
      </c>
      <c r="R122" s="6" t="n">
        <v>0.6088825214899714</v>
      </c>
      <c r="S122" s="6" t="n">
        <v>0.9699140401146131</v>
      </c>
      <c r="T122" s="6" t="n">
        <v>0.7005730659025788</v>
      </c>
      <c r="U122" s="6" t="n">
        <v>0.2024793388429752</v>
      </c>
      <c r="V122" s="6" t="n">
        <v>0.4311294765840221</v>
      </c>
      <c r="W122" s="6" t="n">
        <v>0.7364217252396166</v>
      </c>
      <c r="X122" s="6" t="n">
        <v>0.5686208181304331</v>
      </c>
      <c r="Y122" s="3">
        <f>IF(X122="","",IF(X122&gt;='Léeme'!$B$6,"barato",IF(X122&lt;'Léeme'!$B$7,"caro","medio")))</f>
        <v/>
      </c>
      <c r="Z122" s="10" t="n">
        <v>0.02079112192706778</v>
      </c>
      <c r="AA122" s="10" t="n"/>
    </row>
    <row r="123">
      <c r="A123" s="3" t="inlineStr">
        <is>
          <t>2022-T2</t>
        </is>
      </c>
      <c r="B123" s="12" t="n">
        <v>44742</v>
      </c>
      <c r="C123" s="13" t="n">
        <v>43</v>
      </c>
      <c r="D123" s="13" t="n">
        <v>2.85</v>
      </c>
      <c r="E123" s="13" t="n">
        <v>2.12</v>
      </c>
      <c r="F123" s="14" t="n">
        <v>0.0298</v>
      </c>
      <c r="G123" s="14" t="n">
        <v>0.08538171195642064</v>
      </c>
      <c r="H123" s="14" t="n">
        <v>0.0534</v>
      </c>
      <c r="I123" s="15">
        <f>IFERROR(C123/D123,"")</f>
        <v/>
      </c>
      <c r="J123" s="8">
        <f>IFERROR(D123/C123,"")</f>
        <v/>
      </c>
      <c r="K123" s="8">
        <f>IFERROR(E123/C123,"")</f>
        <v/>
      </c>
      <c r="L123" s="8">
        <f>IFERROR(F123-G123,"")</f>
        <v/>
      </c>
      <c r="M123" s="8">
        <f>IFERROR(J123-F123,"")</f>
        <v/>
      </c>
      <c r="N123" s="8">
        <f>IFERROR(J123-L123,"")</f>
        <v/>
      </c>
      <c r="O123" s="8">
        <f>IFERROR(J123-H123,"")</f>
        <v/>
      </c>
      <c r="P123" s="8">
        <f>IFERROR(K123-F123,"")</f>
        <v/>
      </c>
      <c r="Q123" s="6" t="n">
        <v>0.3877840909090909</v>
      </c>
      <c r="R123" s="6" t="n">
        <v>0.6150568181818182</v>
      </c>
      <c r="S123" s="6" t="n">
        <v>0.9815340909090909</v>
      </c>
      <c r="T123" s="6" t="n">
        <v>0.6065340909090909</v>
      </c>
      <c r="U123" s="6" t="n">
        <v>0.2554644808743169</v>
      </c>
      <c r="V123" s="6" t="n">
        <v>0.2363387978142077</v>
      </c>
      <c r="W123" s="6" t="n">
        <v>0.8085443037974683</v>
      </c>
      <c r="X123" s="6" t="n">
        <v>0.555893810485012</v>
      </c>
      <c r="Y123" s="3">
        <f>IF(X123="","",IF(X123&gt;='Léeme'!$B$6,"barato",IF(X123&lt;'Léeme'!$B$7,"caro","medio")))</f>
        <v/>
      </c>
      <c r="Z123" s="10" t="n">
        <v>0.03501032135210491</v>
      </c>
      <c r="AA123" s="10" t="n"/>
    </row>
    <row r="124">
      <c r="A124" s="3" t="inlineStr">
        <is>
          <t>2022-T3</t>
        </is>
      </c>
      <c r="B124" s="12" t="n">
        <v>44834</v>
      </c>
      <c r="C124" s="13" t="n">
        <v>39.860001</v>
      </c>
      <c r="D124" s="13" t="n">
        <v>2.92</v>
      </c>
      <c r="E124" s="13" t="n">
        <v>2.2</v>
      </c>
      <c r="F124" s="14" t="n">
        <v>0.0383</v>
      </c>
      <c r="G124" s="14" t="n">
        <v>0.08222579178218825</v>
      </c>
      <c r="H124" s="14" t="n">
        <v>0.0603</v>
      </c>
      <c r="I124" s="15">
        <f>IFERROR(C124/D124,"")</f>
        <v/>
      </c>
      <c r="J124" s="8">
        <f>IFERROR(D124/C124,"")</f>
        <v/>
      </c>
      <c r="K124" s="8">
        <f>IFERROR(E124/C124,"")</f>
        <v/>
      </c>
      <c r="L124" s="8">
        <f>IFERROR(F124-G124,"")</f>
        <v/>
      </c>
      <c r="M124" s="8">
        <f>IFERROR(J124-F124,"")</f>
        <v/>
      </c>
      <c r="N124" s="8">
        <f>IFERROR(J124-L124,"")</f>
        <v/>
      </c>
      <c r="O124" s="8">
        <f>IFERROR(J124-H124,"")</f>
        <v/>
      </c>
      <c r="P124" s="8">
        <f>IFERROR(K124-F124,"")</f>
        <v/>
      </c>
      <c r="Q124" s="6" t="n">
        <v>0.4802816901408451</v>
      </c>
      <c r="R124" s="6" t="n">
        <v>0.5704225352112676</v>
      </c>
      <c r="S124" s="6" t="n">
        <v>0.9619718309859155</v>
      </c>
      <c r="T124" s="6" t="n">
        <v>0.6126760563380281</v>
      </c>
      <c r="U124" s="6" t="n">
        <v>0.3130081300813008</v>
      </c>
      <c r="V124" s="6" t="n">
        <v>0.1666666666666667</v>
      </c>
      <c r="W124" s="6" t="n">
        <v>0.8636363636363636</v>
      </c>
      <c r="X124" s="6" t="n">
        <v>0.5669518961514839</v>
      </c>
      <c r="Y124" s="3">
        <f>IF(X124="","",IF(X124&gt;='Léeme'!$B$6,"barato",IF(X124&lt;'Léeme'!$B$7,"caro","medio")))</f>
        <v/>
      </c>
      <c r="Z124" s="10" t="n">
        <v>-0.07674949703750444</v>
      </c>
      <c r="AA124" s="10" t="n"/>
    </row>
    <row r="125">
      <c r="A125" s="3" t="inlineStr">
        <is>
          <t>2022-T4</t>
        </is>
      </c>
      <c r="B125" s="12" t="n">
        <v>44925</v>
      </c>
      <c r="C125" s="13" t="n">
        <v>45.759998</v>
      </c>
      <c r="D125" s="13" t="n">
        <v>3</v>
      </c>
      <c r="E125" s="13" t="n">
        <v>2.2</v>
      </c>
      <c r="F125" s="14" t="n">
        <v>0.0388</v>
      </c>
      <c r="G125" s="14" t="n">
        <v>0.07122856456533988</v>
      </c>
      <c r="H125" s="14" t="n">
        <v>0.0584</v>
      </c>
      <c r="I125" s="15">
        <f>IFERROR(C125/D125,"")</f>
        <v/>
      </c>
      <c r="J125" s="8">
        <f>IFERROR(D125/C125,"")</f>
        <v/>
      </c>
      <c r="K125" s="8">
        <f>IFERROR(E125/C125,"")</f>
        <v/>
      </c>
      <c r="L125" s="8">
        <f>IFERROR(F125-G125,"")</f>
        <v/>
      </c>
      <c r="M125" s="8">
        <f>IFERROR(J125-F125,"")</f>
        <v/>
      </c>
      <c r="N125" s="8">
        <f>IFERROR(J125-L125,"")</f>
        <v/>
      </c>
      <c r="O125" s="8">
        <f>IFERROR(J125-H125,"")</f>
        <v/>
      </c>
      <c r="P125" s="8">
        <f>IFERROR(K125-F125,"")</f>
        <v/>
      </c>
      <c r="Q125" s="6" t="n">
        <v>0.3784916201117318</v>
      </c>
      <c r="R125" s="6" t="n">
        <v>0.2807262569832402</v>
      </c>
      <c r="S125" s="6" t="n">
        <v>0.8924581005586593</v>
      </c>
      <c r="T125" s="6" t="n">
        <v>0.4008379888268156</v>
      </c>
      <c r="U125" s="6" t="n">
        <v>0.2432795698924731</v>
      </c>
      <c r="V125" s="6" t="n">
        <v>0.01478494623655914</v>
      </c>
      <c r="W125" s="6" t="n">
        <v>0.7841614906832298</v>
      </c>
      <c r="X125" s="6" t="n">
        <v>0.4278199961846726</v>
      </c>
      <c r="Y125" s="3">
        <f>IF(X125="","",IF(X125&gt;='Léeme'!$B$6,"barato",IF(X125&lt;'Léeme'!$B$7,"caro","medio")))</f>
        <v/>
      </c>
      <c r="Z125" s="10" t="n">
        <v>-0.01700427960435291</v>
      </c>
      <c r="AA125" s="10" t="n"/>
    </row>
    <row r="126">
      <c r="A126" s="3" t="inlineStr">
        <is>
          <t>2023-T1</t>
        </is>
      </c>
      <c r="B126" s="12" t="n">
        <v>45016</v>
      </c>
      <c r="C126" s="13" t="n">
        <v>44.150002</v>
      </c>
      <c r="D126" s="13" t="n">
        <v>3.1</v>
      </c>
      <c r="E126" s="13" t="n">
        <v>2.2</v>
      </c>
      <c r="F126" s="14" t="n">
        <v>0.0348</v>
      </c>
      <c r="G126" s="14" t="n">
        <v>0.05957820738137087</v>
      </c>
      <c r="H126" s="14" t="n">
        <v>0.0566</v>
      </c>
      <c r="I126" s="15">
        <f>IFERROR(C126/D126,"")</f>
        <v/>
      </c>
      <c r="J126" s="8">
        <f>IFERROR(D126/C126,"")</f>
        <v/>
      </c>
      <c r="K126" s="8">
        <f>IFERROR(E126/C126,"")</f>
        <v/>
      </c>
      <c r="L126" s="8">
        <f>IFERROR(F126-G126,"")</f>
        <v/>
      </c>
      <c r="M126" s="8">
        <f>IFERROR(J126-F126,"")</f>
        <v/>
      </c>
      <c r="N126" s="8">
        <f>IFERROR(J126-L126,"")</f>
        <v/>
      </c>
      <c r="O126" s="8">
        <f>IFERROR(J126-H126,"")</f>
        <v/>
      </c>
      <c r="P126" s="8">
        <f>IFERROR(K126-F126,"")</f>
        <v/>
      </c>
      <c r="Q126" s="6" t="n">
        <v>0.4445983379501385</v>
      </c>
      <c r="R126" s="6" t="n">
        <v>0.5914127423822715</v>
      </c>
      <c r="S126" s="6" t="n">
        <v>0.8822714681440443</v>
      </c>
      <c r="T126" s="6" t="n">
        <v>0.6385041551246537</v>
      </c>
      <c r="U126" s="6" t="n">
        <v>0.2733333333333333</v>
      </c>
      <c r="V126" s="6" t="n">
        <v>0.1426666666666667</v>
      </c>
      <c r="W126" s="6" t="n">
        <v>0.82</v>
      </c>
      <c r="X126" s="6" t="n">
        <v>0.5418266719430154</v>
      </c>
      <c r="Y126" s="3">
        <f>IF(X126="","",IF(X126&gt;='Léeme'!$B$6,"barato",IF(X126&lt;'Léeme'!$B$7,"caro","medio")))</f>
        <v/>
      </c>
      <c r="Z126" s="10" t="n">
        <v>0.01209140148612531</v>
      </c>
      <c r="AA126" s="10" t="n"/>
    </row>
    <row r="127">
      <c r="A127" s="3" t="inlineStr">
        <is>
          <t>2023-T2</t>
        </is>
      </c>
      <c r="B127" s="12" t="n">
        <v>45107</v>
      </c>
      <c r="C127" s="13" t="n">
        <v>42.790001</v>
      </c>
      <c r="D127" s="13" t="n">
        <v>3.15</v>
      </c>
      <c r="E127" s="13" t="n">
        <v>2.2</v>
      </c>
      <c r="F127" s="14" t="n">
        <v>0.0381</v>
      </c>
      <c r="G127" s="14" t="n">
        <v>0.04131851231385042</v>
      </c>
      <c r="H127" s="14" t="n">
        <v>0.05769999999999999</v>
      </c>
      <c r="I127" s="15">
        <f>IFERROR(C127/D127,"")</f>
        <v/>
      </c>
      <c r="J127" s="8">
        <f>IFERROR(D127/C127,"")</f>
        <v/>
      </c>
      <c r="K127" s="8">
        <f>IFERROR(E127/C127,"")</f>
        <v/>
      </c>
      <c r="L127" s="8">
        <f>IFERROR(F127-G127,"")</f>
        <v/>
      </c>
      <c r="M127" s="8">
        <f>IFERROR(J127-F127,"")</f>
        <v/>
      </c>
      <c r="N127" s="8">
        <f>IFERROR(J127-L127,"")</f>
        <v/>
      </c>
      <c r="O127" s="8">
        <f>IFERROR(J127-H127,"")</f>
        <v/>
      </c>
      <c r="P127" s="8">
        <f>IFERROR(K127-F127,"")</f>
        <v/>
      </c>
      <c r="Q127" s="6" t="n">
        <v>0.4931318681318682</v>
      </c>
      <c r="R127" s="6" t="n">
        <v>0.5947802197802198</v>
      </c>
      <c r="S127" s="6" t="n">
        <v>0.7623626373626373</v>
      </c>
      <c r="T127" s="6" t="n">
        <v>0.6991758241758241</v>
      </c>
      <c r="U127" s="6" t="n">
        <v>0.3002645502645503</v>
      </c>
      <c r="V127" s="6" t="n">
        <v>0.1097883597883598</v>
      </c>
      <c r="W127" s="6" t="n">
        <v>0.8490853658536586</v>
      </c>
      <c r="X127" s="6" t="n">
        <v>0.5440841179081597</v>
      </c>
      <c r="Y127" s="3">
        <f>IF(X127="","",IF(X127&gt;='Léeme'!$B$6,"barato",IF(X127&lt;'Léeme'!$B$7,"caro","medio")))</f>
        <v/>
      </c>
      <c r="Z127" s="10" t="n">
        <v>0.04172506971482814</v>
      </c>
      <c r="AA127" s="10" t="n"/>
    </row>
    <row r="128">
      <c r="A128" s="3" t="inlineStr">
        <is>
          <t>2023-T3</t>
        </is>
      </c>
      <c r="B128" s="12" t="n">
        <v>45198</v>
      </c>
      <c r="C128" s="13" t="n">
        <v>35.34</v>
      </c>
      <c r="D128" s="13" t="n">
        <v>3.18</v>
      </c>
      <c r="E128" s="13" t="n">
        <v>2.26</v>
      </c>
      <c r="F128" s="14" t="n">
        <v>0.0459</v>
      </c>
      <c r="G128" s="14" t="n">
        <v>0.03722504803505289</v>
      </c>
      <c r="H128" s="14" t="n">
        <v>0.0639</v>
      </c>
      <c r="I128" s="15">
        <f>IFERROR(C128/D128,"")</f>
        <v/>
      </c>
      <c r="J128" s="8">
        <f>IFERROR(D128/C128,"")</f>
        <v/>
      </c>
      <c r="K128" s="8">
        <f>IFERROR(E128/C128,"")</f>
        <v/>
      </c>
      <c r="L128" s="8">
        <f>IFERROR(F128-G128,"")</f>
        <v/>
      </c>
      <c r="M128" s="8">
        <f>IFERROR(J128-F128,"")</f>
        <v/>
      </c>
      <c r="N128" s="8">
        <f>IFERROR(J128-L128,"")</f>
        <v/>
      </c>
      <c r="O128" s="8">
        <f>IFERROR(J128-H128,"")</f>
        <v/>
      </c>
      <c r="P128" s="8">
        <f>IFERROR(K128-F128,"")</f>
        <v/>
      </c>
      <c r="Q128" s="6" t="n">
        <v>0.7670299727520435</v>
      </c>
      <c r="R128" s="6" t="n">
        <v>0.7506811989100818</v>
      </c>
      <c r="S128" s="6" t="n">
        <v>0.7970027247956403</v>
      </c>
      <c r="T128" s="6" t="n">
        <v>0.8188010899182562</v>
      </c>
      <c r="U128" s="6" t="n">
        <v>0.4763779527559055</v>
      </c>
      <c r="V128" s="6" t="n">
        <v>0.2165354330708661</v>
      </c>
      <c r="W128" s="6" t="n">
        <v>0.9290030211480362</v>
      </c>
      <c r="X128" s="6" t="n">
        <v>0.6793473419072614</v>
      </c>
      <c r="Y128" s="3">
        <f>IF(X128="","",IF(X128&gt;='Léeme'!$B$6,"barato",IF(X128&lt;'Léeme'!$B$7,"caro","medio")))</f>
        <v/>
      </c>
      <c r="Z128" s="10" t="n">
        <v>0.4253492220484674</v>
      </c>
      <c r="AA128" s="10" t="n"/>
    </row>
    <row r="129">
      <c r="A129" s="3" t="inlineStr">
        <is>
          <t>2023-T4</t>
        </is>
      </c>
      <c r="B129" s="12" t="n">
        <v>45289</v>
      </c>
      <c r="C129" s="13" t="n">
        <v>43.099998</v>
      </c>
      <c r="D129" s="13" t="n">
        <v>3.2</v>
      </c>
      <c r="E129" s="13" t="n">
        <v>2.26</v>
      </c>
      <c r="F129" s="14" t="n">
        <v>0.0388</v>
      </c>
      <c r="G129" s="14" t="n">
        <v>0.03133346274591187</v>
      </c>
      <c r="H129" s="14" t="n">
        <v>0.0546</v>
      </c>
      <c r="I129" s="15">
        <f>IFERROR(C129/D129,"")</f>
        <v/>
      </c>
      <c r="J129" s="8">
        <f>IFERROR(D129/C129,"")</f>
        <v/>
      </c>
      <c r="K129" s="8">
        <f>IFERROR(E129/C129,"")</f>
        <v/>
      </c>
      <c r="L129" s="8">
        <f>IFERROR(F129-G129,"")</f>
        <v/>
      </c>
      <c r="M129" s="8">
        <f>IFERROR(J129-F129,"")</f>
        <v/>
      </c>
      <c r="N129" s="8">
        <f>IFERROR(J129-L129,"")</f>
        <v/>
      </c>
      <c r="O129" s="8">
        <f>IFERROR(J129-H129,"")</f>
        <v/>
      </c>
      <c r="P129" s="8">
        <f>IFERROR(K129-F129,"")</f>
        <v/>
      </c>
      <c r="Q129" s="6" t="n">
        <v>0.4959459459459459</v>
      </c>
      <c r="R129" s="6" t="n">
        <v>0.5905405405405405</v>
      </c>
      <c r="S129" s="6" t="n">
        <v>0.6608108108108108</v>
      </c>
      <c r="T129" s="6" t="n">
        <v>0.7635135135135135</v>
      </c>
      <c r="U129" s="6" t="n">
        <v>0.30859375</v>
      </c>
      <c r="V129" s="6" t="n">
        <v>0.1236979166666667</v>
      </c>
      <c r="W129" s="6" t="n">
        <v>0.7829341317365269</v>
      </c>
      <c r="X129" s="6" t="n">
        <v>0.5322909441734291</v>
      </c>
      <c r="Y129" s="3">
        <f>IF(X129="","",IF(X129&gt;='Léeme'!$B$6,"barato",IF(X129&lt;'Léeme'!$B$7,"caro","medio")))</f>
        <v/>
      </c>
      <c r="Z129" s="10" t="n">
        <v>-0.01874781179769702</v>
      </c>
      <c r="AA129" s="10" t="n"/>
    </row>
    <row r="130">
      <c r="A130" s="3" t="inlineStr">
        <is>
          <t>2024-T1</t>
        </is>
      </c>
      <c r="B130" s="12" t="n">
        <v>45379</v>
      </c>
      <c r="C130" s="13" t="n">
        <v>42.740002</v>
      </c>
      <c r="D130" s="13" t="n">
        <v>3.24</v>
      </c>
      <c r="E130" s="13" t="n">
        <v>2.26</v>
      </c>
      <c r="F130" s="14" t="n">
        <v>0.042</v>
      </c>
      <c r="G130" s="14" t="n">
        <v>0.03157074141648697</v>
      </c>
      <c r="H130" s="14" t="n">
        <v>0.0574</v>
      </c>
      <c r="I130" s="15">
        <f>IFERROR(C130/D130,"")</f>
        <v/>
      </c>
      <c r="J130" s="8">
        <f>IFERROR(D130/C130,"")</f>
        <v/>
      </c>
      <c r="K130" s="8">
        <f>IFERROR(E130/C130,"")</f>
        <v/>
      </c>
      <c r="L130" s="8">
        <f>IFERROR(F130-G130,"")</f>
        <v/>
      </c>
      <c r="M130" s="8">
        <f>IFERROR(J130-F130,"")</f>
        <v/>
      </c>
      <c r="N130" s="8">
        <f>IFERROR(J130-L130,"")</f>
        <v/>
      </c>
      <c r="O130" s="8">
        <f>IFERROR(J130-H130,"")</f>
        <v/>
      </c>
      <c r="P130" s="8">
        <f>IFERROR(K130-F130,"")</f>
        <v/>
      </c>
      <c r="Q130" s="6" t="n">
        <v>0.5214477211796247</v>
      </c>
      <c r="R130" s="6" t="n">
        <v>0.5241286863270778</v>
      </c>
      <c r="S130" s="6" t="n">
        <v>0.6340482573726541</v>
      </c>
      <c r="T130" s="6" t="n">
        <v>0.725201072386059</v>
      </c>
      <c r="U130" s="6" t="n">
        <v>0.3087855297157623</v>
      </c>
      <c r="V130" s="6" t="n">
        <v>0.03746770025839793</v>
      </c>
      <c r="W130" s="6" t="n">
        <v>0.7640949554896143</v>
      </c>
      <c r="X130" s="6" t="n">
        <v>0.5021677032470271</v>
      </c>
      <c r="Y130" s="3">
        <f>IF(X130="","",IF(X130&gt;='Léeme'!$B$6,"barato",IF(X130&lt;'Léeme'!$B$7,"caro","medio")))</f>
        <v/>
      </c>
      <c r="Z130" s="10" t="n">
        <v>0.02876023102986069</v>
      </c>
      <c r="AA130" s="10" t="n"/>
    </row>
    <row r="131">
      <c r="A131" s="3" t="inlineStr">
        <is>
          <t>2024-T2</t>
        </is>
      </c>
      <c r="B131" s="12" t="n">
        <v>45471</v>
      </c>
      <c r="C131" s="13" t="n">
        <v>42.599998</v>
      </c>
      <c r="D131" s="13" t="n">
        <v>3.27</v>
      </c>
      <c r="E131" s="13" t="n">
        <v>2.26</v>
      </c>
      <c r="F131" s="14" t="n">
        <v>0.0436</v>
      </c>
      <c r="G131" s="14" t="n">
        <v>0.03244278584003113</v>
      </c>
      <c r="H131" s="14" t="n">
        <v>0.0584</v>
      </c>
      <c r="I131" s="15">
        <f>IFERROR(C131/D131,"")</f>
        <v/>
      </c>
      <c r="J131" s="8">
        <f>IFERROR(D131/C131,"")</f>
        <v/>
      </c>
      <c r="K131" s="8">
        <f>IFERROR(E131/C131,"")</f>
        <v/>
      </c>
      <c r="L131" s="8">
        <f>IFERROR(F131-G131,"")</f>
        <v/>
      </c>
      <c r="M131" s="8">
        <f>IFERROR(J131-F131,"")</f>
        <v/>
      </c>
      <c r="N131" s="8">
        <f>IFERROR(J131-L131,"")</f>
        <v/>
      </c>
      <c r="O131" s="8">
        <f>IFERROR(J131-H131,"")</f>
        <v/>
      </c>
      <c r="P131" s="8">
        <f>IFERROR(K131-F131,"")</f>
        <v/>
      </c>
      <c r="Q131" s="6" t="n">
        <v>0.538563829787234</v>
      </c>
      <c r="R131" s="6" t="n">
        <v>0.5039893617021277</v>
      </c>
      <c r="S131" s="6" t="n">
        <v>0.6316489361702128</v>
      </c>
      <c r="T131" s="6" t="n">
        <v>0.7220744680851063</v>
      </c>
      <c r="U131" s="6" t="n">
        <v>0.3141025641025641</v>
      </c>
      <c r="V131" s="6" t="n">
        <v>0.02435897435897436</v>
      </c>
      <c r="W131" s="6" t="n">
        <v>0.7544117647058823</v>
      </c>
      <c r="X131" s="6" t="n">
        <v>0.4984499855588717</v>
      </c>
      <c r="Y131" s="3">
        <f>IF(X131="","",IF(X131&gt;='Léeme'!$B$6,"barato",IF(X131&lt;'Léeme'!$B$7,"caro","medio")))</f>
        <v/>
      </c>
      <c r="Z131" s="10" t="n">
        <v>0.05168515170044286</v>
      </c>
      <c r="AA131" s="10" t="n"/>
    </row>
    <row r="132">
      <c r="A132" s="3" t="inlineStr">
        <is>
          <t>2024-T3</t>
        </is>
      </c>
      <c r="B132" s="12" t="n">
        <v>45565</v>
      </c>
      <c r="C132" s="13" t="n">
        <v>48.490002</v>
      </c>
      <c r="D132" s="13" t="n">
        <v>3.3</v>
      </c>
      <c r="E132" s="13" t="n">
        <v>2.32</v>
      </c>
      <c r="F132" s="14" t="n">
        <v>0.0381</v>
      </c>
      <c r="G132" s="14" t="n">
        <v>0.02607144490692037</v>
      </c>
      <c r="H132" s="14" t="n">
        <v>0.0541</v>
      </c>
      <c r="I132" s="15">
        <f>IFERROR(C132/D132,"")</f>
        <v/>
      </c>
      <c r="J132" s="8">
        <f>IFERROR(D132/C132,"")</f>
        <v/>
      </c>
      <c r="K132" s="8">
        <f>IFERROR(E132/C132,"")</f>
        <v/>
      </c>
      <c r="L132" s="8">
        <f>IFERROR(F132-G132,"")</f>
        <v/>
      </c>
      <c r="M132" s="8">
        <f>IFERROR(J132-F132,"")</f>
        <v/>
      </c>
      <c r="N132" s="8">
        <f>IFERROR(J132-L132,"")</f>
        <v/>
      </c>
      <c r="O132" s="8">
        <f>IFERROR(J132-H132,"")</f>
        <v/>
      </c>
      <c r="P132" s="8">
        <f>IFERROR(K132-F132,"")</f>
        <v/>
      </c>
      <c r="Q132" s="6" t="n">
        <v>0.3891820580474934</v>
      </c>
      <c r="R132" s="6" t="n">
        <v>0.4102902374670185</v>
      </c>
      <c r="S132" s="6" t="n">
        <v>0.4577836411609499</v>
      </c>
      <c r="T132" s="6" t="n">
        <v>0.6160949868073878</v>
      </c>
      <c r="U132" s="6" t="n">
        <v>0.2201017811704835</v>
      </c>
      <c r="V132" s="6" t="n">
        <v>0.03180661577608142</v>
      </c>
      <c r="W132" s="6" t="n">
        <v>0.5</v>
      </c>
      <c r="X132" s="6" t="n">
        <v>0.3750370457756306</v>
      </c>
      <c r="Y132" s="3">
        <f>IF(X132="","",IF(X132&gt;='Léeme'!$B$6,"barato",IF(X132&lt;'Léeme'!$B$7,"caro","medio")))</f>
        <v/>
      </c>
      <c r="Z132" s="10" t="n">
        <v>-0.08156333417446182</v>
      </c>
      <c r="AA132" s="10" t="n"/>
    </row>
    <row r="133">
      <c r="A133" s="3" t="inlineStr">
        <is>
          <t>2024-T4</t>
        </is>
      </c>
      <c r="B133" s="12" t="n">
        <v>45657</v>
      </c>
      <c r="C133" s="13" t="n">
        <v>40.849998</v>
      </c>
      <c r="D133" s="13" t="n">
        <v>3.33</v>
      </c>
      <c r="E133" s="13" t="n">
        <v>2.32</v>
      </c>
      <c r="F133" s="14" t="n">
        <v>0.0458</v>
      </c>
      <c r="G133" s="14" t="n">
        <v>0.02719472461284833</v>
      </c>
      <c r="H133" s="14" t="n">
        <v>0.05980000000000001</v>
      </c>
      <c r="I133" s="15">
        <f>IFERROR(C133/D133,"")</f>
        <v/>
      </c>
      <c r="J133" s="8">
        <f>IFERROR(D133/C133,"")</f>
        <v/>
      </c>
      <c r="K133" s="8">
        <f>IFERROR(E133/C133,"")</f>
        <v/>
      </c>
      <c r="L133" s="8">
        <f>IFERROR(F133-G133,"")</f>
        <v/>
      </c>
      <c r="M133" s="8">
        <f>IFERROR(J133-F133,"")</f>
        <v/>
      </c>
      <c r="N133" s="8">
        <f>IFERROR(J133-L133,"")</f>
        <v/>
      </c>
      <c r="O133" s="8">
        <f>IFERROR(J133-H133,"")</f>
        <v/>
      </c>
      <c r="P133" s="8">
        <f>IFERROR(K133-F133,"")</f>
        <v/>
      </c>
      <c r="Q133" s="6" t="n">
        <v>0.6164921465968587</v>
      </c>
      <c r="R133" s="6" t="n">
        <v>0.606020942408377</v>
      </c>
      <c r="S133" s="6" t="n">
        <v>0.5903141361256544</v>
      </c>
      <c r="T133" s="6" t="n">
        <v>0.7945026178010471</v>
      </c>
      <c r="U133" s="6" t="n">
        <v>0.3825757575757576</v>
      </c>
      <c r="V133" s="6" t="n">
        <v>0.06186868686868687</v>
      </c>
      <c r="W133" s="6" t="n">
        <v>0.7586705202312138</v>
      </c>
      <c r="X133" s="6" t="n">
        <v>0.5443492582296566</v>
      </c>
      <c r="Y133" s="3">
        <f>IF(X133="","",IF(X133&gt;='Léeme'!$B$6,"barato",IF(X133&lt;'Léeme'!$B$7,"caro","medio")))</f>
        <v/>
      </c>
      <c r="Z133" s="10" t="n">
        <v>0.01610244325758248</v>
      </c>
      <c r="AA133" s="10" t="n"/>
    </row>
    <row r="134">
      <c r="A134" s="3" t="inlineStr">
        <is>
          <t>2025-T1</t>
        </is>
      </c>
      <c r="B134" s="12" t="n">
        <v>45747</v>
      </c>
      <c r="C134" s="13" t="n">
        <v>42.650002</v>
      </c>
      <c r="D134" s="13" t="n">
        <v>3.32</v>
      </c>
      <c r="E134" s="13" t="n">
        <v>2.32</v>
      </c>
      <c r="F134" s="14" t="n">
        <v>0.0423</v>
      </c>
      <c r="G134" s="14" t="n">
        <v>0.02801583447761335</v>
      </c>
      <c r="H134" s="14" t="n">
        <v>0.06</v>
      </c>
      <c r="I134" s="15">
        <f>IFERROR(C134/D134,"")</f>
        <v/>
      </c>
      <c r="J134" s="8">
        <f>IFERROR(D134/C134,"")</f>
        <v/>
      </c>
      <c r="K134" s="8">
        <f>IFERROR(E134/C134,"")</f>
        <v/>
      </c>
      <c r="L134" s="8">
        <f>IFERROR(F134-G134,"")</f>
        <v/>
      </c>
      <c r="M134" s="8">
        <f>IFERROR(J134-F134,"")</f>
        <v/>
      </c>
      <c r="N134" s="8">
        <f>IFERROR(J134-L134,"")</f>
        <v/>
      </c>
      <c r="O134" s="8">
        <f>IFERROR(J134-H134,"")</f>
        <v/>
      </c>
      <c r="P134" s="8">
        <f>IFERROR(K134-F134,"")</f>
        <v/>
      </c>
      <c r="Q134" s="6" t="n">
        <v>0.5571428571428572</v>
      </c>
      <c r="R134" s="6" t="n">
        <v>0.5987012987012987</v>
      </c>
      <c r="S134" s="6" t="n">
        <v>0.5909090909090909</v>
      </c>
      <c r="T134" s="6" t="n">
        <v>0.7051948051948052</v>
      </c>
      <c r="U134" s="6" t="n">
        <v>0.3320802005012531</v>
      </c>
      <c r="V134" s="6" t="n">
        <v>0.1040100250626566</v>
      </c>
      <c r="W134" s="6" t="n">
        <v>0.663323782234957</v>
      </c>
      <c r="X134" s="6" t="n">
        <v>0.5073374371067026</v>
      </c>
      <c r="Y134" s="3">
        <f>IF(X134="","",IF(X134&gt;='Léeme'!$B$6,"barato",IF(X134&lt;'Léeme'!$B$7,"caro","medio")))</f>
        <v/>
      </c>
      <c r="Z134" s="10" t="n">
        <v>0.03189122357589036</v>
      </c>
      <c r="AA134" s="10" t="n"/>
    </row>
    <row r="135">
      <c r="A135" s="3" t="inlineStr">
        <is>
          <t>2025-T2</t>
        </is>
      </c>
      <c r="B135" s="12" t="n">
        <v>45838</v>
      </c>
      <c r="C135" s="13" t="n">
        <v>43.18</v>
      </c>
      <c r="D135" s="13" t="n">
        <v>3.34</v>
      </c>
      <c r="E135" s="13" t="n">
        <v>2.32</v>
      </c>
      <c r="F135" s="14" t="n">
        <v>0.0424</v>
      </c>
      <c r="G135" s="14" t="n">
        <v>0.02377265107368087</v>
      </c>
      <c r="H135" s="14" t="n">
        <v>0.0608</v>
      </c>
      <c r="I135" s="15">
        <f>IFERROR(C135/D135,"")</f>
        <v/>
      </c>
      <c r="J135" s="8">
        <f>IFERROR(D135/C135,"")</f>
        <v/>
      </c>
      <c r="K135" s="8">
        <f>IFERROR(E135/C135,"")</f>
        <v/>
      </c>
      <c r="L135" s="8">
        <f>IFERROR(F135-G135,"")</f>
        <v/>
      </c>
      <c r="M135" s="8">
        <f>IFERROR(J135-F135,"")</f>
        <v/>
      </c>
      <c r="N135" s="8">
        <f>IFERROR(J135-L135,"")</f>
        <v/>
      </c>
      <c r="O135" s="8">
        <f>IFERROR(J135-H135,"")</f>
        <v/>
      </c>
      <c r="P135" s="8">
        <f>IFERROR(K135-F135,"")</f>
        <v/>
      </c>
      <c r="Q135" s="6" t="n">
        <v>0.5502577319587629</v>
      </c>
      <c r="R135" s="6" t="n">
        <v>0.5605670103092784</v>
      </c>
      <c r="S135" s="6" t="n">
        <v>0.5219072164948454</v>
      </c>
      <c r="T135" s="6" t="n">
        <v>0.6791237113402062</v>
      </c>
      <c r="U135" s="6" t="n">
        <v>0.3271144278606965</v>
      </c>
      <c r="V135" s="6" t="n">
        <v>0.08333333333333333</v>
      </c>
      <c r="W135" s="6" t="n">
        <v>0.6491477272727273</v>
      </c>
      <c r="X135" s="6" t="n">
        <v>0.4816358797956929</v>
      </c>
      <c r="Y135" s="3">
        <f>IF(X135="","",IF(X135&gt;='Léeme'!$B$6,"barato",IF(X135&lt;'Léeme'!$B$7,"caro","medio")))</f>
        <v/>
      </c>
      <c r="Z135" s="10" t="n">
        <v>0.1279873831564304</v>
      </c>
      <c r="AA135" s="10" t="n"/>
    </row>
    <row r="136">
      <c r="A136" s="3" t="inlineStr">
        <is>
          <t>2025-T3</t>
        </is>
      </c>
      <c r="B136" s="12" t="n">
        <v>45930</v>
      </c>
      <c r="C136" s="13" t="n">
        <v>42.57</v>
      </c>
      <c r="D136" s="13" t="n">
        <v>3.35</v>
      </c>
      <c r="E136" s="13" t="n">
        <v>2.4</v>
      </c>
      <c r="F136" s="14" t="n">
        <v>0.0416</v>
      </c>
      <c r="G136" s="14" t="n">
        <v>0.02938591743031616</v>
      </c>
      <c r="H136" s="14" t="n">
        <v>0.0579</v>
      </c>
      <c r="I136" s="15">
        <f>IFERROR(C136/D136,"")</f>
        <v/>
      </c>
      <c r="J136" s="8">
        <f>IFERROR(D136/C136,"")</f>
        <v/>
      </c>
      <c r="K136" s="8">
        <f>IFERROR(E136/C136,"")</f>
        <v/>
      </c>
      <c r="L136" s="8">
        <f>IFERROR(F136-G136,"")</f>
        <v/>
      </c>
      <c r="M136" s="8">
        <f>IFERROR(J136-F136,"")</f>
        <v/>
      </c>
      <c r="N136" s="8">
        <f>IFERROR(J136-L136,"")</f>
        <v/>
      </c>
      <c r="O136" s="8">
        <f>IFERROR(J136-H136,"")</f>
        <v/>
      </c>
      <c r="P136" s="8">
        <f>IFERROR(K136-F136,"")</f>
        <v/>
      </c>
      <c r="Q136" s="6" t="n">
        <v>0.5767263427109974</v>
      </c>
      <c r="R136" s="6" t="n">
        <v>0.6381074168797954</v>
      </c>
      <c r="S136" s="6" t="n">
        <v>0.6534526854219949</v>
      </c>
      <c r="T136" s="6" t="n">
        <v>0.7762148337595908</v>
      </c>
      <c r="U136" s="6" t="n">
        <v>0.3740740740740741</v>
      </c>
      <c r="V136" s="6" t="n">
        <v>0.1864197530864198</v>
      </c>
      <c r="W136" s="6" t="n">
        <v>0.6830985915492958</v>
      </c>
      <c r="X136" s="6" t="n">
        <v>0.5554419567831669</v>
      </c>
      <c r="Y136" s="3">
        <f>IF(X136="","",IF(X136&gt;='Léeme'!$B$6,"barato",IF(X136&lt;'Léeme'!$B$7,"caro","medio")))</f>
        <v/>
      </c>
      <c r="Z136" s="10" t="n"/>
      <c r="AA136" s="10" t="n"/>
    </row>
    <row r="137">
      <c r="A137" s="3" t="inlineStr">
        <is>
          <t>2025-T4</t>
        </is>
      </c>
      <c r="B137" s="12" t="n">
        <v>46022</v>
      </c>
      <c r="C137" s="13" t="n">
        <v>39.630001</v>
      </c>
      <c r="D137" s="13" t="n">
        <v>3.35</v>
      </c>
      <c r="E137" s="13" t="n">
        <v>2.4</v>
      </c>
      <c r="F137" s="14" t="n">
        <v>0.0418</v>
      </c>
      <c r="G137" s="14" t="n">
        <v>0.02696443916493951</v>
      </c>
      <c r="H137" s="14" t="n">
        <v>0.05889999999999999</v>
      </c>
      <c r="I137" s="15">
        <f>IFERROR(C137/D137,"")</f>
        <v/>
      </c>
      <c r="J137" s="8">
        <f>IFERROR(D137/C137,"")</f>
        <v/>
      </c>
      <c r="K137" s="8">
        <f>IFERROR(E137/C137,"")</f>
        <v/>
      </c>
      <c r="L137" s="8">
        <f>IFERROR(F137-G137,"")</f>
        <v/>
      </c>
      <c r="M137" s="8">
        <f>IFERROR(J137-F137,"")</f>
        <v/>
      </c>
      <c r="N137" s="8">
        <f>IFERROR(J137-L137,"")</f>
        <v/>
      </c>
      <c r="O137" s="8">
        <f>IFERROR(J137-H137,"")</f>
        <v/>
      </c>
      <c r="P137" s="8">
        <f>IFERROR(K137-F137,"")</f>
        <v/>
      </c>
      <c r="Q137" s="6" t="n">
        <v>0.6662436548223351</v>
      </c>
      <c r="R137" s="6" t="n">
        <v>0.7550761421319797</v>
      </c>
      <c r="S137" s="6" t="n">
        <v>0.7119289340101523</v>
      </c>
      <c r="T137" s="6" t="n">
        <v>0.8236040609137056</v>
      </c>
      <c r="U137" s="6" t="n">
        <v>0.4669117647058824</v>
      </c>
      <c r="V137" s="6" t="n">
        <v>0.2904411764705883</v>
      </c>
      <c r="W137" s="6" t="n">
        <v>0.7639664804469274</v>
      </c>
      <c r="X137" s="6" t="n">
        <v>0.6397388876430815</v>
      </c>
      <c r="Y137" s="3">
        <f>IF(X137="","",IF(X137&gt;='Léeme'!$B$6,"barato",IF(X137&lt;'Léeme'!$B$7,"caro","medio")))</f>
        <v/>
      </c>
      <c r="Z137" s="10" t="n"/>
      <c r="AA137" s="10" t="n"/>
    </row>
    <row r="138">
      <c r="A138" s="3" t="inlineStr">
        <is>
          <t>2026-T1</t>
        </is>
      </c>
      <c r="B138" s="12" t="n">
        <v>46112</v>
      </c>
      <c r="C138" s="13" t="n">
        <v>42.029999</v>
      </c>
      <c r="D138" s="13" t="n">
        <v>3.4</v>
      </c>
      <c r="E138" s="13" t="n">
        <v>2.4</v>
      </c>
      <c r="F138" s="14" t="n">
        <v>0.043</v>
      </c>
      <c r="G138" s="14" t="n">
        <v>0.02434004110373222</v>
      </c>
      <c r="H138" s="14" t="n">
        <v>0.0614</v>
      </c>
      <c r="I138" s="15">
        <f>IFERROR(C138/D138,"")</f>
        <v/>
      </c>
      <c r="J138" s="8">
        <f>IFERROR(D138/C138,"")</f>
        <v/>
      </c>
      <c r="K138" s="8">
        <f>IFERROR(E138/C138,"")</f>
        <v/>
      </c>
      <c r="L138" s="8">
        <f>IFERROR(F138-G138,"")</f>
        <v/>
      </c>
      <c r="M138" s="8">
        <f>IFERROR(J138-F138,"")</f>
        <v/>
      </c>
      <c r="N138" s="8">
        <f>IFERROR(J138-L138,"")</f>
        <v/>
      </c>
      <c r="O138" s="8">
        <f>IFERROR(J138-H138,"")</f>
        <v/>
      </c>
      <c r="P138" s="8">
        <f>IFERROR(K138-F138,"")</f>
        <v/>
      </c>
      <c r="Q138" s="6" t="n">
        <v>0.610831234256927</v>
      </c>
      <c r="R138" s="6" t="n">
        <v>0.6536523929471033</v>
      </c>
      <c r="S138" s="6" t="n">
        <v>0.5680100755667506</v>
      </c>
      <c r="T138" s="6" t="n">
        <v>0.7443324937027708</v>
      </c>
      <c r="U138" s="6" t="n">
        <v>0.3929440389294404</v>
      </c>
      <c r="V138" s="6" t="n">
        <v>0.1666666666666667</v>
      </c>
      <c r="W138" s="6" t="n">
        <v>0.6717451523545707</v>
      </c>
      <c r="X138" s="6" t="n">
        <v>0.54402600777489</v>
      </c>
      <c r="Y138" s="3">
        <f>IF(X138="","",IF(X138&gt;='Léeme'!$B$6,"barato",IF(X138&lt;'Léeme'!$B$7,"caro","medio")))</f>
        <v/>
      </c>
      <c r="Z138" s="10" t="n"/>
      <c r="AA138" s="10" t="n"/>
    </row>
    <row r="139">
      <c r="A139" s="3" t="inlineStr">
        <is>
          <t>2026-T2</t>
        </is>
      </c>
      <c r="B139" s="12" t="n">
        <v>46203</v>
      </c>
      <c r="C139" s="13" t="n">
        <v>46.529999</v>
      </c>
      <c r="D139" s="13" t="n">
        <v>3.41</v>
      </c>
      <c r="E139" s="13" t="n">
        <v>2.4</v>
      </c>
      <c r="F139" s="14" t="n">
        <v>0.0444</v>
      </c>
      <c r="G139" s="14" t="n">
        <v>0.04166614684049641</v>
      </c>
      <c r="H139" s="14" t="n">
        <v>0.0593</v>
      </c>
      <c r="I139" s="15">
        <f>IFERROR(C139/D139,"")</f>
        <v/>
      </c>
      <c r="J139" s="8">
        <f>IFERROR(D139/C139,"")</f>
        <v/>
      </c>
      <c r="K139" s="8">
        <f>IFERROR(E139/C139,"")</f>
        <v/>
      </c>
      <c r="L139" s="8">
        <f>IFERROR(F139-G139,"")</f>
        <v/>
      </c>
      <c r="M139" s="8">
        <f>IFERROR(J139-F139,"")</f>
        <v/>
      </c>
      <c r="N139" s="8">
        <f>IFERROR(J139-L139,"")</f>
        <v/>
      </c>
      <c r="O139" s="8">
        <f>IFERROR(J139-H139,"")</f>
        <v/>
      </c>
      <c r="P139" s="8">
        <f>IFERROR(K139-F139,"")</f>
        <v/>
      </c>
      <c r="Q139" s="6" t="n">
        <v>0.45375</v>
      </c>
      <c r="R139" s="6" t="n">
        <v>0.35375</v>
      </c>
      <c r="S139" s="6" t="n">
        <v>0.7212499999999999</v>
      </c>
      <c r="T139" s="6" t="n">
        <v>0.58625</v>
      </c>
      <c r="U139" s="6" t="n">
        <v>0.2838164251207729</v>
      </c>
      <c r="V139" s="6" t="n">
        <v>0.001207729468599034</v>
      </c>
      <c r="W139" s="6" t="n">
        <v>0.4629120879120879</v>
      </c>
      <c r="X139" s="6" t="n">
        <v>0.4089908917859229</v>
      </c>
      <c r="Y139" s="3">
        <f>IF(X139="","",IF(X139&gt;='Léeme'!$B$6,"barato",IF(X139&lt;'Léeme'!$B$7,"caro","medio")))</f>
        <v/>
      </c>
      <c r="Z139" s="10" t="n"/>
      <c r="AA139" s="10" t="n"/>
    </row>
    <row r="140">
      <c r="A140" s="3" t="inlineStr">
        <is>
          <t>2026-T3</t>
        </is>
      </c>
      <c r="B140" s="12" t="n">
        <v>46293</v>
      </c>
      <c r="C140" s="13" t="n">
        <v>41.41</v>
      </c>
      <c r="D140" s="13" t="n">
        <v>3.46</v>
      </c>
      <c r="E140" s="13" t="n">
        <v>2.48</v>
      </c>
      <c r="F140" s="14" t="n">
        <v>0.0517</v>
      </c>
      <c r="G140" s="14" t="n">
        <v>0.03353016322755642</v>
      </c>
      <c r="H140" s="14" t="n">
        <v>0.0663</v>
      </c>
      <c r="I140" s="15">
        <f>IFERROR(C140/D140,"")</f>
        <v/>
      </c>
      <c r="J140" s="8">
        <f>IFERROR(D140/C140,"")</f>
        <v/>
      </c>
      <c r="K140" s="8">
        <f>IFERROR(E140/C140,"")</f>
        <v/>
      </c>
      <c r="L140" s="8">
        <f>IFERROR(F140-G140,"")</f>
        <v/>
      </c>
      <c r="M140" s="8">
        <f>IFERROR(J140-F140,"")</f>
        <v/>
      </c>
      <c r="N140" s="8">
        <f>IFERROR(J140-L140,"")</f>
        <v/>
      </c>
      <c r="O140" s="8">
        <f>IFERROR(J140-H140,"")</f>
        <v/>
      </c>
      <c r="P140" s="8">
        <f>IFERROR(K140-F140,"")</f>
        <v/>
      </c>
      <c r="Q140" s="6" t="n">
        <v>0.6612903225806451</v>
      </c>
      <c r="R140" s="6" t="n">
        <v>0.4503722084367245</v>
      </c>
      <c r="S140" s="6" t="n">
        <v>0.6315136476426799</v>
      </c>
      <c r="T140" s="6" t="n">
        <v>0.673697270471464</v>
      </c>
      <c r="U140" s="6" t="n">
        <v>0.4664268585131894</v>
      </c>
      <c r="V140" s="6" t="n">
        <v>0.013189448441247</v>
      </c>
      <c r="W140" s="6" t="n">
        <v>0.7016348773841962</v>
      </c>
      <c r="X140" s="6" t="n">
        <v>0.5140178047814494</v>
      </c>
      <c r="Y140" s="3">
        <f>IF(X140="","",IF(X140&gt;='Léeme'!$B$6,"barato",IF(X140&lt;'Léeme'!$B$7,"caro","medio")))</f>
        <v/>
      </c>
      <c r="Z140" s="10" t="n"/>
      <c r="AA14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1994-T4</t>
        </is>
      </c>
      <c r="B2" s="12" t="n">
        <v>34698</v>
      </c>
      <c r="C2" s="13" t="n">
        <v>8.5625</v>
      </c>
      <c r="E2" s="13" t="n">
        <v>0.8999999999999999</v>
      </c>
      <c r="F2" s="14" t="n">
        <v>0.0784</v>
      </c>
      <c r="G2" s="14" t="n">
        <v>0.02602739726027403</v>
      </c>
      <c r="H2" s="14" t="n">
        <v>0.091</v>
      </c>
      <c r="I2" s="15">
        <f>IFERROR(C2/D2,"")</f>
        <v/>
      </c>
      <c r="J2" s="8">
        <f>IFERROR(D2/C2,"")</f>
        <v/>
      </c>
      <c r="K2" s="8">
        <f>IFERROR(E2/C2,"")</f>
        <v/>
      </c>
      <c r="L2" s="8">
        <f>IFERROR(F2-G2,"")</f>
        <v/>
      </c>
      <c r="M2" s="8">
        <f>IFERROR(J2-F2,"")</f>
        <v/>
      </c>
      <c r="N2" s="8">
        <f>IFERROR(J2-L2,"")</f>
        <v/>
      </c>
      <c r="O2" s="8">
        <f>IFERROR(J2-H2,"")</f>
        <v/>
      </c>
      <c r="P2" s="8">
        <f>IFERROR(K2-F2,"")</f>
        <v/>
      </c>
      <c r="Q2" s="6" t="n"/>
      <c r="R2" s="6" t="n"/>
      <c r="S2" s="6" t="n"/>
      <c r="T2" s="6" t="n"/>
      <c r="U2" s="6" t="n"/>
      <c r="V2" s="6" t="n"/>
      <c r="W2" s="6" t="n"/>
      <c r="X2" s="6" t="n"/>
      <c r="Y2" s="3">
        <f>IF(X2="","",IF(X2&gt;='Léeme'!$B$6,"barato",IF(X2&lt;'Léeme'!$B$7,"caro","medio")))</f>
        <v/>
      </c>
      <c r="Z2" s="10" t="n">
        <v>0.4358575754708647</v>
      </c>
      <c r="AA2" s="10" t="n">
        <v>0.1142962236539955</v>
      </c>
    </row>
    <row r="3">
      <c r="A3" s="3" t="inlineStr">
        <is>
          <t>1995-T1</t>
        </is>
      </c>
      <c r="B3" s="12" t="n">
        <v>34789</v>
      </c>
      <c r="C3" s="13" t="n">
        <v>9.0625</v>
      </c>
      <c r="E3" s="13" t="n">
        <v>0.8999999999999999</v>
      </c>
      <c r="F3" s="14" t="n">
        <v>0.07200000000000001</v>
      </c>
      <c r="G3" s="14" t="n">
        <v>0.02862985685071595</v>
      </c>
      <c r="H3" s="14" t="n">
        <v>0.0866</v>
      </c>
      <c r="I3" s="15">
        <f>IFERROR(C3/D3,"")</f>
        <v/>
      </c>
      <c r="J3" s="8">
        <f>IFERROR(D3/C3,"")</f>
        <v/>
      </c>
      <c r="K3" s="8">
        <f>IFERROR(E3/C3,"")</f>
        <v/>
      </c>
      <c r="L3" s="8">
        <f>IFERROR(F3-G3,"")</f>
        <v/>
      </c>
      <c r="M3" s="8">
        <f>IFERROR(J3-F3,"")</f>
        <v/>
      </c>
      <c r="N3" s="8">
        <f>IFERROR(J3-L3,"")</f>
        <v/>
      </c>
      <c r="O3" s="8">
        <f>IFERROR(J3-H3,"")</f>
        <v/>
      </c>
      <c r="P3" s="8">
        <f>IFERROR(K3-F3,"")</f>
        <v/>
      </c>
      <c r="Q3" s="6" t="n"/>
      <c r="R3" s="6" t="n"/>
      <c r="S3" s="6" t="n"/>
      <c r="T3" s="6" t="n"/>
      <c r="U3" s="6" t="n"/>
      <c r="V3" s="6" t="n"/>
      <c r="W3" s="6" t="n"/>
      <c r="X3" s="6" t="n"/>
      <c r="Y3" s="3">
        <f>IF(X3="","",IF(X3&gt;='Léeme'!$B$6,"barato",IF(X3&lt;'Léeme'!$B$7,"caro","medio")))</f>
        <v/>
      </c>
      <c r="Z3" s="10" t="n">
        <v>0.2408091363258629</v>
      </c>
      <c r="AA3" s="10" t="n">
        <v>0.08479903683256373</v>
      </c>
    </row>
    <row r="4">
      <c r="A4" s="3" t="inlineStr">
        <is>
          <t>1995-T2</t>
        </is>
      </c>
      <c r="B4" s="12" t="n">
        <v>34880</v>
      </c>
      <c r="C4" s="13" t="n">
        <v>10.5625</v>
      </c>
      <c r="E4" s="13" t="n">
        <v>0.8999999999999999</v>
      </c>
      <c r="F4" s="14" t="n">
        <v>0.0621</v>
      </c>
      <c r="G4" s="14" t="n">
        <v>0.03118644067796605</v>
      </c>
      <c r="H4" s="14" t="n">
        <v>0.0799</v>
      </c>
      <c r="I4" s="15">
        <f>IFERROR(C4/D4,"")</f>
        <v/>
      </c>
      <c r="J4" s="8">
        <f>IFERROR(D4/C4,"")</f>
        <v/>
      </c>
      <c r="K4" s="8">
        <f>IFERROR(E4/C4,"")</f>
        <v/>
      </c>
      <c r="L4" s="8">
        <f>IFERROR(F4-G4,"")</f>
        <v/>
      </c>
      <c r="M4" s="8">
        <f>IFERROR(J4-F4,"")</f>
        <v/>
      </c>
      <c r="N4" s="8">
        <f>IFERROR(J4-L4,"")</f>
        <v/>
      </c>
      <c r="O4" s="8">
        <f>IFERROR(J4-H4,"")</f>
        <v/>
      </c>
      <c r="P4" s="8">
        <f>IFERROR(K4-F4,"")</f>
        <v/>
      </c>
      <c r="Q4" s="6" t="n"/>
      <c r="R4" s="6" t="n"/>
      <c r="S4" s="6" t="n"/>
      <c r="T4" s="6" t="n"/>
      <c r="U4" s="6" t="n"/>
      <c r="V4" s="6" t="n"/>
      <c r="W4" s="6" t="n"/>
      <c r="X4" s="6" t="n"/>
      <c r="Y4" s="3">
        <f>IF(X4="","",IF(X4&gt;='Léeme'!$B$6,"barato",IF(X4&lt;'Léeme'!$B$7,"caro","medio")))</f>
        <v/>
      </c>
      <c r="Z4" s="10" t="n">
        <v>0.064447999614756</v>
      </c>
      <c r="AA4" s="10" t="n">
        <v>0.09574668062808445</v>
      </c>
    </row>
    <row r="5">
      <c r="A5" s="3" t="inlineStr">
        <is>
          <t>1995-T3</t>
        </is>
      </c>
      <c r="B5" s="12" t="n">
        <v>34971</v>
      </c>
      <c r="C5" s="13" t="n">
        <v>10.5625</v>
      </c>
      <c r="E5" s="13" t="n">
        <v>0.9299999999999999</v>
      </c>
      <c r="F5" s="14" t="n">
        <v>0.0617</v>
      </c>
      <c r="G5" s="14" t="n">
        <v>0.02617449664429539</v>
      </c>
      <c r="H5" s="14" t="n">
        <v>0.0795</v>
      </c>
      <c r="I5" s="15">
        <f>IFERROR(C5/D5,"")</f>
        <v/>
      </c>
      <c r="J5" s="8">
        <f>IFERROR(D5/C5,"")</f>
        <v/>
      </c>
      <c r="K5" s="8">
        <f>IFERROR(E5/C5,"")</f>
        <v/>
      </c>
      <c r="L5" s="8">
        <f>IFERROR(F5-G5,"")</f>
        <v/>
      </c>
      <c r="M5" s="8">
        <f>IFERROR(J5-F5,"")</f>
        <v/>
      </c>
      <c r="N5" s="8">
        <f>IFERROR(J5-L5,"")</f>
        <v/>
      </c>
      <c r="O5" s="8">
        <f>IFERROR(J5-H5,"")</f>
        <v/>
      </c>
      <c r="P5" s="8">
        <f>IFERROR(K5-F5,"")</f>
        <v/>
      </c>
      <c r="Q5" s="6" t="n"/>
      <c r="R5" s="6" t="n"/>
      <c r="S5" s="6" t="n"/>
      <c r="T5" s="6" t="n"/>
      <c r="U5" s="6" t="n"/>
      <c r="V5" s="6" t="n"/>
      <c r="W5" s="6" t="n"/>
      <c r="X5" s="6" t="n"/>
      <c r="Y5" s="3">
        <f>IF(X5="","",IF(X5&gt;='Léeme'!$B$6,"barato",IF(X5&lt;'Léeme'!$B$7,"caro","medio")))</f>
        <v/>
      </c>
      <c r="Z5" s="10" t="n">
        <v>0.1661818621185207</v>
      </c>
      <c r="AA5" s="10" t="n">
        <v>0.09354618959137317</v>
      </c>
    </row>
    <row r="6">
      <c r="A6" s="3" t="inlineStr">
        <is>
          <t>1995-T4</t>
        </is>
      </c>
      <c r="B6" s="12" t="n">
        <v>35062</v>
      </c>
      <c r="C6" s="13" t="n">
        <v>11.25</v>
      </c>
      <c r="E6" s="13" t="n">
        <v>0.9299999999999999</v>
      </c>
      <c r="F6" s="14" t="n">
        <v>0.0558</v>
      </c>
      <c r="G6" s="14" t="n">
        <v>0.02603471295060067</v>
      </c>
      <c r="H6" s="14" t="n">
        <v>0.0741</v>
      </c>
      <c r="I6" s="15">
        <f>IFERROR(C6/D6,"")</f>
        <v/>
      </c>
      <c r="J6" s="8">
        <f>IFERROR(D6/C6,"")</f>
        <v/>
      </c>
      <c r="K6" s="8">
        <f>IFERROR(E6/C6,"")</f>
        <v/>
      </c>
      <c r="L6" s="8">
        <f>IFERROR(F6-G6,"")</f>
        <v/>
      </c>
      <c r="M6" s="8">
        <f>IFERROR(J6-F6,"")</f>
        <v/>
      </c>
      <c r="N6" s="8">
        <f>IFERROR(J6-L6,"")</f>
        <v/>
      </c>
      <c r="O6" s="8">
        <f>IFERROR(J6-H6,"")</f>
        <v/>
      </c>
      <c r="P6" s="8">
        <f>IFERROR(K6-F6,"")</f>
        <v/>
      </c>
      <c r="Q6" s="6" t="n"/>
      <c r="R6" s="6" t="n"/>
      <c r="S6" s="6" t="n"/>
      <c r="T6" s="6" t="n"/>
      <c r="U6" s="6" t="n"/>
      <c r="V6" s="6" t="n"/>
      <c r="W6" s="6" t="n"/>
      <c r="X6" s="6" t="n"/>
      <c r="Y6" s="3">
        <f>IF(X6="","",IF(X6&gt;='Léeme'!$B$6,"barato",IF(X6&lt;'Léeme'!$B$7,"caro","medio")))</f>
        <v/>
      </c>
      <c r="Z6" s="10" t="n">
        <v>0.1298379456954859</v>
      </c>
      <c r="AA6" s="10" t="n">
        <v>0.09071277662487498</v>
      </c>
    </row>
    <row r="7">
      <c r="A7" s="3" t="inlineStr">
        <is>
          <t>1996-T1</t>
        </is>
      </c>
      <c r="B7" s="12" t="n">
        <v>35153</v>
      </c>
      <c r="C7" s="13" t="n">
        <v>10.375001</v>
      </c>
      <c r="E7" s="13" t="n">
        <v>0.9299999999999999</v>
      </c>
      <c r="F7" s="14" t="n">
        <v>0.0634</v>
      </c>
      <c r="G7" s="14" t="n">
        <v>0.02717031146454607</v>
      </c>
      <c r="H7" s="14" t="n">
        <v>0.08169999999999999</v>
      </c>
      <c r="I7" s="15">
        <f>IFERROR(C7/D7,"")</f>
        <v/>
      </c>
      <c r="J7" s="8">
        <f>IFERROR(D7/C7,"")</f>
        <v/>
      </c>
      <c r="K7" s="8">
        <f>IFERROR(E7/C7,"")</f>
        <v/>
      </c>
      <c r="L7" s="8">
        <f>IFERROR(F7-G7,"")</f>
        <v/>
      </c>
      <c r="M7" s="8">
        <f>IFERROR(J7-F7,"")</f>
        <v/>
      </c>
      <c r="N7" s="8">
        <f>IFERROR(J7-L7,"")</f>
        <v/>
      </c>
      <c r="O7" s="8">
        <f>IFERROR(J7-H7,"")</f>
        <v/>
      </c>
      <c r="P7" s="8">
        <f>IFERROR(K7-F7,"")</f>
        <v/>
      </c>
      <c r="Q7" s="6" t="n"/>
      <c r="R7" s="6" t="n"/>
      <c r="S7" s="6" t="n"/>
      <c r="T7" s="6" t="n"/>
      <c r="U7" s="6" t="n"/>
      <c r="V7" s="6" t="n"/>
      <c r="W7" s="6" t="n"/>
      <c r="X7" s="6" t="n"/>
      <c r="Y7" s="3">
        <f>IF(X7="","",IF(X7&gt;='Léeme'!$B$6,"barato",IF(X7&lt;'Léeme'!$B$7,"caro","medio")))</f>
        <v/>
      </c>
      <c r="Z7" s="10" t="n">
        <v>0.2165699302469044</v>
      </c>
      <c r="AA7" s="10" t="n">
        <v>0.1208015497970722</v>
      </c>
    </row>
    <row r="8">
      <c r="A8" s="3" t="inlineStr">
        <is>
          <t>1996-T2</t>
        </is>
      </c>
      <c r="B8" s="12" t="n">
        <v>35244</v>
      </c>
      <c r="C8" s="13" t="n">
        <v>10.375001</v>
      </c>
      <c r="E8" s="13" t="n">
        <v>0.9299999999999999</v>
      </c>
      <c r="F8" s="14" t="n">
        <v>0.0673</v>
      </c>
      <c r="G8" s="14" t="n">
        <v>0.02827087442472065</v>
      </c>
      <c r="H8" s="14" t="n">
        <v>0.0834</v>
      </c>
      <c r="I8" s="15">
        <f>IFERROR(C8/D8,"")</f>
        <v/>
      </c>
      <c r="J8" s="8">
        <f>IFERROR(D8/C8,"")</f>
        <v/>
      </c>
      <c r="K8" s="8">
        <f>IFERROR(E8/C8,"")</f>
        <v/>
      </c>
      <c r="L8" s="8">
        <f>IFERROR(F8-G8,"")</f>
        <v/>
      </c>
      <c r="M8" s="8">
        <f>IFERROR(J8-F8,"")</f>
        <v/>
      </c>
      <c r="N8" s="8">
        <f>IFERROR(J8-L8,"")</f>
        <v/>
      </c>
      <c r="O8" s="8">
        <f>IFERROR(J8-H8,"")</f>
        <v/>
      </c>
      <c r="P8" s="8">
        <f>IFERROR(K8-F8,"")</f>
        <v/>
      </c>
      <c r="Q8" s="6" t="n"/>
      <c r="R8" s="6" t="n"/>
      <c r="S8" s="6" t="n"/>
      <c r="T8" s="6" t="n"/>
      <c r="U8" s="6" t="n"/>
      <c r="V8" s="6" t="n"/>
      <c r="W8" s="6" t="n"/>
      <c r="X8" s="6" t="n"/>
      <c r="Y8" s="3">
        <f>IF(X8="","",IF(X8&gt;='Léeme'!$B$6,"barato",IF(X8&lt;'Léeme'!$B$7,"caro","medio")))</f>
        <v/>
      </c>
      <c r="Z8" s="10" t="n">
        <v>0.3475004296629984</v>
      </c>
      <c r="AA8" s="10" t="n">
        <v>0.1398566714057334</v>
      </c>
    </row>
    <row r="9">
      <c r="A9" s="3" t="inlineStr">
        <is>
          <t>1996-T3</t>
        </is>
      </c>
      <c r="B9" s="12" t="n">
        <v>35338</v>
      </c>
      <c r="C9" s="13" t="n">
        <v>11.375001</v>
      </c>
      <c r="E9" s="13" t="n">
        <v>0.9299999999999999</v>
      </c>
      <c r="F9" s="14" t="n">
        <v>0.0672</v>
      </c>
      <c r="G9" s="14" t="n">
        <v>0.02812295618051008</v>
      </c>
      <c r="H9" s="14" t="n">
        <v>0.08210000000000001</v>
      </c>
      <c r="I9" s="15">
        <f>IFERROR(C9/D9,"")</f>
        <v/>
      </c>
      <c r="J9" s="8">
        <f>IFERROR(D9/C9,"")</f>
        <v/>
      </c>
      <c r="K9" s="8">
        <f>IFERROR(E9/C9,"")</f>
        <v/>
      </c>
      <c r="L9" s="8">
        <f>IFERROR(F9-G9,"")</f>
        <v/>
      </c>
      <c r="M9" s="8">
        <f>IFERROR(J9-F9,"")</f>
        <v/>
      </c>
      <c r="N9" s="8">
        <f>IFERROR(J9-L9,"")</f>
        <v/>
      </c>
      <c r="O9" s="8">
        <f>IFERROR(J9-H9,"")</f>
        <v/>
      </c>
      <c r="P9" s="8">
        <f>IFERROR(K9-F9,"")</f>
        <v/>
      </c>
      <c r="Q9" s="6" t="n"/>
      <c r="R9" s="6" t="n"/>
      <c r="S9" s="6" t="n"/>
      <c r="T9" s="6" t="n"/>
      <c r="U9" s="6" t="n"/>
      <c r="V9" s="6" t="n"/>
      <c r="W9" s="6" t="n"/>
      <c r="X9" s="6" t="n"/>
      <c r="Y9" s="3">
        <f>IF(X9="","",IF(X9&gt;='Léeme'!$B$6,"barato",IF(X9&lt;'Léeme'!$B$7,"caro","medio")))</f>
        <v/>
      </c>
      <c r="Z9" s="10" t="n">
        <v>0.2579427618069108</v>
      </c>
      <c r="AA9" s="10" t="n">
        <v>0.1227072402943772</v>
      </c>
    </row>
    <row r="10">
      <c r="A10" s="3" t="inlineStr">
        <is>
          <t>1996-T4</t>
        </is>
      </c>
      <c r="B10" s="12" t="n">
        <v>35430</v>
      </c>
      <c r="C10" s="13" t="n">
        <v>11.9375</v>
      </c>
      <c r="E10" s="13" t="n">
        <v>0.9450000000000001</v>
      </c>
      <c r="F10" s="14" t="n">
        <v>0.0643</v>
      </c>
      <c r="G10" s="14" t="n">
        <v>0.03253090435914108</v>
      </c>
      <c r="H10" s="14" t="n">
        <v>0.0786</v>
      </c>
      <c r="I10" s="15">
        <f>IFERROR(C10/D10,"")</f>
        <v/>
      </c>
      <c r="J10" s="8">
        <f>IFERROR(D10/C10,"")</f>
        <v/>
      </c>
      <c r="K10" s="8">
        <f>IFERROR(E10/C10,"")</f>
        <v/>
      </c>
      <c r="L10" s="8">
        <f>IFERROR(F10-G10,"")</f>
        <v/>
      </c>
      <c r="M10" s="8">
        <f>IFERROR(J10-F10,"")</f>
        <v/>
      </c>
      <c r="N10" s="8">
        <f>IFERROR(J10-L10,"")</f>
        <v/>
      </c>
      <c r="O10" s="8">
        <f>IFERROR(J10-H10,"")</f>
        <v/>
      </c>
      <c r="P10" s="8">
        <f>IFERROR(K10-F10,"")</f>
        <v/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3">
        <f>IF(X10="","",IF(X10&gt;='Léeme'!$B$6,"barato",IF(X10&lt;'Léeme'!$B$7,"caro","medio")))</f>
        <v/>
      </c>
      <c r="Z10" s="10" t="n">
        <v>0.1305233958883472</v>
      </c>
      <c r="AA10" s="10" t="n">
        <v>0.1148846399761407</v>
      </c>
    </row>
    <row r="11">
      <c r="A11" s="3" t="inlineStr">
        <is>
          <t>1997-T1</t>
        </is>
      </c>
      <c r="B11" s="12" t="n">
        <v>35520</v>
      </c>
      <c r="C11" s="13" t="n">
        <v>11.5</v>
      </c>
      <c r="D11" s="13" t="n">
        <v>1.0385</v>
      </c>
      <c r="E11" s="13" t="n">
        <v>0.948</v>
      </c>
      <c r="F11" s="14" t="n">
        <v>0.0692</v>
      </c>
      <c r="G11" s="14" t="n">
        <v>0.03032258064516125</v>
      </c>
      <c r="H11" s="14" t="n">
        <v>0.0832</v>
      </c>
      <c r="I11" s="15">
        <f>IFERROR(C11/D11,"")</f>
        <v/>
      </c>
      <c r="J11" s="8">
        <f>IFERROR(D11/C11,"")</f>
        <v/>
      </c>
      <c r="K11" s="8">
        <f>IFERROR(E11/C11,"")</f>
        <v/>
      </c>
      <c r="L11" s="8">
        <f>IFERROR(F11-G11,"")</f>
        <v/>
      </c>
      <c r="M11" s="8">
        <f>IFERROR(J11-F11,"")</f>
        <v/>
      </c>
      <c r="N11" s="8">
        <f>IFERROR(J11-L11,"")</f>
        <v/>
      </c>
      <c r="O11" s="8">
        <f>IFERROR(J11-H11,"")</f>
        <v/>
      </c>
      <c r="P11" s="8">
        <f>IFERROR(K11-F11,"")</f>
        <v/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3">
        <f>IF(X11="","",IF(X11&gt;='Léeme'!$B$6,"barato",IF(X11&lt;'Léeme'!$B$7,"caro","medio")))</f>
        <v/>
      </c>
      <c r="Z11" s="10" t="n">
        <v>0.2532929207772585</v>
      </c>
      <c r="AA11" s="10" t="n">
        <v>0.1506595430602404</v>
      </c>
    </row>
    <row r="12">
      <c r="A12" s="3" t="inlineStr">
        <is>
          <t>1997-T2</t>
        </is>
      </c>
      <c r="B12" s="12" t="n">
        <v>35611</v>
      </c>
      <c r="C12" s="13" t="n">
        <v>13.125</v>
      </c>
      <c r="D12" s="13" t="n">
        <v>1.0385</v>
      </c>
      <c r="E12" s="13" t="n">
        <v>0.948</v>
      </c>
      <c r="F12" s="14" t="n">
        <v>0.06509999999999999</v>
      </c>
      <c r="G12" s="14" t="n">
        <v>0.02237851662404089</v>
      </c>
      <c r="H12" s="14" t="n">
        <v>0.07969999999999999</v>
      </c>
      <c r="I12" s="15">
        <f>IFERROR(C12/D12,"")</f>
        <v/>
      </c>
      <c r="J12" s="8">
        <f>IFERROR(D12/C12,"")</f>
        <v/>
      </c>
      <c r="K12" s="8">
        <f>IFERROR(E12/C12,"")</f>
        <v/>
      </c>
      <c r="L12" s="8">
        <f>IFERROR(F12-G12,"")</f>
        <v/>
      </c>
      <c r="M12" s="8">
        <f>IFERROR(J12-F12,"")</f>
        <v/>
      </c>
      <c r="N12" s="8">
        <f>IFERROR(J12-L12,"")</f>
        <v/>
      </c>
      <c r="O12" s="8">
        <f>IFERROR(J12-H12,"")</f>
        <v/>
      </c>
      <c r="P12" s="8">
        <f>IFERROR(K12-F12,"")</f>
        <v/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3">
        <f>IF(X12="","",IF(X12&gt;='Léeme'!$B$6,"barato",IF(X12&lt;'Léeme'!$B$7,"caro","medio")))</f>
        <v/>
      </c>
      <c r="Z12" s="10" t="n">
        <v>0.06515510704092353</v>
      </c>
      <c r="AA12" s="10" t="n">
        <v>0.1443036990415696</v>
      </c>
    </row>
    <row r="13">
      <c r="A13" s="3" t="inlineStr">
        <is>
          <t>1997-T3</t>
        </is>
      </c>
      <c r="B13" s="12" t="n">
        <v>35703</v>
      </c>
      <c r="C13" s="13" t="n">
        <v>13.46875</v>
      </c>
      <c r="D13" s="13" t="n">
        <v>1.0385</v>
      </c>
      <c r="E13" s="13" t="n">
        <v>0.948</v>
      </c>
      <c r="F13" s="14" t="n">
        <v>0.0612</v>
      </c>
      <c r="G13" s="14" t="n">
        <v>0.02290076335877878</v>
      </c>
      <c r="H13" s="14" t="n">
        <v>0.0764</v>
      </c>
      <c r="I13" s="15">
        <f>IFERROR(C13/D13,"")</f>
        <v/>
      </c>
      <c r="J13" s="8">
        <f>IFERROR(D13/C13,"")</f>
        <v/>
      </c>
      <c r="K13" s="8">
        <f>IFERROR(E13/C13,"")</f>
        <v/>
      </c>
      <c r="L13" s="8">
        <f>IFERROR(F13-G13,"")</f>
        <v/>
      </c>
      <c r="M13" s="8">
        <f>IFERROR(J13-F13,"")</f>
        <v/>
      </c>
      <c r="N13" s="8">
        <f>IFERROR(J13-L13,"")</f>
        <v/>
      </c>
      <c r="O13" s="8">
        <f>IFERROR(J13-H13,"")</f>
        <v/>
      </c>
      <c r="P13" s="8">
        <f>IFERROR(K13-F13,"")</f>
        <v/>
      </c>
      <c r="Q13" s="6" t="n"/>
      <c r="R13" s="6" t="n"/>
      <c r="S13" s="6" t="n"/>
      <c r="T13" s="6" t="n"/>
      <c r="U13" s="6" t="n">
        <v>0.04166666666666666</v>
      </c>
      <c r="V13" s="6" t="n">
        <v>0.125</v>
      </c>
      <c r="W13" s="6" t="n"/>
      <c r="X13" s="6" t="n"/>
      <c r="Y13" s="3">
        <f>IF(X13="","",IF(X13&gt;='Léeme'!$B$6,"barato",IF(X13&lt;'Léeme'!$B$7,"caro","medio")))</f>
        <v/>
      </c>
      <c r="Z13" s="10" t="n">
        <v>-0.01926456922719866</v>
      </c>
      <c r="AA13" s="10" t="n">
        <v>0.1206507027161037</v>
      </c>
    </row>
    <row r="14">
      <c r="A14" s="3" t="inlineStr">
        <is>
          <t>1997-T4</t>
        </is>
      </c>
      <c r="B14" s="12" t="n">
        <v>35795</v>
      </c>
      <c r="C14" s="13" t="n">
        <v>12.71875</v>
      </c>
      <c r="D14" s="13" t="n">
        <v>1.0385</v>
      </c>
      <c r="E14" s="13" t="n">
        <v>0.96</v>
      </c>
      <c r="F14" s="14" t="n">
        <v>0.0575</v>
      </c>
      <c r="G14" s="14" t="n">
        <v>0.01890359168241962</v>
      </c>
      <c r="H14" s="14" t="n">
        <v>0.0732</v>
      </c>
      <c r="I14" s="15">
        <f>IFERROR(C14/D14,"")</f>
        <v/>
      </c>
      <c r="J14" s="8">
        <f>IFERROR(D14/C14,"")</f>
        <v/>
      </c>
      <c r="K14" s="8">
        <f>IFERROR(E14/C14,"")</f>
        <v/>
      </c>
      <c r="L14" s="8">
        <f>IFERROR(F14-G14,"")</f>
        <v/>
      </c>
      <c r="M14" s="8">
        <f>IFERROR(J14-F14,"")</f>
        <v/>
      </c>
      <c r="N14" s="8">
        <f>IFERROR(J14-L14,"")</f>
        <v/>
      </c>
      <c r="O14" s="8">
        <f>IFERROR(J14-H14,"")</f>
        <v/>
      </c>
      <c r="P14" s="8">
        <f>IFERROR(K14-F14,"")</f>
        <v/>
      </c>
      <c r="Q14" s="6" t="n"/>
      <c r="R14" s="6" t="n"/>
      <c r="S14" s="6" t="n"/>
      <c r="T14" s="6" t="n"/>
      <c r="U14" s="6" t="n">
        <v>0.217948717948718</v>
      </c>
      <c r="V14" s="6" t="n">
        <v>0.3974358974358974</v>
      </c>
      <c r="W14" s="6" t="n"/>
      <c r="X14" s="6" t="n"/>
      <c r="Y14" s="3">
        <f>IF(X14="","",IF(X14&gt;='Léeme'!$B$6,"barato",IF(X14&lt;'Léeme'!$B$7,"caro","medio")))</f>
        <v/>
      </c>
      <c r="Z14" s="10" t="n">
        <v>0.04006757944076966</v>
      </c>
      <c r="AA14" s="10" t="n">
        <v>0.1388446870394888</v>
      </c>
    </row>
    <row r="15">
      <c r="A15" s="3" t="inlineStr">
        <is>
          <t>1998-T1</t>
        </is>
      </c>
      <c r="B15" s="12" t="n">
        <v>35885</v>
      </c>
      <c r="C15" s="13" t="n">
        <v>13.59375</v>
      </c>
      <c r="D15" s="13" t="n">
        <v>1.11</v>
      </c>
      <c r="E15" s="13" t="n">
        <v>0.972</v>
      </c>
      <c r="F15" s="14" t="n">
        <v>0.0567</v>
      </c>
      <c r="G15" s="14" t="n">
        <v>0.01440200375704448</v>
      </c>
      <c r="H15" s="14" t="n">
        <v>0.0736</v>
      </c>
      <c r="I15" s="15">
        <f>IFERROR(C15/D15,"")</f>
        <v/>
      </c>
      <c r="J15" s="8">
        <f>IFERROR(D15/C15,"")</f>
        <v/>
      </c>
      <c r="K15" s="8">
        <f>IFERROR(E15/C15,"")</f>
        <v/>
      </c>
      <c r="L15" s="8">
        <f>IFERROR(F15-G15,"")</f>
        <v/>
      </c>
      <c r="M15" s="8">
        <f>IFERROR(J15-F15,"")</f>
        <v/>
      </c>
      <c r="N15" s="8">
        <f>IFERROR(J15-L15,"")</f>
        <v/>
      </c>
      <c r="O15" s="8">
        <f>IFERROR(J15-H15,"")</f>
        <v/>
      </c>
      <c r="P15" s="8">
        <f>IFERROR(K15-F15,"")</f>
        <v/>
      </c>
      <c r="Q15" s="6" t="n"/>
      <c r="R15" s="6" t="n"/>
      <c r="S15" s="6" t="n"/>
      <c r="T15" s="6" t="n"/>
      <c r="U15" s="6" t="n">
        <v>0.05952380952380952</v>
      </c>
      <c r="V15" s="6" t="n">
        <v>0.3214285714285715</v>
      </c>
      <c r="W15" s="6" t="n"/>
      <c r="X15" s="6" t="n"/>
      <c r="Y15" s="3">
        <f>IF(X15="","",IF(X15&gt;='Léeme'!$B$6,"barato",IF(X15&lt;'Léeme'!$B$7,"caro","medio")))</f>
        <v/>
      </c>
      <c r="Z15" s="10" t="n">
        <v>-0.1752987541033685</v>
      </c>
      <c r="AA15" s="10" t="n">
        <v>0.1283421478714906</v>
      </c>
    </row>
    <row r="16">
      <c r="A16" s="3" t="inlineStr">
        <is>
          <t>1998-T2</t>
        </is>
      </c>
      <c r="B16" s="12" t="n">
        <v>35976</v>
      </c>
      <c r="C16" s="13" t="n">
        <v>13.1875</v>
      </c>
      <c r="D16" s="13" t="n">
        <v>1.11</v>
      </c>
      <c r="E16" s="13" t="n">
        <v>0.99</v>
      </c>
      <c r="F16" s="14" t="n">
        <v>0.0544</v>
      </c>
      <c r="G16" s="14" t="n">
        <v>0.01688555347091936</v>
      </c>
      <c r="H16" s="14" t="n">
        <v>0.0713</v>
      </c>
      <c r="I16" s="15">
        <f>IFERROR(C16/D16,"")</f>
        <v/>
      </c>
      <c r="J16" s="8">
        <f>IFERROR(D16/C16,"")</f>
        <v/>
      </c>
      <c r="K16" s="8">
        <f>IFERROR(E16/C16,"")</f>
        <v/>
      </c>
      <c r="L16" s="8">
        <f>IFERROR(F16-G16,"")</f>
        <v/>
      </c>
      <c r="M16" s="8">
        <f>IFERROR(J16-F16,"")</f>
        <v/>
      </c>
      <c r="N16" s="8">
        <f>IFERROR(J16-L16,"")</f>
        <v/>
      </c>
      <c r="O16" s="8">
        <f>IFERROR(J16-H16,"")</f>
        <v/>
      </c>
      <c r="P16" s="8">
        <f>IFERROR(K16-F16,"")</f>
        <v/>
      </c>
      <c r="Q16" s="6" t="n"/>
      <c r="R16" s="6" t="n"/>
      <c r="S16" s="6" t="n"/>
      <c r="T16" s="6" t="n"/>
      <c r="U16" s="6" t="n">
        <v>0.3</v>
      </c>
      <c r="V16" s="6" t="n">
        <v>0.5666666666666667</v>
      </c>
      <c r="W16" s="6" t="n"/>
      <c r="X16" s="6" t="n"/>
      <c r="Y16" s="3">
        <f>IF(X16="","",IF(X16&gt;='Léeme'!$B$6,"barato",IF(X16&lt;'Léeme'!$B$7,"caro","medio")))</f>
        <v/>
      </c>
      <c r="Z16" s="10" t="n">
        <v>-0.03623018870867023</v>
      </c>
      <c r="AA16" s="10" t="n">
        <v>0.1490725080354744</v>
      </c>
    </row>
    <row r="17">
      <c r="A17" s="3" t="inlineStr">
        <is>
          <t>1998-T3</t>
        </is>
      </c>
      <c r="B17" s="12" t="n">
        <v>36068</v>
      </c>
      <c r="C17" s="13" t="n">
        <v>12.4375</v>
      </c>
      <c r="D17" s="13" t="n">
        <v>1.11</v>
      </c>
      <c r="E17" s="13" t="n">
        <v>1.008</v>
      </c>
      <c r="F17" s="14" t="n">
        <v>0.0444</v>
      </c>
      <c r="G17" s="14" t="n">
        <v>0.01616915422885579</v>
      </c>
      <c r="H17" s="14" t="n">
        <v>0.0709</v>
      </c>
      <c r="I17" s="15">
        <f>IFERROR(C17/D17,"")</f>
        <v/>
      </c>
      <c r="J17" s="8">
        <f>IFERROR(D17/C17,"")</f>
        <v/>
      </c>
      <c r="K17" s="8">
        <f>IFERROR(E17/C17,"")</f>
        <v/>
      </c>
      <c r="L17" s="8">
        <f>IFERROR(F17-G17,"")</f>
        <v/>
      </c>
      <c r="M17" s="8">
        <f>IFERROR(J17-F17,"")</f>
        <v/>
      </c>
      <c r="N17" s="8">
        <f>IFERROR(J17-L17,"")</f>
        <v/>
      </c>
      <c r="O17" s="8">
        <f>IFERROR(J17-H17,"")</f>
        <v/>
      </c>
      <c r="P17" s="8">
        <f>IFERROR(K17-F17,"")</f>
        <v/>
      </c>
      <c r="Q17" s="6" t="n"/>
      <c r="R17" s="6" t="n"/>
      <c r="S17" s="6" t="n"/>
      <c r="T17" s="6" t="n"/>
      <c r="U17" s="6" t="n">
        <v>0.4479166666666667</v>
      </c>
      <c r="V17" s="6" t="n">
        <v>0.96875</v>
      </c>
      <c r="W17" s="6" t="n"/>
      <c r="X17" s="6" t="n"/>
      <c r="Y17" s="3">
        <f>IF(X17="","",IF(X17&gt;='Léeme'!$B$6,"barato",IF(X17&lt;'Léeme'!$B$7,"caro","medio")))</f>
        <v/>
      </c>
      <c r="Z17" s="10" t="n">
        <v>-0.002850773928052108</v>
      </c>
      <c r="AA17" s="10" t="n">
        <v>0.1710453142823605</v>
      </c>
    </row>
    <row r="18">
      <c r="A18" s="3" t="inlineStr">
        <is>
          <t>1998-T4</t>
        </is>
      </c>
      <c r="B18" s="12" t="n">
        <v>36160</v>
      </c>
      <c r="C18" s="13" t="n">
        <v>12.4375</v>
      </c>
      <c r="D18" s="13" t="n">
        <v>1.11</v>
      </c>
      <c r="E18" s="13" t="n">
        <v>1.02</v>
      </c>
      <c r="F18" s="14" t="n">
        <v>0.04650000000000001</v>
      </c>
      <c r="G18" s="14" t="n">
        <v>0.01484230055658631</v>
      </c>
      <c r="H18" s="14" t="n">
        <v>0.0726</v>
      </c>
      <c r="I18" s="15">
        <f>IFERROR(C18/D18,"")</f>
        <v/>
      </c>
      <c r="J18" s="8">
        <f>IFERROR(D18/C18,"")</f>
        <v/>
      </c>
      <c r="K18" s="8">
        <f>IFERROR(E18/C18,"")</f>
        <v/>
      </c>
      <c r="L18" s="8">
        <f>IFERROR(F18-G18,"")</f>
        <v/>
      </c>
      <c r="M18" s="8">
        <f>IFERROR(J18-F18,"")</f>
        <v/>
      </c>
      <c r="N18" s="8">
        <f>IFERROR(J18-L18,"")</f>
        <v/>
      </c>
      <c r="O18" s="8">
        <f>IFERROR(J18-H18,"")</f>
        <v/>
      </c>
      <c r="P18" s="8">
        <f>IFERROR(K18-F18,"")</f>
        <v/>
      </c>
      <c r="Q18" s="6" t="n"/>
      <c r="R18" s="6" t="n"/>
      <c r="S18" s="6" t="n"/>
      <c r="T18" s="6" t="n"/>
      <c r="U18" s="6" t="n">
        <v>0.5</v>
      </c>
      <c r="V18" s="6" t="n">
        <v>0.9509803921568627</v>
      </c>
      <c r="W18" s="6" t="n"/>
      <c r="X18" s="6" t="n"/>
      <c r="Y18" s="3">
        <f>IF(X18="","",IF(X18&gt;='Léeme'!$B$6,"barato",IF(X18&lt;'Léeme'!$B$7,"caro","medio")))</f>
        <v/>
      </c>
      <c r="Z18" s="10" t="n">
        <v>-0.1075079290683634</v>
      </c>
      <c r="AA18" s="10" t="n">
        <v>0.1720825094854521</v>
      </c>
    </row>
    <row r="19">
      <c r="A19" s="3" t="inlineStr">
        <is>
          <t>1999-T1</t>
        </is>
      </c>
      <c r="B19" s="12" t="n">
        <v>36250</v>
      </c>
      <c r="C19" s="13" t="n">
        <v>10.500001</v>
      </c>
      <c r="D19" s="13" t="n">
        <v>1.18</v>
      </c>
      <c r="E19" s="13" t="n">
        <v>1.032</v>
      </c>
      <c r="F19" s="14" t="n">
        <v>0.0525</v>
      </c>
      <c r="G19" s="14" t="n">
        <v>0.01666666666666661</v>
      </c>
      <c r="H19" s="14" t="n">
        <v>0.07530000000000001</v>
      </c>
      <c r="I19" s="15">
        <f>IFERROR(C19/D19,"")</f>
        <v/>
      </c>
      <c r="J19" s="8">
        <f>IFERROR(D19/C19,"")</f>
        <v/>
      </c>
      <c r="K19" s="8">
        <f>IFERROR(E19/C19,"")</f>
        <v/>
      </c>
      <c r="L19" s="8">
        <f>IFERROR(F19-G19,"")</f>
        <v/>
      </c>
      <c r="M19" s="8">
        <f>IFERROR(J19-F19,"")</f>
        <v/>
      </c>
      <c r="N19" s="8">
        <f>IFERROR(J19-L19,"")</f>
        <v/>
      </c>
      <c r="O19" s="8">
        <f>IFERROR(J19-H19,"")</f>
        <v/>
      </c>
      <c r="P19" s="8">
        <f>IFERROR(K19-F19,"")</f>
        <v/>
      </c>
      <c r="Q19" s="6" t="n"/>
      <c r="R19" s="6" t="n"/>
      <c r="S19" s="6" t="n"/>
      <c r="T19" s="6" t="n"/>
      <c r="U19" s="6" t="n">
        <v>0.8981481481481481</v>
      </c>
      <c r="V19" s="6" t="n">
        <v>0.9907407407407407</v>
      </c>
      <c r="W19" s="6" t="n"/>
      <c r="X19" s="6" t="n"/>
      <c r="Y19" s="3">
        <f>IF(X19="","",IF(X19&gt;='Léeme'!$B$6,"barato",IF(X19&lt;'Léeme'!$B$7,"caro","medio")))</f>
        <v/>
      </c>
      <c r="Z19" s="10" t="n">
        <v>-0.01099347598513933</v>
      </c>
      <c r="AA19" s="10" t="n">
        <v>0.2376620642118294</v>
      </c>
    </row>
    <row r="20">
      <c r="A20" s="3" t="inlineStr">
        <is>
          <t>1999-T2</t>
        </is>
      </c>
      <c r="B20" s="12" t="n">
        <v>36341</v>
      </c>
      <c r="C20" s="13" t="n">
        <v>11.875</v>
      </c>
      <c r="D20" s="13" t="n">
        <v>1.18</v>
      </c>
      <c r="E20" s="13" t="n">
        <v>1.05</v>
      </c>
      <c r="F20" s="14" t="n">
        <v>0.0581</v>
      </c>
      <c r="G20" s="14" t="n">
        <v>0.02091020910209096</v>
      </c>
      <c r="H20" s="14" t="n">
        <v>0.0805</v>
      </c>
      <c r="I20" s="15">
        <f>IFERROR(C20/D20,"")</f>
        <v/>
      </c>
      <c r="J20" s="8">
        <f>IFERROR(D20/C20,"")</f>
        <v/>
      </c>
      <c r="K20" s="8">
        <f>IFERROR(E20/C20,"")</f>
        <v/>
      </c>
      <c r="L20" s="8">
        <f>IFERROR(F20-G20,"")</f>
        <v/>
      </c>
      <c r="M20" s="8">
        <f>IFERROR(J20-F20,"")</f>
        <v/>
      </c>
      <c r="N20" s="8">
        <f>IFERROR(J20-L20,"")</f>
        <v/>
      </c>
      <c r="O20" s="8">
        <f>IFERROR(J20-H20,"")</f>
        <v/>
      </c>
      <c r="P20" s="8">
        <f>IFERROR(K20-F20,"")</f>
        <v/>
      </c>
      <c r="Q20" s="6" t="n"/>
      <c r="R20" s="6" t="n"/>
      <c r="S20" s="6" t="n"/>
      <c r="T20" s="6" t="n"/>
      <c r="U20" s="6" t="n">
        <v>0.7105263157894737</v>
      </c>
      <c r="V20" s="6" t="n">
        <v>0.7807017543859649</v>
      </c>
      <c r="W20" s="6" t="n"/>
      <c r="X20" s="6" t="n"/>
      <c r="Y20" s="3">
        <f>IF(X20="","",IF(X20&gt;='Léeme'!$B$6,"barato",IF(X20&lt;'Léeme'!$B$7,"caro","medio")))</f>
        <v/>
      </c>
      <c r="Z20" s="10" t="n">
        <v>0.07278151973180558</v>
      </c>
      <c r="AA20" s="10" t="n">
        <v>0.1901137117491549</v>
      </c>
    </row>
    <row r="21">
      <c r="A21" s="3" t="inlineStr">
        <is>
          <t>1999-T3</t>
        </is>
      </c>
      <c r="B21" s="12" t="n">
        <v>36433</v>
      </c>
      <c r="C21" s="13" t="n">
        <v>11.5625</v>
      </c>
      <c r="D21" s="13" t="n">
        <v>1.18</v>
      </c>
      <c r="E21" s="13" t="n">
        <v>1.068</v>
      </c>
      <c r="F21" s="14" t="n">
        <v>0.059</v>
      </c>
      <c r="G21" s="14" t="n">
        <v>0.0226438188494491</v>
      </c>
      <c r="H21" s="14" t="n">
        <v>0.0828</v>
      </c>
      <c r="I21" s="15">
        <f>IFERROR(C21/D21,"")</f>
        <v/>
      </c>
      <c r="J21" s="8">
        <f>IFERROR(D21/C21,"")</f>
        <v/>
      </c>
      <c r="K21" s="8">
        <f>IFERROR(E21/C21,"")</f>
        <v/>
      </c>
      <c r="L21" s="8">
        <f>IFERROR(F21-G21,"")</f>
        <v/>
      </c>
      <c r="M21" s="8">
        <f>IFERROR(J21-F21,"")</f>
        <v/>
      </c>
      <c r="N21" s="8">
        <f>IFERROR(J21-L21,"")</f>
        <v/>
      </c>
      <c r="O21" s="8">
        <f>IFERROR(J21-H21,"")</f>
        <v/>
      </c>
      <c r="P21" s="8">
        <f>IFERROR(K21-F21,"")</f>
        <v/>
      </c>
      <c r="Q21" s="6" t="n"/>
      <c r="R21" s="6" t="n"/>
      <c r="S21" s="6" t="n"/>
      <c r="T21" s="6" t="n"/>
      <c r="U21" s="6" t="n">
        <v>0.8083333333333333</v>
      </c>
      <c r="V21" s="6" t="n">
        <v>0.8083333333333333</v>
      </c>
      <c r="W21" s="6" t="n"/>
      <c r="X21" s="6" t="n"/>
      <c r="Y21" s="3">
        <f>IF(X21="","",IF(X21&gt;='Léeme'!$B$6,"barato",IF(X21&lt;'Léeme'!$B$7,"caro","medio")))</f>
        <v/>
      </c>
      <c r="Z21" s="10" t="n">
        <v>0.09005013612481316</v>
      </c>
      <c r="AA21" s="10" t="n">
        <v>0.2132816075964994</v>
      </c>
    </row>
    <row r="22">
      <c r="A22" s="3" t="inlineStr">
        <is>
          <t>1999-T4</t>
        </is>
      </c>
      <c r="B22" s="12" t="n">
        <v>36525</v>
      </c>
      <c r="C22" s="13" t="n">
        <v>10.3125</v>
      </c>
      <c r="D22" s="13" t="n">
        <v>1.18</v>
      </c>
      <c r="E22" s="13" t="n">
        <v>1.08</v>
      </c>
      <c r="F22" s="14" t="n">
        <v>0.0645</v>
      </c>
      <c r="G22" s="14" t="n">
        <v>0.02620353443022561</v>
      </c>
      <c r="H22" s="14" t="n">
        <v>0.0823</v>
      </c>
      <c r="I22" s="15">
        <f>IFERROR(C22/D22,"")</f>
        <v/>
      </c>
      <c r="J22" s="8">
        <f>IFERROR(D22/C22,"")</f>
        <v/>
      </c>
      <c r="K22" s="8">
        <f>IFERROR(E22/C22,"")</f>
        <v/>
      </c>
      <c r="L22" s="8">
        <f>IFERROR(F22-G22,"")</f>
        <v/>
      </c>
      <c r="M22" s="8">
        <f>IFERROR(J22-F22,"")</f>
        <v/>
      </c>
      <c r="N22" s="8">
        <f>IFERROR(J22-L22,"")</f>
        <v/>
      </c>
      <c r="O22" s="8">
        <f>IFERROR(J22-H22,"")</f>
        <v/>
      </c>
      <c r="P22" s="8">
        <f>IFERROR(K22-F22,"")</f>
        <v/>
      </c>
      <c r="Q22" s="6" t="n"/>
      <c r="R22" s="6" t="n"/>
      <c r="S22" s="6" t="n"/>
      <c r="T22" s="6" t="n"/>
      <c r="U22" s="6" t="n">
        <v>0.9444444444444444</v>
      </c>
      <c r="V22" s="6" t="n">
        <v>0.9603174603174603</v>
      </c>
      <c r="W22" s="6" t="n"/>
      <c r="X22" s="6" t="n"/>
      <c r="Y22" s="3">
        <f>IF(X22="","",IF(X22&gt;='Léeme'!$B$6,"barato",IF(X22&lt;'Léeme'!$B$7,"caro","medio")))</f>
        <v/>
      </c>
      <c r="Z22" s="10" t="n">
        <v>0.3019381894767394</v>
      </c>
      <c r="AA22" s="10" t="n">
        <v>0.2682090526119467</v>
      </c>
    </row>
    <row r="23">
      <c r="A23" s="3" t="inlineStr">
        <is>
          <t>2000-T1</t>
        </is>
      </c>
      <c r="B23" s="12" t="n">
        <v>36616</v>
      </c>
      <c r="C23" s="13" t="n">
        <v>9.624999000000001</v>
      </c>
      <c r="D23" s="13" t="n">
        <v>1.2285</v>
      </c>
      <c r="E23" s="13" t="n">
        <v>1.086</v>
      </c>
      <c r="F23" s="14" t="n">
        <v>0.0603</v>
      </c>
      <c r="G23" s="14" t="n">
        <v>0.03217972070431085</v>
      </c>
      <c r="H23" s="14" t="n">
        <v>0.08359999999999999</v>
      </c>
      <c r="I23" s="15">
        <f>IFERROR(C23/D23,"")</f>
        <v/>
      </c>
      <c r="J23" s="8">
        <f>IFERROR(D23/C23,"")</f>
        <v/>
      </c>
      <c r="K23" s="8">
        <f>IFERROR(E23/C23,"")</f>
        <v/>
      </c>
      <c r="L23" s="8">
        <f>IFERROR(F23-G23,"")</f>
        <v/>
      </c>
      <c r="M23" s="8">
        <f>IFERROR(J23-F23,"")</f>
        <v/>
      </c>
      <c r="N23" s="8">
        <f>IFERROR(J23-L23,"")</f>
        <v/>
      </c>
      <c r="O23" s="8">
        <f>IFERROR(J23-H23,"")</f>
        <v/>
      </c>
      <c r="P23" s="8">
        <f>IFERROR(K23-F23,"")</f>
        <v/>
      </c>
      <c r="Q23" s="6" t="n">
        <v>0.9864864864864865</v>
      </c>
      <c r="R23" s="6" t="n">
        <v>0.9864864864864865</v>
      </c>
      <c r="S23" s="6" t="n">
        <v>0.9864864864864865</v>
      </c>
      <c r="T23" s="6" t="n">
        <v>0.9864864864864865</v>
      </c>
      <c r="U23" s="6" t="n">
        <v>0.9924242424242424</v>
      </c>
      <c r="V23" s="6" t="n">
        <v>0.9924242424242424</v>
      </c>
      <c r="W23" s="6" t="n"/>
      <c r="X23" s="6" t="n">
        <v>0.9884657384657385</v>
      </c>
      <c r="Y23" s="3">
        <f>IF(X23="","",IF(X23&gt;='Léeme'!$B$6,"barato",IF(X23&lt;'Léeme'!$B$7,"caro","medio")))</f>
        <v/>
      </c>
      <c r="Z23" s="10" t="n">
        <v>0.4809568324164308</v>
      </c>
      <c r="AA23" s="10" t="n">
        <v>0.2579827146160296</v>
      </c>
    </row>
    <row r="24">
      <c r="A24" s="3" t="inlineStr">
        <is>
          <t>2000-T2</t>
        </is>
      </c>
      <c r="B24" s="12" t="n">
        <v>36707</v>
      </c>
      <c r="C24" s="13" t="n">
        <v>11.789062</v>
      </c>
      <c r="D24" s="13" t="n">
        <v>1.2285</v>
      </c>
      <c r="E24" s="13" t="n">
        <v>1.098</v>
      </c>
      <c r="F24" s="14" t="n">
        <v>0.0603</v>
      </c>
      <c r="G24" s="14" t="n">
        <v>0.03132530120481913</v>
      </c>
      <c r="H24" s="14" t="n">
        <v>0.08439999999999999</v>
      </c>
      <c r="I24" s="15">
        <f>IFERROR(C24/D24,"")</f>
        <v/>
      </c>
      <c r="J24" s="8">
        <f>IFERROR(D24/C24,"")</f>
        <v/>
      </c>
      <c r="K24" s="8">
        <f>IFERROR(E24/C24,"")</f>
        <v/>
      </c>
      <c r="L24" s="8">
        <f>IFERROR(F24-G24,"")</f>
        <v/>
      </c>
      <c r="M24" s="8">
        <f>IFERROR(J24-F24,"")</f>
        <v/>
      </c>
      <c r="N24" s="8">
        <f>IFERROR(J24-L24,"")</f>
        <v/>
      </c>
      <c r="O24" s="8">
        <f>IFERROR(J24-H24,"")</f>
        <v/>
      </c>
      <c r="P24" s="8">
        <f>IFERROR(K24-F24,"")</f>
        <v/>
      </c>
      <c r="Q24" s="6" t="n">
        <v>0.7875</v>
      </c>
      <c r="R24" s="6" t="n">
        <v>0.6875</v>
      </c>
      <c r="S24" s="6" t="n">
        <v>0.8625</v>
      </c>
      <c r="T24" s="6" t="n">
        <v>0.6375</v>
      </c>
      <c r="U24" s="6" t="n">
        <v>0.7318840579710145</v>
      </c>
      <c r="V24" s="6" t="n">
        <v>0.7173913043478261</v>
      </c>
      <c r="W24" s="6" t="n"/>
      <c r="X24" s="6" t="n">
        <v>0.7373792270531402</v>
      </c>
      <c r="Y24" s="3">
        <f>IF(X24="","",IF(X24&gt;='Léeme'!$B$6,"barato",IF(X24&lt;'Léeme'!$B$7,"caro","medio")))</f>
        <v/>
      </c>
      <c r="Z24" s="10" t="n">
        <v>0.3448826736995829</v>
      </c>
      <c r="AA24" s="10" t="n">
        <v>0.2279858043039977</v>
      </c>
    </row>
    <row r="25">
      <c r="A25" s="3" t="inlineStr">
        <is>
          <t>2000-T3</t>
        </is>
      </c>
      <c r="B25" s="12" t="n">
        <v>36798</v>
      </c>
      <c r="C25" s="13" t="n">
        <v>11.65625</v>
      </c>
      <c r="D25" s="13" t="n">
        <v>1.2285</v>
      </c>
      <c r="E25" s="13" t="n">
        <v>1.104</v>
      </c>
      <c r="F25" s="14" t="n">
        <v>0.058</v>
      </c>
      <c r="G25" s="14" t="n">
        <v>0.03351286654697772</v>
      </c>
      <c r="H25" s="14" t="n">
        <v>0.0832</v>
      </c>
      <c r="I25" s="15">
        <f>IFERROR(C25/D25,"")</f>
        <v/>
      </c>
      <c r="J25" s="8">
        <f>IFERROR(D25/C25,"")</f>
        <v/>
      </c>
      <c r="K25" s="8">
        <f>IFERROR(E25/C25,"")</f>
        <v/>
      </c>
      <c r="L25" s="8">
        <f>IFERROR(F25-G25,"")</f>
        <v/>
      </c>
      <c r="M25" s="8">
        <f>IFERROR(J25-F25,"")</f>
        <v/>
      </c>
      <c r="N25" s="8">
        <f>IFERROR(J25-L25,"")</f>
        <v/>
      </c>
      <c r="O25" s="8">
        <f>IFERROR(J25-H25,"")</f>
        <v/>
      </c>
      <c r="P25" s="8">
        <f>IFERROR(K25-F25,"")</f>
        <v/>
      </c>
      <c r="Q25" s="6" t="n">
        <v>0.8023255813953488</v>
      </c>
      <c r="R25" s="6" t="n">
        <v>0.8255813953488372</v>
      </c>
      <c r="S25" s="6" t="n">
        <v>0.9186046511627907</v>
      </c>
      <c r="T25" s="6" t="n">
        <v>0.7325581395348837</v>
      </c>
      <c r="U25" s="6" t="n">
        <v>0.7430555555555556</v>
      </c>
      <c r="V25" s="6" t="n">
        <v>0.8680555555555556</v>
      </c>
      <c r="W25" s="6" t="n"/>
      <c r="X25" s="6" t="n">
        <v>0.8150301464254953</v>
      </c>
      <c r="Y25" s="3">
        <f>IF(X25="","",IF(X25&gt;='Léeme'!$B$6,"barato",IF(X25&lt;'Léeme'!$B$7,"caro","medio")))</f>
        <v/>
      </c>
      <c r="Z25" s="10" t="n">
        <v>0.3301886604301039</v>
      </c>
      <c r="AA25" s="10" t="n">
        <v>0.2156805470688963</v>
      </c>
    </row>
    <row r="26">
      <c r="A26" s="3" t="inlineStr">
        <is>
          <t>2000-T4</t>
        </is>
      </c>
      <c r="B26" s="12" t="n">
        <v>36889</v>
      </c>
      <c r="C26" s="13" t="n">
        <v>12.4375</v>
      </c>
      <c r="D26" s="13" t="n">
        <v>1.2285</v>
      </c>
      <c r="E26" s="13" t="n">
        <v>1.11</v>
      </c>
      <c r="F26" s="14" t="n">
        <v>0.0512</v>
      </c>
      <c r="G26" s="14" t="n">
        <v>0.03444180522565321</v>
      </c>
      <c r="H26" s="14" t="n">
        <v>0.0796</v>
      </c>
      <c r="I26" s="15">
        <f>IFERROR(C26/D26,"")</f>
        <v/>
      </c>
      <c r="J26" s="8">
        <f>IFERROR(D26/C26,"")</f>
        <v/>
      </c>
      <c r="K26" s="8">
        <f>IFERROR(E26/C26,"")</f>
        <v/>
      </c>
      <c r="L26" s="8">
        <f>IFERROR(F26-G26,"")</f>
        <v/>
      </c>
      <c r="M26" s="8">
        <f>IFERROR(J26-F26,"")</f>
        <v/>
      </c>
      <c r="N26" s="8">
        <f>IFERROR(J26-L26,"")</f>
        <v/>
      </c>
      <c r="O26" s="8">
        <f>IFERROR(J26-H26,"")</f>
        <v/>
      </c>
      <c r="P26" s="8">
        <f>IFERROR(K26-F26,"")</f>
        <v/>
      </c>
      <c r="Q26" s="6" t="n">
        <v>0.5543478260869565</v>
      </c>
      <c r="R26" s="6" t="n">
        <v>0.7934782608695652</v>
      </c>
      <c r="S26" s="6" t="n">
        <v>0.8804347826086957</v>
      </c>
      <c r="T26" s="6" t="n">
        <v>0.5543478260869565</v>
      </c>
      <c r="U26" s="6" t="n">
        <v>0.5933333333333334</v>
      </c>
      <c r="V26" s="6" t="n">
        <v>0.8866666666666667</v>
      </c>
      <c r="W26" s="6" t="n"/>
      <c r="X26" s="6" t="n">
        <v>0.7104347826086957</v>
      </c>
      <c r="Y26" s="3">
        <f>IF(X26="","",IF(X26&gt;='Léeme'!$B$6,"barato",IF(X26&lt;'Léeme'!$B$7,"caro","medio")))</f>
        <v/>
      </c>
      <c r="Z26" s="10" t="n">
        <v>0.2748567231549837</v>
      </c>
      <c r="AA26" s="10" t="n">
        <v>0.178614120455634</v>
      </c>
    </row>
    <row r="27">
      <c r="A27" s="3" t="inlineStr">
        <is>
          <t>2001-T1</t>
        </is>
      </c>
      <c r="B27" s="12" t="n">
        <v>36980</v>
      </c>
      <c r="C27" s="13" t="n">
        <v>13.249999</v>
      </c>
      <c r="D27" s="13" t="n">
        <v>1.2285</v>
      </c>
      <c r="E27" s="13" t="n">
        <v>1.116</v>
      </c>
      <c r="F27" s="14" t="n">
        <v>0.0493</v>
      </c>
      <c r="G27" s="14" t="n">
        <v>0.03529411764705892</v>
      </c>
      <c r="H27" s="14" t="n">
        <v>0.08</v>
      </c>
      <c r="I27" s="15">
        <f>IFERROR(C27/D27,"")</f>
        <v/>
      </c>
      <c r="J27" s="8">
        <f>IFERROR(D27/C27,"")</f>
        <v/>
      </c>
      <c r="K27" s="8">
        <f>IFERROR(E27/C27,"")</f>
        <v/>
      </c>
      <c r="L27" s="8">
        <f>IFERROR(F27-G27,"")</f>
        <v/>
      </c>
      <c r="M27" s="8">
        <f>IFERROR(J27-F27,"")</f>
        <v/>
      </c>
      <c r="N27" s="8">
        <f>IFERROR(J27-L27,"")</f>
        <v/>
      </c>
      <c r="O27" s="8">
        <f>IFERROR(J27-H27,"")</f>
        <v/>
      </c>
      <c r="P27" s="8">
        <f>IFERROR(K27-F27,"")</f>
        <v/>
      </c>
      <c r="Q27" s="6" t="n">
        <v>0.4387755102040816</v>
      </c>
      <c r="R27" s="6" t="n">
        <v>0.5816326530612245</v>
      </c>
      <c r="S27" s="6" t="n">
        <v>0.826530612244898</v>
      </c>
      <c r="T27" s="6" t="n">
        <v>0.3163265306122449</v>
      </c>
      <c r="U27" s="6" t="n">
        <v>0.4166666666666667</v>
      </c>
      <c r="V27" s="6" t="n">
        <v>0.7756410256410257</v>
      </c>
      <c r="W27" s="6" t="n"/>
      <c r="X27" s="6" t="n">
        <v>0.5592621664050236</v>
      </c>
      <c r="Y27" s="3">
        <f>IF(X27="","",IF(X27&gt;='Léeme'!$B$6,"barato",IF(X27&lt;'Léeme'!$B$7,"caro","medio")))</f>
        <v/>
      </c>
      <c r="Z27" s="10" t="n">
        <v>0.3324270011910631</v>
      </c>
      <c r="AA27" s="10" t="n">
        <v>0.1852244876466671</v>
      </c>
    </row>
    <row r="28">
      <c r="A28" s="3" t="inlineStr">
        <is>
          <t>2001-T2</t>
        </is>
      </c>
      <c r="B28" s="12" t="n">
        <v>37071</v>
      </c>
      <c r="C28" s="13" t="n">
        <v>14.779999</v>
      </c>
      <c r="D28" s="13" t="n">
        <v>1.2585</v>
      </c>
      <c r="E28" s="13" t="n">
        <v>1.128</v>
      </c>
      <c r="F28" s="14" t="n">
        <v>0.0542</v>
      </c>
      <c r="G28" s="14" t="n">
        <v>0.03563084112149539</v>
      </c>
      <c r="H28" s="14" t="n">
        <v>0.0801</v>
      </c>
      <c r="I28" s="15">
        <f>IFERROR(C28/D28,"")</f>
        <v/>
      </c>
      <c r="J28" s="8">
        <f>IFERROR(D28/C28,"")</f>
        <v/>
      </c>
      <c r="K28" s="8">
        <f>IFERROR(E28/C28,"")</f>
        <v/>
      </c>
      <c r="L28" s="8">
        <f>IFERROR(F28-G28,"")</f>
        <v/>
      </c>
      <c r="M28" s="8">
        <f>IFERROR(J28-F28,"")</f>
        <v/>
      </c>
      <c r="N28" s="8">
        <f>IFERROR(J28-L28,"")</f>
        <v/>
      </c>
      <c r="O28" s="8">
        <f>IFERROR(J28-H28,"")</f>
        <v/>
      </c>
      <c r="P28" s="8">
        <f>IFERROR(K28-F28,"")</f>
        <v/>
      </c>
      <c r="Q28" s="6" t="n">
        <v>0.2980769230769231</v>
      </c>
      <c r="R28" s="6" t="n">
        <v>0.3173076923076923</v>
      </c>
      <c r="S28" s="6" t="n">
        <v>0.6057692307692307</v>
      </c>
      <c r="T28" s="6" t="n">
        <v>0.1442307692307692</v>
      </c>
      <c r="U28" s="6" t="n">
        <v>0.2037037037037037</v>
      </c>
      <c r="V28" s="6" t="n">
        <v>0.3271604938271605</v>
      </c>
      <c r="W28" s="6" t="n"/>
      <c r="X28" s="6" t="n">
        <v>0.3160414688192466</v>
      </c>
      <c r="Y28" s="3">
        <f>IF(X28="","",IF(X28&gt;='Léeme'!$B$6,"barato",IF(X28&lt;'Léeme'!$B$7,"caro","medio")))</f>
        <v/>
      </c>
      <c r="Z28" s="10" t="n">
        <v>0.3247217124369359</v>
      </c>
      <c r="AA28" s="10" t="n">
        <v>0.143149175999121</v>
      </c>
    </row>
    <row r="29">
      <c r="A29" s="3" t="inlineStr">
        <is>
          <t>2001-T3</t>
        </is>
      </c>
      <c r="B29" s="12" t="n">
        <v>37162</v>
      </c>
      <c r="C29" s="13" t="n">
        <v>14.500001</v>
      </c>
      <c r="D29" s="13" t="n">
        <v>1.2585</v>
      </c>
      <c r="E29" s="13" t="n">
        <v>1.134</v>
      </c>
      <c r="F29" s="14" t="n">
        <v>0.046</v>
      </c>
      <c r="G29" s="14" t="n">
        <v>0.0272148233931675</v>
      </c>
      <c r="H29" s="14" t="n">
        <v>0.0805</v>
      </c>
      <c r="I29" s="15">
        <f>IFERROR(C29/D29,"")</f>
        <v/>
      </c>
      <c r="J29" s="8">
        <f>IFERROR(D29/C29,"")</f>
        <v/>
      </c>
      <c r="K29" s="8">
        <f>IFERROR(E29/C29,"")</f>
        <v/>
      </c>
      <c r="L29" s="8">
        <f>IFERROR(F29-G29,"")</f>
        <v/>
      </c>
      <c r="M29" s="8">
        <f>IFERROR(J29-F29,"")</f>
        <v/>
      </c>
      <c r="N29" s="8">
        <f>IFERROR(J29-L29,"")</f>
        <v/>
      </c>
      <c r="O29" s="8">
        <f>IFERROR(J29-H29,"")</f>
        <v/>
      </c>
      <c r="P29" s="8">
        <f>IFERROR(K29-F29,"")</f>
        <v/>
      </c>
      <c r="Q29" s="6" t="n">
        <v>0.3</v>
      </c>
      <c r="R29" s="6" t="n">
        <v>0.4636363636363636</v>
      </c>
      <c r="S29" s="6" t="n">
        <v>0.6090909090909091</v>
      </c>
      <c r="T29" s="6" t="n">
        <v>0.1909090909090909</v>
      </c>
      <c r="U29" s="6" t="n">
        <v>0.2321428571428572</v>
      </c>
      <c r="V29" s="6" t="n">
        <v>0.6488095238095238</v>
      </c>
      <c r="W29" s="6" t="n"/>
      <c r="X29" s="6" t="n">
        <v>0.4074314574314575</v>
      </c>
      <c r="Y29" s="3">
        <f>IF(X29="","",IF(X29&gt;='Léeme'!$B$6,"barato",IF(X29&lt;'Léeme'!$B$7,"caro","medio")))</f>
        <v/>
      </c>
      <c r="Z29" s="10" t="n">
        <v>0.2482884794700606</v>
      </c>
      <c r="AA29" s="10" t="n">
        <v>0.1692414294341726</v>
      </c>
    </row>
    <row r="30">
      <c r="A30" s="3" t="inlineStr">
        <is>
          <t>2001-T4</t>
        </is>
      </c>
      <c r="B30" s="12" t="n">
        <v>37256</v>
      </c>
      <c r="C30" s="13" t="n">
        <v>14.7</v>
      </c>
      <c r="D30" s="13" t="n">
        <v>1.2585</v>
      </c>
      <c r="E30" s="13" t="n">
        <v>1.14</v>
      </c>
      <c r="F30" s="14" t="n">
        <v>0.0507</v>
      </c>
      <c r="G30" s="14" t="n">
        <v>0.01894374282433997</v>
      </c>
      <c r="H30" s="14" t="n">
        <v>0.08019999999999999</v>
      </c>
      <c r="I30" s="15">
        <f>IFERROR(C30/D30,"")</f>
        <v/>
      </c>
      <c r="J30" s="8">
        <f>IFERROR(D30/C30,"")</f>
        <v/>
      </c>
      <c r="K30" s="8">
        <f>IFERROR(E30/C30,"")</f>
        <v/>
      </c>
      <c r="L30" s="8">
        <f>IFERROR(F30-G30,"")</f>
        <v/>
      </c>
      <c r="M30" s="8">
        <f>IFERROR(J30-F30,"")</f>
        <v/>
      </c>
      <c r="N30" s="8">
        <f>IFERROR(J30-L30,"")</f>
        <v/>
      </c>
      <c r="O30" s="8">
        <f>IFERROR(J30-H30,"")</f>
        <v/>
      </c>
      <c r="P30" s="8">
        <f>IFERROR(K30-F30,"")</f>
        <v/>
      </c>
      <c r="Q30" s="6" t="n">
        <v>0.2844827586206897</v>
      </c>
      <c r="R30" s="6" t="n">
        <v>0.3189655172413793</v>
      </c>
      <c r="S30" s="6" t="n">
        <v>0.3017241379310345</v>
      </c>
      <c r="T30" s="6" t="n">
        <v>0.146551724137931</v>
      </c>
      <c r="U30" s="6" t="n">
        <v>0.2126436781609195</v>
      </c>
      <c r="V30" s="6" t="n">
        <v>0.4540229885057471</v>
      </c>
      <c r="W30" s="6" t="n"/>
      <c r="X30" s="6" t="n">
        <v>0.2863984674329502</v>
      </c>
      <c r="Y30" s="3">
        <f>IF(X30="","",IF(X30&gt;='Léeme'!$B$6,"barato",IF(X30&lt;'Léeme'!$B$7,"caro","medio")))</f>
        <v/>
      </c>
      <c r="Z30" s="10" t="n">
        <v>0.257339021382788</v>
      </c>
      <c r="AA30" s="10" t="n">
        <v>0.1918130594962815</v>
      </c>
    </row>
    <row r="31">
      <c r="A31" s="3" t="inlineStr">
        <is>
          <t>2002-T1</t>
        </is>
      </c>
      <c r="B31" s="12" t="n">
        <v>37343</v>
      </c>
      <c r="C31" s="13" t="n">
        <v>16.600001</v>
      </c>
      <c r="D31" s="13" t="n">
        <v>1.2585</v>
      </c>
      <c r="E31" s="13" t="n">
        <v>1.146</v>
      </c>
      <c r="F31" s="14" t="n">
        <v>0.0542</v>
      </c>
      <c r="G31" s="14" t="n">
        <v>0.01136363636363646</v>
      </c>
      <c r="H31" s="14" t="n">
        <v>0.08160000000000001</v>
      </c>
      <c r="I31" s="15">
        <f>IFERROR(C31/D31,"")</f>
        <v/>
      </c>
      <c r="J31" s="8">
        <f>IFERROR(D31/C31,"")</f>
        <v/>
      </c>
      <c r="K31" s="8">
        <f>IFERROR(E31/C31,"")</f>
        <v/>
      </c>
      <c r="L31" s="8">
        <f>IFERROR(F31-G31,"")</f>
        <v/>
      </c>
      <c r="M31" s="8">
        <f>IFERROR(J31-F31,"")</f>
        <v/>
      </c>
      <c r="N31" s="8">
        <f>IFERROR(J31-L31,"")</f>
        <v/>
      </c>
      <c r="O31" s="8">
        <f>IFERROR(J31-H31,"")</f>
        <v/>
      </c>
      <c r="P31" s="8">
        <f>IFERROR(K31-F31,"")</f>
        <v/>
      </c>
      <c r="Q31" s="6" t="n">
        <v>0.02459016393442623</v>
      </c>
      <c r="R31" s="6" t="n">
        <v>0.1557377049180328</v>
      </c>
      <c r="S31" s="6" t="n">
        <v>0.00819672131147541</v>
      </c>
      <c r="T31" s="6" t="n">
        <v>0.00819672131147541</v>
      </c>
      <c r="U31" s="6" t="n">
        <v>0.01666666666666667</v>
      </c>
      <c r="V31" s="6" t="n">
        <v>0.1611111111111111</v>
      </c>
      <c r="W31" s="6" t="n"/>
      <c r="X31" s="6" t="n">
        <v>0.06241651487553127</v>
      </c>
      <c r="Y31" s="3">
        <f>IF(X31="","",IF(X31&gt;='Léeme'!$B$6,"barato",IF(X31&lt;'Léeme'!$B$7,"caro","medio")))</f>
        <v/>
      </c>
      <c r="Z31" s="10" t="n">
        <v>0.1366948047918743</v>
      </c>
      <c r="AA31" s="10" t="n">
        <v>0.1624632210818655</v>
      </c>
    </row>
    <row r="32">
      <c r="A32" s="3" t="inlineStr">
        <is>
          <t>2002-T2</t>
        </is>
      </c>
      <c r="B32" s="12" t="n">
        <v>37435</v>
      </c>
      <c r="C32" s="13" t="n">
        <v>18.459999</v>
      </c>
      <c r="D32" s="13" t="n">
        <v>1.3285</v>
      </c>
      <c r="E32" s="13" t="n">
        <v>1.158</v>
      </c>
      <c r="F32" s="14" t="n">
        <v>0.0486</v>
      </c>
      <c r="G32" s="14" t="n">
        <v>0.01240834743372798</v>
      </c>
      <c r="H32" s="14" t="n">
        <v>0.07980000000000001</v>
      </c>
      <c r="I32" s="15">
        <f>IFERROR(C32/D32,"")</f>
        <v/>
      </c>
      <c r="J32" s="8">
        <f>IFERROR(D32/C32,"")</f>
        <v/>
      </c>
      <c r="K32" s="8">
        <f>IFERROR(E32/C32,"")</f>
        <v/>
      </c>
      <c r="L32" s="8">
        <f>IFERROR(F32-G32,"")</f>
        <v/>
      </c>
      <c r="M32" s="8">
        <f>IFERROR(J32-F32,"")</f>
        <v/>
      </c>
      <c r="N32" s="8">
        <f>IFERROR(J32-L32,"")</f>
        <v/>
      </c>
      <c r="O32" s="8">
        <f>IFERROR(J32-H32,"")</f>
        <v/>
      </c>
      <c r="P32" s="8">
        <f>IFERROR(K32-F32,"")</f>
        <v/>
      </c>
      <c r="Q32" s="6" t="n">
        <v>0.0078125</v>
      </c>
      <c r="R32" s="6" t="n">
        <v>0.1796875</v>
      </c>
      <c r="S32" s="6" t="n">
        <v>0.0390625</v>
      </c>
      <c r="T32" s="6" t="n">
        <v>0.0078125</v>
      </c>
      <c r="U32" s="6" t="n">
        <v>0.005376344086021506</v>
      </c>
      <c r="V32" s="6" t="n">
        <v>0.1129032258064516</v>
      </c>
      <c r="W32" s="6" t="n"/>
      <c r="X32" s="6" t="n">
        <v>0.05877576164874552</v>
      </c>
      <c r="Y32" s="3">
        <f>IF(X32="","",IF(X32&gt;='Léeme'!$B$6,"barato",IF(X32&lt;'Léeme'!$B$7,"caro","medio")))</f>
        <v/>
      </c>
      <c r="Z32" s="10" t="n">
        <v>0.1066704574585489</v>
      </c>
      <c r="AA32" s="10" t="n">
        <v>0.1175011699151181</v>
      </c>
    </row>
    <row r="33">
      <c r="A33" s="3" t="inlineStr">
        <is>
          <t>2002-T3</t>
        </is>
      </c>
      <c r="B33" s="12" t="n">
        <v>37529</v>
      </c>
      <c r="C33" s="13" t="n">
        <v>17.075001</v>
      </c>
      <c r="D33" s="13" t="n">
        <v>1.3285</v>
      </c>
      <c r="E33" s="13" t="n">
        <v>1.158</v>
      </c>
      <c r="F33" s="14" t="n">
        <v>0.0363</v>
      </c>
      <c r="G33" s="14" t="n">
        <v>0.01747463359639223</v>
      </c>
      <c r="H33" s="14" t="n">
        <v>0.07400000000000001</v>
      </c>
      <c r="I33" s="15">
        <f>IFERROR(C33/D33,"")</f>
        <v/>
      </c>
      <c r="J33" s="8">
        <f>IFERROR(D33/C33,"")</f>
        <v/>
      </c>
      <c r="K33" s="8">
        <f>IFERROR(E33/C33,"")</f>
        <v/>
      </c>
      <c r="L33" s="8">
        <f>IFERROR(F33-G33,"")</f>
        <v/>
      </c>
      <c r="M33" s="8">
        <f>IFERROR(J33-F33,"")</f>
        <v/>
      </c>
      <c r="N33" s="8">
        <f>IFERROR(J33-L33,"")</f>
        <v/>
      </c>
      <c r="O33" s="8">
        <f>IFERROR(J33-H33,"")</f>
        <v/>
      </c>
      <c r="P33" s="8">
        <f>IFERROR(K33-F33,"")</f>
        <v/>
      </c>
      <c r="Q33" s="6" t="n">
        <v>0.08208955223880597</v>
      </c>
      <c r="R33" s="6" t="n">
        <v>0.5895522388059702</v>
      </c>
      <c r="S33" s="6" t="n">
        <v>0.4552238805970149</v>
      </c>
      <c r="T33" s="6" t="n">
        <v>0.2014925373134328</v>
      </c>
      <c r="U33" s="6" t="n">
        <v>0.02604166666666667</v>
      </c>
      <c r="V33" s="6" t="n">
        <v>0.671875</v>
      </c>
      <c r="W33" s="6" t="n"/>
      <c r="X33" s="6" t="n">
        <v>0.3377124792703151</v>
      </c>
      <c r="Y33" s="3">
        <f>IF(X33="","",IF(X33&gt;='Léeme'!$B$6,"barato",IF(X33&lt;'Léeme'!$B$7,"caro","medio")))</f>
        <v/>
      </c>
      <c r="Z33" s="10" t="n">
        <v>0.2219938765194516</v>
      </c>
      <c r="AA33" s="10" t="n">
        <v>0.1570950667149746</v>
      </c>
    </row>
    <row r="34">
      <c r="A34" s="3" t="inlineStr">
        <is>
          <t>2002-T4</t>
        </is>
      </c>
      <c r="B34" s="12" t="n">
        <v>37621</v>
      </c>
      <c r="C34" s="13" t="n">
        <v>17.499999</v>
      </c>
      <c r="D34" s="13" t="n">
        <v>1.3285</v>
      </c>
      <c r="E34" s="13" t="n">
        <v>1.17</v>
      </c>
      <c r="F34" s="14" t="n">
        <v>0.0383</v>
      </c>
      <c r="G34" s="14" t="n">
        <v>0.0225352112676056</v>
      </c>
      <c r="H34" s="14" t="n">
        <v>0.073</v>
      </c>
      <c r="I34" s="15">
        <f>IFERROR(C34/D34,"")</f>
        <v/>
      </c>
      <c r="J34" s="8">
        <f>IFERROR(D34/C34,"")</f>
        <v/>
      </c>
      <c r="K34" s="8">
        <f>IFERROR(E34/C34,"")</f>
        <v/>
      </c>
      <c r="L34" s="8">
        <f>IFERROR(F34-G34,"")</f>
        <v/>
      </c>
      <c r="M34" s="8">
        <f>IFERROR(J34-F34,"")</f>
        <v/>
      </c>
      <c r="N34" s="8">
        <f>IFERROR(J34-L34,"")</f>
        <v/>
      </c>
      <c r="O34" s="8">
        <f>IFERROR(J34-H34,"")</f>
        <v/>
      </c>
      <c r="P34" s="8">
        <f>IFERROR(K34-F34,"")</f>
        <v/>
      </c>
      <c r="Q34" s="6" t="n">
        <v>0.05</v>
      </c>
      <c r="R34" s="6" t="n">
        <v>0.4357142857142857</v>
      </c>
      <c r="S34" s="6" t="n">
        <v>0.4785714285714286</v>
      </c>
      <c r="T34" s="6" t="n">
        <v>0.1928571428571429</v>
      </c>
      <c r="U34" s="6" t="n">
        <v>0.03535353535353535</v>
      </c>
      <c r="V34" s="6" t="n">
        <v>0.5707070707070707</v>
      </c>
      <c r="W34" s="6" t="n"/>
      <c r="X34" s="6" t="n">
        <v>0.2938672438672439</v>
      </c>
      <c r="Y34" s="3">
        <f>IF(X34="","",IF(X34&gt;='Léeme'!$B$6,"barato",IF(X34&lt;'Léeme'!$B$7,"caro","medio")))</f>
        <v/>
      </c>
      <c r="Z34" s="10" t="n">
        <v>0.2009639872445388</v>
      </c>
      <c r="AA34" s="10" t="n">
        <v>0.1432298276727662</v>
      </c>
    </row>
    <row r="35">
      <c r="A35" s="3" t="inlineStr">
        <is>
          <t>2003-T1</t>
        </is>
      </c>
      <c r="B35" s="12" t="n">
        <v>37711</v>
      </c>
      <c r="C35" s="13" t="n">
        <v>17.874999</v>
      </c>
      <c r="D35" s="13" t="n">
        <v>1.38</v>
      </c>
      <c r="E35" s="13" t="n">
        <v>1.176</v>
      </c>
      <c r="F35" s="14" t="n">
        <v>0.0383</v>
      </c>
      <c r="G35" s="14" t="n">
        <v>0.03146067415730336</v>
      </c>
      <c r="H35" s="14" t="n">
        <v>0.0693</v>
      </c>
      <c r="I35" s="15">
        <f>IFERROR(C35/D35,"")</f>
        <v/>
      </c>
      <c r="J35" s="8">
        <f>IFERROR(D35/C35,"")</f>
        <v/>
      </c>
      <c r="K35" s="8">
        <f>IFERROR(E35/C35,"")</f>
        <v/>
      </c>
      <c r="L35" s="8">
        <f>IFERROR(F35-G35,"")</f>
        <v/>
      </c>
      <c r="M35" s="8">
        <f>IFERROR(J35-F35,"")</f>
        <v/>
      </c>
      <c r="N35" s="8">
        <f>IFERROR(J35-L35,"")</f>
        <v/>
      </c>
      <c r="O35" s="8">
        <f>IFERROR(J35-H35,"")</f>
        <v/>
      </c>
      <c r="P35" s="8">
        <f>IFERROR(K35-F35,"")</f>
        <v/>
      </c>
      <c r="Q35" s="6" t="n">
        <v>0.08904109589041095</v>
      </c>
      <c r="R35" s="6" t="n">
        <v>0.4452054794520548</v>
      </c>
      <c r="S35" s="6" t="n">
        <v>0.7054794520547946</v>
      </c>
      <c r="T35" s="6" t="n">
        <v>0.3904109589041096</v>
      </c>
      <c r="U35" s="6" t="n">
        <v>0.01470588235294118</v>
      </c>
      <c r="V35" s="6" t="n">
        <v>0.5245098039215687</v>
      </c>
      <c r="W35" s="6" t="n">
        <v>0.1216216216216216</v>
      </c>
      <c r="X35" s="6" t="n">
        <v>0.3272820420282145</v>
      </c>
      <c r="Y35" s="3">
        <f>IF(X35="","",IF(X35&gt;='Léeme'!$B$6,"barato",IF(X35&lt;'Léeme'!$B$7,"caro","medio")))</f>
        <v/>
      </c>
      <c r="Z35" s="10" t="n">
        <v>0.3094924332387547</v>
      </c>
      <c r="AA35" s="10" t="n">
        <v>0.1263842973957374</v>
      </c>
    </row>
    <row r="36">
      <c r="A36" s="3" t="inlineStr">
        <is>
          <t>2003-T2</t>
        </is>
      </c>
      <c r="B36" s="12" t="n">
        <v>37802</v>
      </c>
      <c r="C36" s="13" t="n">
        <v>19.039999</v>
      </c>
      <c r="D36" s="13" t="n">
        <v>1.38</v>
      </c>
      <c r="E36" s="13" t="n">
        <v>1.182</v>
      </c>
      <c r="F36" s="14" t="n">
        <v>0.0354</v>
      </c>
      <c r="G36" s="14" t="n">
        <v>0.01894150417827301</v>
      </c>
      <c r="H36" s="14" t="n">
        <v>0.0638</v>
      </c>
      <c r="I36" s="15">
        <f>IFERROR(C36/D36,"")</f>
        <v/>
      </c>
      <c r="J36" s="8">
        <f>IFERROR(D36/C36,"")</f>
        <v/>
      </c>
      <c r="K36" s="8">
        <f>IFERROR(E36/C36,"")</f>
        <v/>
      </c>
      <c r="L36" s="8">
        <f>IFERROR(F36-G36,"")</f>
        <v/>
      </c>
      <c r="M36" s="8">
        <f>IFERROR(J36-F36,"")</f>
        <v/>
      </c>
      <c r="N36" s="8">
        <f>IFERROR(J36-L36,"")</f>
        <v/>
      </c>
      <c r="O36" s="8">
        <f>IFERROR(J36-H36,"")</f>
        <v/>
      </c>
      <c r="P36" s="8">
        <f>IFERROR(K36-F36,"")</f>
        <v/>
      </c>
      <c r="Q36" s="6" t="n">
        <v>0.01973684210526316</v>
      </c>
      <c r="R36" s="6" t="n">
        <v>0.375</v>
      </c>
      <c r="S36" s="6" t="n">
        <v>0.3881578947368421</v>
      </c>
      <c r="T36" s="6" t="n">
        <v>0.4407894736842105</v>
      </c>
      <c r="U36" s="6" t="n">
        <v>0.004761904761904762</v>
      </c>
      <c r="V36" s="6" t="n">
        <v>0.4523809523809524</v>
      </c>
      <c r="W36" s="6" t="n">
        <v>0.0375</v>
      </c>
      <c r="X36" s="6" t="n">
        <v>0.2454752953813104</v>
      </c>
      <c r="Y36" s="3">
        <f>IF(X36="","",IF(X36&gt;='Léeme'!$B$6,"barato",IF(X36&lt;'Léeme'!$B$7,"caro","medio")))</f>
        <v/>
      </c>
      <c r="Z36" s="10" t="n">
        <v>0.1486254703404328</v>
      </c>
      <c r="AA36" s="10" t="n">
        <v>0.08643127227855585</v>
      </c>
    </row>
    <row r="37">
      <c r="A37" s="3" t="inlineStr">
        <is>
          <t>2003-T3</t>
        </is>
      </c>
      <c r="B37" s="12" t="n">
        <v>37894</v>
      </c>
      <c r="C37" s="13" t="n">
        <v>19.825001</v>
      </c>
      <c r="D37" s="13" t="n">
        <v>1.38</v>
      </c>
      <c r="E37" s="13" t="n">
        <v>1.188</v>
      </c>
      <c r="F37" s="14" t="n">
        <v>0.0396</v>
      </c>
      <c r="G37" s="14" t="n">
        <v>0.02216066481994461</v>
      </c>
      <c r="H37" s="14" t="n">
        <v>0.0665</v>
      </c>
      <c r="I37" s="15">
        <f>IFERROR(C37/D37,"")</f>
        <v/>
      </c>
      <c r="J37" s="8">
        <f>IFERROR(D37/C37,"")</f>
        <v/>
      </c>
      <c r="K37" s="8">
        <f>IFERROR(E37/C37,"")</f>
        <v/>
      </c>
      <c r="L37" s="8">
        <f>IFERROR(F37-G37,"")</f>
        <v/>
      </c>
      <c r="M37" s="8">
        <f>IFERROR(J37-F37,"")</f>
        <v/>
      </c>
      <c r="N37" s="8">
        <f>IFERROR(J37-L37,"")</f>
        <v/>
      </c>
      <c r="O37" s="8">
        <f>IFERROR(J37-H37,"")</f>
        <v/>
      </c>
      <c r="P37" s="8">
        <f>IFERROR(K37-F37,"")</f>
        <v/>
      </c>
      <c r="Q37" s="6" t="n">
        <v>0.01265822784810127</v>
      </c>
      <c r="R37" s="6" t="n">
        <v>0.2848101265822785</v>
      </c>
      <c r="S37" s="6" t="n">
        <v>0.3354430379746836</v>
      </c>
      <c r="T37" s="6" t="n">
        <v>0.2215189873417721</v>
      </c>
      <c r="U37" s="6" t="n">
        <v>0.02314814814814815</v>
      </c>
      <c r="V37" s="6" t="n">
        <v>0.2824074074074074</v>
      </c>
      <c r="W37" s="6" t="n">
        <v>0.03488372093023256</v>
      </c>
      <c r="X37" s="6" t="n">
        <v>0.1706956651760891</v>
      </c>
      <c r="Y37" s="3">
        <f>IF(X37="","",IF(X37&gt;='Léeme'!$B$6,"barato",IF(X37&lt;'Léeme'!$B$7,"caro","medio")))</f>
        <v/>
      </c>
      <c r="Z37" s="10" t="n">
        <v>0.190418653581597</v>
      </c>
      <c r="AA37" s="10" t="n">
        <v>0.1036200437829939</v>
      </c>
    </row>
    <row r="38">
      <c r="A38" s="3" t="inlineStr">
        <is>
          <t>2003-T4</t>
        </is>
      </c>
      <c r="B38" s="12" t="n">
        <v>37986</v>
      </c>
      <c r="C38" s="13" t="n">
        <v>20</v>
      </c>
      <c r="D38" s="13" t="n">
        <v>1.38</v>
      </c>
      <c r="E38" s="13" t="n">
        <v>1.2</v>
      </c>
      <c r="F38" s="14" t="n">
        <v>0.04269999999999999</v>
      </c>
      <c r="G38" s="14" t="n">
        <v>0.01928374655647391</v>
      </c>
      <c r="H38" s="14" t="n">
        <v>0.06619999999999999</v>
      </c>
      <c r="I38" s="15">
        <f>IFERROR(C38/D38,"")</f>
        <v/>
      </c>
      <c r="J38" s="8">
        <f>IFERROR(D38/C38,"")</f>
        <v/>
      </c>
      <c r="K38" s="8">
        <f>IFERROR(E38/C38,"")</f>
        <v/>
      </c>
      <c r="L38" s="8">
        <f>IFERROR(F38-G38,"")</f>
        <v/>
      </c>
      <c r="M38" s="8">
        <f>IFERROR(J38-F38,"")</f>
        <v/>
      </c>
      <c r="N38" s="8">
        <f>IFERROR(J38-L38,"")</f>
        <v/>
      </c>
      <c r="O38" s="8">
        <f>IFERROR(J38-H38,"")</f>
        <v/>
      </c>
      <c r="P38" s="8">
        <f>IFERROR(K38-F38,"")</f>
        <v/>
      </c>
      <c r="Q38" s="6" t="n">
        <v>0.01829268292682927</v>
      </c>
      <c r="R38" s="6" t="n">
        <v>0.225609756097561</v>
      </c>
      <c r="S38" s="6" t="n">
        <v>0.2621951219512195</v>
      </c>
      <c r="T38" s="6" t="n">
        <v>0.201219512195122</v>
      </c>
      <c r="U38" s="6" t="n">
        <v>0.04054054054054054</v>
      </c>
      <c r="V38" s="6" t="n">
        <v>0.2297297297297297</v>
      </c>
      <c r="W38" s="6" t="n">
        <v>0.09782608695652174</v>
      </c>
      <c r="X38" s="6" t="n">
        <v>0.1536304900567891</v>
      </c>
      <c r="Y38" s="3">
        <f>IF(X38="","",IF(X38&gt;='Léeme'!$B$6,"barato",IF(X38&lt;'Léeme'!$B$7,"caro","medio")))</f>
        <v/>
      </c>
      <c r="Z38" s="10" t="n">
        <v>0.3236333011754413</v>
      </c>
      <c r="AA38" s="10" t="n">
        <v>0.08051385084893181</v>
      </c>
    </row>
    <row r="39">
      <c r="A39" s="3" t="inlineStr">
        <is>
          <t>2004-T1</t>
        </is>
      </c>
      <c r="B39" s="12" t="n">
        <v>38077</v>
      </c>
      <c r="C39" s="13" t="n">
        <v>22.325</v>
      </c>
      <c r="D39" s="13" t="n">
        <v>1.46</v>
      </c>
      <c r="E39" s="13" t="n">
        <v>1.2</v>
      </c>
      <c r="F39" s="14" t="n">
        <v>0.0386</v>
      </c>
      <c r="G39" s="14" t="n">
        <v>0.01688453159041381</v>
      </c>
      <c r="H39" s="14" t="n">
        <v>0.0619</v>
      </c>
      <c r="I39" s="15">
        <f>IFERROR(C39/D39,"")</f>
        <v/>
      </c>
      <c r="J39" s="8">
        <f>IFERROR(D39/C39,"")</f>
        <v/>
      </c>
      <c r="K39" s="8">
        <f>IFERROR(E39/C39,"")</f>
        <v/>
      </c>
      <c r="L39" s="8">
        <f>IFERROR(F39-G39,"")</f>
        <v/>
      </c>
      <c r="M39" s="8">
        <f>IFERROR(J39-F39,"")</f>
        <v/>
      </c>
      <c r="N39" s="8">
        <f>IFERROR(J39-L39,"")</f>
        <v/>
      </c>
      <c r="O39" s="8">
        <f>IFERROR(J39-H39,"")</f>
        <v/>
      </c>
      <c r="P39" s="8">
        <f>IFERROR(K39-F39,"")</f>
        <v/>
      </c>
      <c r="Q39" s="6" t="n">
        <v>0.005882352941176471</v>
      </c>
      <c r="R39" s="6" t="n">
        <v>0.2647058823529412</v>
      </c>
      <c r="S39" s="6" t="n">
        <v>0.2058823529411765</v>
      </c>
      <c r="T39" s="6" t="n">
        <v>0.2647058823529412</v>
      </c>
      <c r="U39" s="6" t="n">
        <v>0.004385964912280702</v>
      </c>
      <c r="V39" s="6" t="n">
        <v>0.162280701754386</v>
      </c>
      <c r="W39" s="6" t="n">
        <v>0.01020408163265306</v>
      </c>
      <c r="X39" s="6" t="n">
        <v>0.1311496026982222</v>
      </c>
      <c r="Y39" s="3">
        <f>IF(X39="","",IF(X39&gt;='Léeme'!$B$6,"barato",IF(X39&lt;'Léeme'!$B$7,"caro","medio")))</f>
        <v/>
      </c>
      <c r="Z39" s="10" t="n">
        <v>0.07290712009273981</v>
      </c>
      <c r="AA39" s="10" t="n">
        <v>0.0156639314466902</v>
      </c>
    </row>
    <row r="40">
      <c r="A40" s="3" t="inlineStr">
        <is>
          <t>2004-T2</t>
        </is>
      </c>
      <c r="B40" s="12" t="n">
        <v>38168</v>
      </c>
      <c r="C40" s="13" t="n">
        <v>20.865</v>
      </c>
      <c r="D40" s="13" t="n">
        <v>1.46</v>
      </c>
      <c r="E40" s="13" t="n">
        <v>1.218</v>
      </c>
      <c r="F40" s="14" t="n">
        <v>0.0462</v>
      </c>
      <c r="G40" s="14" t="n">
        <v>0.02897758337889544</v>
      </c>
      <c r="H40" s="14" t="n">
        <v>0.06759999999999999</v>
      </c>
      <c r="I40" s="15">
        <f>IFERROR(C40/D40,"")</f>
        <v/>
      </c>
      <c r="J40" s="8">
        <f>IFERROR(D40/C40,"")</f>
        <v/>
      </c>
      <c r="K40" s="8">
        <f>IFERROR(E40/C40,"")</f>
        <v/>
      </c>
      <c r="L40" s="8">
        <f>IFERROR(F40-G40,"")</f>
        <v/>
      </c>
      <c r="M40" s="8">
        <f>IFERROR(J40-F40,"")</f>
        <v/>
      </c>
      <c r="N40" s="8">
        <f>IFERROR(J40-L40,"")</f>
        <v/>
      </c>
      <c r="O40" s="8">
        <f>IFERROR(J40-H40,"")</f>
        <v/>
      </c>
      <c r="P40" s="8">
        <f>IFERROR(K40-F40,"")</f>
        <v/>
      </c>
      <c r="Q40" s="6" t="n">
        <v>0.09659090909090909</v>
      </c>
      <c r="R40" s="6" t="n">
        <v>0.1420454545454546</v>
      </c>
      <c r="S40" s="6" t="n">
        <v>0.4034090909090909</v>
      </c>
      <c r="T40" s="6" t="n">
        <v>0.1761363636363636</v>
      </c>
      <c r="U40" s="6" t="n">
        <v>0.02991452991452992</v>
      </c>
      <c r="V40" s="6" t="n">
        <v>0.0641025641025641</v>
      </c>
      <c r="W40" s="6" t="n">
        <v>0.2596153846153846</v>
      </c>
      <c r="X40" s="6" t="n">
        <v>0.1674020424020424</v>
      </c>
      <c r="Y40" s="3">
        <f>IF(X40="","",IF(X40&gt;='Léeme'!$B$6,"barato",IF(X40&lt;'Léeme'!$B$7,"caro","medio")))</f>
        <v/>
      </c>
      <c r="Z40" s="10" t="n">
        <v>0.2546879316361452</v>
      </c>
      <c r="AA40" s="10" t="n">
        <v>0.06210658670719238</v>
      </c>
    </row>
    <row r="41">
      <c r="A41" s="3" t="inlineStr">
        <is>
          <t>2004-T3</t>
        </is>
      </c>
      <c r="B41" s="12" t="n">
        <v>38260</v>
      </c>
      <c r="C41" s="13" t="n">
        <v>22.515</v>
      </c>
      <c r="D41" s="13" t="n">
        <v>1.46</v>
      </c>
      <c r="E41" s="13" t="n">
        <v>1.308</v>
      </c>
      <c r="F41" s="14" t="n">
        <v>0.0414</v>
      </c>
      <c r="G41" s="14" t="n">
        <v>0.02547425474254728</v>
      </c>
      <c r="H41" s="14" t="n">
        <v>0.0622</v>
      </c>
      <c r="I41" s="15">
        <f>IFERROR(C41/D41,"")</f>
        <v/>
      </c>
      <c r="J41" s="8">
        <f>IFERROR(D41/C41,"")</f>
        <v/>
      </c>
      <c r="K41" s="8">
        <f>IFERROR(E41/C41,"")</f>
        <v/>
      </c>
      <c r="L41" s="8">
        <f>IFERROR(F41-G41,"")</f>
        <v/>
      </c>
      <c r="M41" s="8">
        <f>IFERROR(J41-F41,"")</f>
        <v/>
      </c>
      <c r="N41" s="8">
        <f>IFERROR(J41-L41,"")</f>
        <v/>
      </c>
      <c r="O41" s="8">
        <f>IFERROR(J41-H41,"")</f>
        <v/>
      </c>
      <c r="P41" s="8">
        <f>IFERROR(K41-F41,"")</f>
        <v/>
      </c>
      <c r="Q41" s="6" t="n">
        <v>0.005494505494505495</v>
      </c>
      <c r="R41" s="6" t="n">
        <v>0.1373626373626374</v>
      </c>
      <c r="S41" s="6" t="n">
        <v>0.3351648351648351</v>
      </c>
      <c r="T41" s="6" t="n">
        <v>0.1923076923076923</v>
      </c>
      <c r="U41" s="6" t="n">
        <v>0.02083333333333333</v>
      </c>
      <c r="V41" s="6" t="n">
        <v>0.2291666666666667</v>
      </c>
      <c r="W41" s="6" t="n">
        <v>0.2090909090909091</v>
      </c>
      <c r="X41" s="6" t="n">
        <v>0.1613457970600828</v>
      </c>
      <c r="Y41" s="3">
        <f>IF(X41="","",IF(X41&gt;='Léeme'!$B$6,"barato",IF(X41&lt;'Léeme'!$B$7,"caro","medio")))</f>
        <v/>
      </c>
      <c r="Z41" s="10" t="n">
        <v>0.1096874324017603</v>
      </c>
      <c r="AA41" s="10" t="n">
        <v>0.07982732779316049</v>
      </c>
    </row>
    <row r="42">
      <c r="A42" s="3" t="inlineStr">
        <is>
          <t>2004-T4</t>
        </is>
      </c>
      <c r="B42" s="12" t="n">
        <v>38352</v>
      </c>
      <c r="C42" s="13" t="n">
        <v>25.29</v>
      </c>
      <c r="D42" s="13" t="n">
        <v>1.46</v>
      </c>
      <c r="E42" s="13" t="n">
        <v>1.32</v>
      </c>
      <c r="F42" s="14" t="n">
        <v>0.0424</v>
      </c>
      <c r="G42" s="14" t="n">
        <v>0.03621621621621607</v>
      </c>
      <c r="H42" s="14" t="n">
        <v>0.0616</v>
      </c>
      <c r="I42" s="15">
        <f>IFERROR(C42/D42,"")</f>
        <v/>
      </c>
      <c r="J42" s="8">
        <f>IFERROR(D42/C42,"")</f>
        <v/>
      </c>
      <c r="K42" s="8">
        <f>IFERROR(E42/C42,"")</f>
        <v/>
      </c>
      <c r="L42" s="8">
        <f>IFERROR(F42-G42,"")</f>
        <v/>
      </c>
      <c r="M42" s="8">
        <f>IFERROR(J42-F42,"")</f>
        <v/>
      </c>
      <c r="N42" s="8">
        <f>IFERROR(J42-L42,"")</f>
        <v/>
      </c>
      <c r="O42" s="8">
        <f>IFERROR(J42-H42,"")</f>
        <v/>
      </c>
      <c r="P42" s="8">
        <f>IFERROR(K42-F42,"")</f>
        <v/>
      </c>
      <c r="Q42" s="6" t="n">
        <v>0.005319148936170213</v>
      </c>
      <c r="R42" s="6" t="n">
        <v>0.04787234042553191</v>
      </c>
      <c r="S42" s="6" t="n">
        <v>0.3882978723404255</v>
      </c>
      <c r="T42" s="6" t="n">
        <v>0.03723404255319149</v>
      </c>
      <c r="U42" s="6" t="n">
        <v>0.004065040650406504</v>
      </c>
      <c r="V42" s="6" t="n">
        <v>0.06097560975609756</v>
      </c>
      <c r="W42" s="6" t="n">
        <v>0.008620689655172414</v>
      </c>
      <c r="X42" s="6" t="n">
        <v>0.07891210633099936</v>
      </c>
      <c r="Y42" s="3">
        <f>IF(X42="","",IF(X42&gt;='Léeme'!$B$6,"barato",IF(X42&lt;'Léeme'!$B$7,"caro","medio")))</f>
        <v/>
      </c>
      <c r="Z42" s="10" t="n">
        <v>-0.1048547796712219</v>
      </c>
      <c r="AA42" s="10" t="n">
        <v>0.05783503431026049</v>
      </c>
    </row>
    <row r="43">
      <c r="A43" s="3" t="inlineStr">
        <is>
          <t>2005-T1</t>
        </is>
      </c>
      <c r="B43" s="12" t="n">
        <v>38442</v>
      </c>
      <c r="C43" s="13" t="n">
        <v>22.880001</v>
      </c>
      <c r="D43" s="13" t="n">
        <v>1.5</v>
      </c>
      <c r="E43" s="13" t="n">
        <v>1.332</v>
      </c>
      <c r="F43" s="14" t="n">
        <v>0.045</v>
      </c>
      <c r="G43" s="14" t="n">
        <v>0.03053026245313339</v>
      </c>
      <c r="H43" s="14" t="n">
        <v>0.0617</v>
      </c>
      <c r="I43" s="15">
        <f>IFERROR(C43/D43,"")</f>
        <v/>
      </c>
      <c r="J43" s="8">
        <f>IFERROR(D43/C43,"")</f>
        <v/>
      </c>
      <c r="K43" s="8">
        <f>IFERROR(E43/C43,"")</f>
        <v/>
      </c>
      <c r="L43" s="8">
        <f>IFERROR(F43-G43,"")</f>
        <v/>
      </c>
      <c r="M43" s="8">
        <f>IFERROR(J43-F43,"")</f>
        <v/>
      </c>
      <c r="N43" s="8">
        <f>IFERROR(J43-L43,"")</f>
        <v/>
      </c>
      <c r="O43" s="8">
        <f>IFERROR(J43-H43,"")</f>
        <v/>
      </c>
      <c r="P43" s="8">
        <f>IFERROR(K43-F43,"")</f>
        <v/>
      </c>
      <c r="Q43" s="6" t="n">
        <v>0.07731958762886598</v>
      </c>
      <c r="R43" s="6" t="n">
        <v>0.1082474226804124</v>
      </c>
      <c r="S43" s="6" t="n">
        <v>0.3762886597938144</v>
      </c>
      <c r="T43" s="6" t="n">
        <v>0.3350515463917526</v>
      </c>
      <c r="U43" s="6" t="n">
        <v>0.07539682539682539</v>
      </c>
      <c r="V43" s="6" t="n">
        <v>0.09126984126984126</v>
      </c>
      <c r="W43" s="6" t="n">
        <v>0.4016393442622951</v>
      </c>
      <c r="X43" s="6" t="n">
        <v>0.2093161753462581</v>
      </c>
      <c r="Y43" s="3">
        <f>IF(X43="","",IF(X43&gt;='Léeme'!$B$6,"barato",IF(X43&lt;'Léeme'!$B$7,"caro","medio")))</f>
        <v/>
      </c>
      <c r="Z43" s="10" t="n">
        <v>0.1085996552811181</v>
      </c>
      <c r="AA43" s="10" t="n">
        <v>0.1165291930619941</v>
      </c>
    </row>
    <row r="44">
      <c r="A44" s="3" t="inlineStr">
        <is>
          <t>2005-T2</t>
        </is>
      </c>
      <c r="B44" s="12" t="n">
        <v>38533</v>
      </c>
      <c r="C44" s="13" t="n">
        <v>25.039999</v>
      </c>
      <c r="D44" s="13" t="n">
        <v>1.5</v>
      </c>
      <c r="E44" s="13" t="n">
        <v>1.332</v>
      </c>
      <c r="F44" s="14" t="n">
        <v>0.0394</v>
      </c>
      <c r="G44" s="14" t="n">
        <v>0.02869287991498415</v>
      </c>
      <c r="H44" s="14" t="n">
        <v>0.05860000000000001</v>
      </c>
      <c r="I44" s="15">
        <f>IFERROR(C44/D44,"")</f>
        <v/>
      </c>
      <c r="J44" s="8">
        <f>IFERROR(D44/C44,"")</f>
        <v/>
      </c>
      <c r="K44" s="8">
        <f>IFERROR(E44/C44,"")</f>
        <v/>
      </c>
      <c r="L44" s="8">
        <f>IFERROR(F44-G44,"")</f>
        <v/>
      </c>
      <c r="M44" s="8">
        <f>IFERROR(J44-F44,"")</f>
        <v/>
      </c>
      <c r="N44" s="8">
        <f>IFERROR(J44-L44,"")</f>
        <v/>
      </c>
      <c r="O44" s="8">
        <f>IFERROR(J44-H44,"")</f>
        <v/>
      </c>
      <c r="P44" s="8">
        <f>IFERROR(K44-F44,"")</f>
        <v/>
      </c>
      <c r="Q44" s="6" t="n">
        <v>0.025</v>
      </c>
      <c r="R44" s="6" t="n">
        <v>0.115</v>
      </c>
      <c r="S44" s="6" t="n">
        <v>0.345</v>
      </c>
      <c r="T44" s="6" t="n">
        <v>0.175</v>
      </c>
      <c r="U44" s="6" t="n">
        <v>0.01937984496124031</v>
      </c>
      <c r="V44" s="6" t="n">
        <v>0.1356589147286822</v>
      </c>
      <c r="W44" s="6" t="n">
        <v>0.1328125</v>
      </c>
      <c r="X44" s="6" t="n">
        <v>0.1354073228128461</v>
      </c>
      <c r="Y44" s="3">
        <f>IF(X44="","",IF(X44&gt;='Léeme'!$B$6,"barato",IF(X44&lt;'Léeme'!$B$7,"caro","medio")))</f>
        <v/>
      </c>
      <c r="Z44" s="10" t="n">
        <v>-0.08199073208472329</v>
      </c>
      <c r="AA44" s="10" t="n">
        <v>0.0939531698639775</v>
      </c>
    </row>
    <row r="45">
      <c r="A45" s="3" t="inlineStr">
        <is>
          <t>2005-T3</t>
        </is>
      </c>
      <c r="B45" s="12" t="n">
        <v>38625</v>
      </c>
      <c r="C45" s="13" t="n">
        <v>23.910001</v>
      </c>
      <c r="D45" s="13" t="n">
        <v>1.5</v>
      </c>
      <c r="E45" s="13" t="n">
        <v>1.392</v>
      </c>
      <c r="F45" s="14" t="n">
        <v>0.0434</v>
      </c>
      <c r="G45" s="14" t="n">
        <v>0.03646934460887952</v>
      </c>
      <c r="H45" s="14" t="n">
        <v>0.0612</v>
      </c>
      <c r="I45" s="15">
        <f>IFERROR(C45/D45,"")</f>
        <v/>
      </c>
      <c r="J45" s="8">
        <f>IFERROR(D45/C45,"")</f>
        <v/>
      </c>
      <c r="K45" s="8">
        <f>IFERROR(E45/C45,"")</f>
        <v/>
      </c>
      <c r="L45" s="8">
        <f>IFERROR(F45-G45,"")</f>
        <v/>
      </c>
      <c r="M45" s="8">
        <f>IFERROR(J45-F45,"")</f>
        <v/>
      </c>
      <c r="N45" s="8">
        <f>IFERROR(J45-L45,"")</f>
        <v/>
      </c>
      <c r="O45" s="8">
        <f>IFERROR(J45-H45,"")</f>
        <v/>
      </c>
      <c r="P45" s="8">
        <f>IFERROR(K45-F45,"")</f>
        <v/>
      </c>
      <c r="Q45" s="6" t="n">
        <v>0.0825242718446602</v>
      </c>
      <c r="R45" s="6" t="n">
        <v>0.0825242718446602</v>
      </c>
      <c r="S45" s="6" t="n">
        <v>0.529126213592233</v>
      </c>
      <c r="T45" s="6" t="n">
        <v>0.1990291262135922</v>
      </c>
      <c r="U45" s="6" t="n">
        <v>0.1174242424242424</v>
      </c>
      <c r="V45" s="6" t="n">
        <v>0.2083333333333333</v>
      </c>
      <c r="W45" s="6" t="n">
        <v>0.3805970149253731</v>
      </c>
      <c r="X45" s="6" t="n">
        <v>0.2285083534540135</v>
      </c>
      <c r="Y45" s="3">
        <f>IF(X45="","",IF(X45&gt;='Léeme'!$B$6,"barato",IF(X45&lt;'Léeme'!$B$7,"caro","medio")))</f>
        <v/>
      </c>
      <c r="Z45" s="10" t="n">
        <v>0.08566603051002852</v>
      </c>
      <c r="AA45" s="10" t="n">
        <v>0.1275780177239458</v>
      </c>
    </row>
    <row r="46">
      <c r="A46" s="3" t="inlineStr">
        <is>
          <t>2005-T4</t>
        </is>
      </c>
      <c r="B46" s="12" t="n">
        <v>38716</v>
      </c>
      <c r="C46" s="13" t="n">
        <v>21.619999</v>
      </c>
      <c r="D46" s="13" t="n">
        <v>1.5</v>
      </c>
      <c r="E46" s="13" t="n">
        <v>1.392</v>
      </c>
      <c r="F46" s="14" t="n">
        <v>0.04389999999999999</v>
      </c>
      <c r="G46" s="14" t="n">
        <v>0.03338549817423053</v>
      </c>
      <c r="H46" s="14" t="n">
        <v>0.0619</v>
      </c>
      <c r="I46" s="15">
        <f>IFERROR(C46/D46,"")</f>
        <v/>
      </c>
      <c r="J46" s="8">
        <f>IFERROR(D46/C46,"")</f>
        <v/>
      </c>
      <c r="K46" s="8">
        <f>IFERROR(E46/C46,"")</f>
        <v/>
      </c>
      <c r="L46" s="8">
        <f>IFERROR(F46-G46,"")</f>
        <v/>
      </c>
      <c r="M46" s="8">
        <f>IFERROR(J46-F46,"")</f>
        <v/>
      </c>
      <c r="N46" s="8">
        <f>IFERROR(J46-L46,"")</f>
        <v/>
      </c>
      <c r="O46" s="8">
        <f>IFERROR(J46-H46,"")</f>
        <v/>
      </c>
      <c r="P46" s="8">
        <f>IFERROR(K46-F46,"")</f>
        <v/>
      </c>
      <c r="Q46" s="6" t="n">
        <v>0.2028301886792453</v>
      </c>
      <c r="R46" s="6" t="n">
        <v>0.3443396226415094</v>
      </c>
      <c r="S46" s="6" t="n">
        <v>0.5707547169811321</v>
      </c>
      <c r="T46" s="6" t="n">
        <v>0.5330188679245284</v>
      </c>
      <c r="U46" s="6" t="n">
        <v>0.2481481481481481</v>
      </c>
      <c r="V46" s="6" t="n">
        <v>0.4259259259259259</v>
      </c>
      <c r="W46" s="6" t="n">
        <v>0.7928571428571428</v>
      </c>
      <c r="X46" s="6" t="n">
        <v>0.4454106590225188</v>
      </c>
      <c r="Y46" s="3">
        <f>IF(X46="","",IF(X46&gt;='Léeme'!$B$6,"barato",IF(X46&lt;'Léeme'!$B$7,"caro","medio")))</f>
        <v/>
      </c>
      <c r="Z46" s="10" t="n">
        <v>0.3439934096268851</v>
      </c>
      <c r="AA46" s="10" t="n">
        <v>0.1545927633012969</v>
      </c>
    </row>
    <row r="47">
      <c r="A47" s="3" t="inlineStr">
        <is>
          <t>2006-T1</t>
        </is>
      </c>
      <c r="B47" s="12" t="n">
        <v>38807</v>
      </c>
      <c r="C47" s="13" t="n">
        <v>24.210001</v>
      </c>
      <c r="D47" s="13" t="n">
        <v>1.62</v>
      </c>
      <c r="E47" s="13" t="n">
        <v>1.404</v>
      </c>
      <c r="F47" s="14" t="n">
        <v>0.0486</v>
      </c>
      <c r="G47" s="14" t="n">
        <v>0.0363825363825363</v>
      </c>
      <c r="H47" s="14" t="n">
        <v>0.06559999999999999</v>
      </c>
      <c r="I47" s="15">
        <f>IFERROR(C47/D47,"")</f>
        <v/>
      </c>
      <c r="J47" s="8">
        <f>IFERROR(D47/C47,"")</f>
        <v/>
      </c>
      <c r="K47" s="8">
        <f>IFERROR(E47/C47,"")</f>
        <v/>
      </c>
      <c r="L47" s="8">
        <f>IFERROR(F47-G47,"")</f>
        <v/>
      </c>
      <c r="M47" s="8">
        <f>IFERROR(J47-F47,"")</f>
        <v/>
      </c>
      <c r="N47" s="8">
        <f>IFERROR(J47-L47,"")</f>
        <v/>
      </c>
      <c r="O47" s="8">
        <f>IFERROR(J47-H47,"")</f>
        <v/>
      </c>
      <c r="P47" s="8">
        <f>IFERROR(K47-F47,"")</f>
        <v/>
      </c>
      <c r="Q47" s="6" t="n">
        <v>0.1697247706422018</v>
      </c>
      <c r="R47" s="6" t="n">
        <v>0.07798165137614679</v>
      </c>
      <c r="S47" s="6" t="n">
        <v>0.4908256880733945</v>
      </c>
      <c r="T47" s="6" t="n">
        <v>0.1880733944954129</v>
      </c>
      <c r="U47" s="6" t="n">
        <v>0.09057971014492754</v>
      </c>
      <c r="V47" s="6" t="n">
        <v>0.04710144927536232</v>
      </c>
      <c r="W47" s="6" t="n">
        <v>0.7054794520547946</v>
      </c>
      <c r="X47" s="6" t="n">
        <v>0.2528237308660343</v>
      </c>
      <c r="Y47" s="3">
        <f>IF(X47="","",IF(X47&gt;='Léeme'!$B$6,"barato",IF(X47&lt;'Léeme'!$B$7,"caro","medio")))</f>
        <v/>
      </c>
      <c r="Z47" s="10" t="n">
        <v>0.22053883311744</v>
      </c>
      <c r="AA47" s="10" t="n">
        <v>0.1318259522473779</v>
      </c>
    </row>
    <row r="48">
      <c r="A48" s="3" t="inlineStr">
        <is>
          <t>2006-T2</t>
        </is>
      </c>
      <c r="B48" s="12" t="n">
        <v>38898</v>
      </c>
      <c r="C48" s="13" t="n">
        <v>21.9</v>
      </c>
      <c r="D48" s="13" t="n">
        <v>1.62</v>
      </c>
      <c r="E48" s="13" t="n">
        <v>1.416</v>
      </c>
      <c r="F48" s="14" t="n">
        <v>0.0515</v>
      </c>
      <c r="G48" s="14" t="n">
        <v>0.03977272727272729</v>
      </c>
      <c r="H48" s="14" t="n">
        <v>0.06909999999999999</v>
      </c>
      <c r="I48" s="15">
        <f>IFERROR(C48/D48,"")</f>
        <v/>
      </c>
      <c r="J48" s="8">
        <f>IFERROR(D48/C48,"")</f>
        <v/>
      </c>
      <c r="K48" s="8">
        <f>IFERROR(E48/C48,"")</f>
        <v/>
      </c>
      <c r="L48" s="8">
        <f>IFERROR(F48-G48,"")</f>
        <v/>
      </c>
      <c r="M48" s="8">
        <f>IFERROR(J48-F48,"")</f>
        <v/>
      </c>
      <c r="N48" s="8">
        <f>IFERROR(J48-L48,"")</f>
        <v/>
      </c>
      <c r="O48" s="8">
        <f>IFERROR(J48-H48,"")</f>
        <v/>
      </c>
      <c r="P48" s="8">
        <f>IFERROR(K48-F48,"")</f>
        <v/>
      </c>
      <c r="Q48" s="6" t="n">
        <v>0.3348214285714285</v>
      </c>
      <c r="R48" s="6" t="n">
        <v>0.2366071428571428</v>
      </c>
      <c r="S48" s="6" t="n">
        <v>0.65625</v>
      </c>
      <c r="T48" s="6" t="n">
        <v>0.40625</v>
      </c>
      <c r="U48" s="6" t="n">
        <v>0.2801418439716312</v>
      </c>
      <c r="V48" s="6" t="n">
        <v>0.1170212765957447</v>
      </c>
      <c r="W48" s="6" t="n">
        <v>0.8486842105263158</v>
      </c>
      <c r="X48" s="6" t="n">
        <v>0.4113965575031804</v>
      </c>
      <c r="Y48" s="3">
        <f>IF(X48="","",IF(X48&gt;='Léeme'!$B$6,"barato",IF(X48&lt;'Léeme'!$B$7,"caro","medio")))</f>
        <v/>
      </c>
      <c r="Z48" s="10" t="n">
        <v>0.2036089040798856</v>
      </c>
      <c r="AA48" s="10" t="n">
        <v>0.1443342478440495</v>
      </c>
    </row>
    <row r="49">
      <c r="A49" s="3" t="inlineStr">
        <is>
          <t>2006-T3</t>
        </is>
      </c>
      <c r="B49" s="12" t="n">
        <v>38989</v>
      </c>
      <c r="C49" s="13" t="n">
        <v>24.71</v>
      </c>
      <c r="D49" s="13" t="n">
        <v>1.62</v>
      </c>
      <c r="E49" s="13" t="n">
        <v>1.512</v>
      </c>
      <c r="F49" s="14" t="n">
        <v>0.0464</v>
      </c>
      <c r="G49" s="14" t="n">
        <v>0.03926568077511483</v>
      </c>
      <c r="H49" s="14" t="n">
        <v>0.0636</v>
      </c>
      <c r="I49" s="15">
        <f>IFERROR(C49/D49,"")</f>
        <v/>
      </c>
      <c r="J49" s="8">
        <f>IFERROR(D49/C49,"")</f>
        <v/>
      </c>
      <c r="K49" s="8">
        <f>IFERROR(E49/C49,"")</f>
        <v/>
      </c>
      <c r="L49" s="8">
        <f>IFERROR(F49-G49,"")</f>
        <v/>
      </c>
      <c r="M49" s="8">
        <f>IFERROR(J49-F49,"")</f>
        <v/>
      </c>
      <c r="N49" s="8">
        <f>IFERROR(J49-L49,"")</f>
        <v/>
      </c>
      <c r="O49" s="8">
        <f>IFERROR(J49-H49,"")</f>
        <v/>
      </c>
      <c r="P49" s="8">
        <f>IFERROR(K49-F49,"")</f>
        <v/>
      </c>
      <c r="Q49" s="6" t="n">
        <v>0.1347826086956522</v>
      </c>
      <c r="R49" s="6" t="n">
        <v>0.1</v>
      </c>
      <c r="S49" s="6" t="n">
        <v>0.5347826086956522</v>
      </c>
      <c r="T49" s="6" t="n">
        <v>0.2130434782608696</v>
      </c>
      <c r="U49" s="6" t="n">
        <v>0.2118055555555556</v>
      </c>
      <c r="V49" s="6" t="n">
        <v>0.2326388888888889</v>
      </c>
      <c r="W49" s="6" t="n">
        <v>0.7151898734177216</v>
      </c>
      <c r="X49" s="6" t="n">
        <v>0.3060347162163342</v>
      </c>
      <c r="Y49" s="3">
        <f>IF(X49="","",IF(X49&gt;='Léeme'!$B$6,"barato",IF(X49&lt;'Léeme'!$B$7,"caro","medio")))</f>
        <v/>
      </c>
      <c r="Z49" s="10" t="n">
        <v>0.1835307328576234</v>
      </c>
      <c r="AA49" s="10" t="n">
        <v>0.1172388466117886</v>
      </c>
    </row>
    <row r="50">
      <c r="A50" s="3" t="inlineStr">
        <is>
          <t>2006-T4</t>
        </is>
      </c>
      <c r="B50" s="12" t="n">
        <v>39080</v>
      </c>
      <c r="C50" s="13" t="n">
        <v>27.7</v>
      </c>
      <c r="D50" s="13" t="n">
        <v>1.62</v>
      </c>
      <c r="E50" s="13" t="n">
        <v>1.512</v>
      </c>
      <c r="F50" s="14" t="n">
        <v>0.0471</v>
      </c>
      <c r="G50" s="14" t="n">
        <v>0.01968702675416467</v>
      </c>
      <c r="H50" s="14" t="n">
        <v>0.0635</v>
      </c>
      <c r="I50" s="15">
        <f>IFERROR(C50/D50,"")</f>
        <v/>
      </c>
      <c r="J50" s="8">
        <f>IFERROR(D50/C50,"")</f>
        <v/>
      </c>
      <c r="K50" s="8">
        <f>IFERROR(E50/C50,"")</f>
        <v/>
      </c>
      <c r="L50" s="8">
        <f>IFERROR(F50-G50,"")</f>
        <v/>
      </c>
      <c r="M50" s="8">
        <f>IFERROR(J50-F50,"")</f>
        <v/>
      </c>
      <c r="N50" s="8">
        <f>IFERROR(J50-L50,"")</f>
        <v/>
      </c>
      <c r="O50" s="8">
        <f>IFERROR(J50-H50,"")</f>
        <v/>
      </c>
      <c r="P50" s="8">
        <f>IFERROR(K50-F50,"")</f>
        <v/>
      </c>
      <c r="Q50" s="6" t="n">
        <v>0.01271186440677966</v>
      </c>
      <c r="R50" s="6" t="n">
        <v>0.00423728813559322</v>
      </c>
      <c r="S50" s="6" t="n">
        <v>0.01271186440677966</v>
      </c>
      <c r="T50" s="6" t="n">
        <v>0.0211864406779661</v>
      </c>
      <c r="U50" s="6" t="n">
        <v>0.05102040816326531</v>
      </c>
      <c r="V50" s="6" t="n">
        <v>0.02380952380952381</v>
      </c>
      <c r="W50" s="6" t="n">
        <v>0.3719512195121951</v>
      </c>
      <c r="X50" s="6" t="n">
        <v>0.07108980130172898</v>
      </c>
      <c r="Y50" s="3">
        <f>IF(X50="","",IF(X50&gt;='Léeme'!$B$6,"barato",IF(X50&lt;'Léeme'!$B$7,"caro","medio")))</f>
        <v/>
      </c>
      <c r="Z50" s="10" t="n">
        <v>0.0131899707349834</v>
      </c>
      <c r="AA50" s="10" t="n">
        <v>0.1024585013679744</v>
      </c>
    </row>
    <row r="51">
      <c r="A51" s="3" t="inlineStr">
        <is>
          <t>2007-T1</t>
        </is>
      </c>
      <c r="B51" s="12" t="n">
        <v>39171</v>
      </c>
      <c r="C51" s="13" t="n">
        <v>28.199999</v>
      </c>
      <c r="D51" s="13" t="n">
        <v>1.73</v>
      </c>
      <c r="E51" s="13" t="n">
        <v>1.524</v>
      </c>
      <c r="F51" s="14" t="n">
        <v>0.04650000000000001</v>
      </c>
      <c r="G51" s="14" t="n">
        <v>0.02420260782347028</v>
      </c>
      <c r="H51" s="14" t="n">
        <v>0.0638</v>
      </c>
      <c r="I51" s="15">
        <f>IFERROR(C51/D51,"")</f>
        <v/>
      </c>
      <c r="J51" s="8">
        <f>IFERROR(D51/C51,"")</f>
        <v/>
      </c>
      <c r="K51" s="8">
        <f>IFERROR(E51/C51,"")</f>
        <v/>
      </c>
      <c r="L51" s="8">
        <f>IFERROR(F51-G51,"")</f>
        <v/>
      </c>
      <c r="M51" s="8">
        <f>IFERROR(J51-F51,"")</f>
        <v/>
      </c>
      <c r="N51" s="8">
        <f>IFERROR(J51-L51,"")</f>
        <v/>
      </c>
      <c r="O51" s="8">
        <f>IFERROR(J51-H51,"")</f>
        <v/>
      </c>
      <c r="P51" s="8">
        <f>IFERROR(K51-F51,"")</f>
        <v/>
      </c>
      <c r="Q51" s="6" t="n">
        <v>0.07851239669421488</v>
      </c>
      <c r="R51" s="6" t="n">
        <v>0.05371900826446281</v>
      </c>
      <c r="S51" s="6" t="n">
        <v>0.08677685950413223</v>
      </c>
      <c r="T51" s="6" t="n">
        <v>0.07024793388429752</v>
      </c>
      <c r="U51" s="6" t="n">
        <v>0.04333333333333333</v>
      </c>
      <c r="V51" s="6" t="n">
        <v>0.03666666666666667</v>
      </c>
      <c r="W51" s="6" t="n">
        <v>0.5941176470588235</v>
      </c>
      <c r="X51" s="6" t="n">
        <v>0.1376248350579901</v>
      </c>
      <c r="Y51" s="3">
        <f>IF(X51="","",IF(X51&gt;='Léeme'!$B$6,"barato",IF(X51&lt;'Léeme'!$B$7,"caro","medio")))</f>
        <v/>
      </c>
      <c r="Z51" s="10" t="n">
        <v>-0.04772384987367839</v>
      </c>
      <c r="AA51" s="10" t="n">
        <v>0.119094324770292</v>
      </c>
    </row>
    <row r="52">
      <c r="A52" s="3" t="inlineStr">
        <is>
          <t>2007-T2</t>
        </is>
      </c>
      <c r="B52" s="12" t="n">
        <v>39262</v>
      </c>
      <c r="C52" s="13" t="n">
        <v>25.19</v>
      </c>
      <c r="D52" s="13" t="n">
        <v>1.73</v>
      </c>
      <c r="E52" s="13" t="n">
        <v>1.536</v>
      </c>
      <c r="F52" s="14" t="n">
        <v>0.0503</v>
      </c>
      <c r="G52" s="14" t="n">
        <v>0.02709885742672613</v>
      </c>
      <c r="H52" s="14" t="n">
        <v>0.0672</v>
      </c>
      <c r="I52" s="15">
        <f>IFERROR(C52/D52,"")</f>
        <v/>
      </c>
      <c r="J52" s="8">
        <f>IFERROR(D52/C52,"")</f>
        <v/>
      </c>
      <c r="K52" s="8">
        <f>IFERROR(E52/C52,"")</f>
        <v/>
      </c>
      <c r="L52" s="8">
        <f>IFERROR(F52-G52,"")</f>
        <v/>
      </c>
      <c r="M52" s="8">
        <f>IFERROR(J52-F52,"")</f>
        <v/>
      </c>
      <c r="N52" s="8">
        <f>IFERROR(J52-L52,"")</f>
        <v/>
      </c>
      <c r="O52" s="8">
        <f>IFERROR(J52-H52,"")</f>
        <v/>
      </c>
      <c r="P52" s="8">
        <f>IFERROR(K52-F52,"")</f>
        <v/>
      </c>
      <c r="Q52" s="6" t="n">
        <v>0.2620967741935484</v>
      </c>
      <c r="R52" s="6" t="n">
        <v>0.1411290322580645</v>
      </c>
      <c r="S52" s="6" t="n">
        <v>0.2540322580645161</v>
      </c>
      <c r="T52" s="6" t="n">
        <v>0.2459677419354839</v>
      </c>
      <c r="U52" s="6" t="n">
        <v>0.2450980392156863</v>
      </c>
      <c r="V52" s="6" t="n">
        <v>0.1209150326797386</v>
      </c>
      <c r="W52" s="6" t="n">
        <v>0.8465909090909091</v>
      </c>
      <c r="X52" s="6" t="n">
        <v>0.3022613982054209</v>
      </c>
      <c r="Y52" s="3">
        <f>IF(X52="","",IF(X52&gt;='Léeme'!$B$6,"barato",IF(X52&lt;'Léeme'!$B$7,"caro","medio")))</f>
        <v/>
      </c>
      <c r="Z52" s="10" t="n">
        <v>-0.04320815983125803</v>
      </c>
      <c r="AA52" s="10" t="n">
        <v>0.1615225683629269</v>
      </c>
    </row>
    <row r="53">
      <c r="A53" s="3" t="inlineStr">
        <is>
          <t>2007-T3</t>
        </is>
      </c>
      <c r="B53" s="12" t="n">
        <v>39353</v>
      </c>
      <c r="C53" s="13" t="n">
        <v>27.949999</v>
      </c>
      <c r="D53" s="13" t="n">
        <v>1.73</v>
      </c>
      <c r="E53" s="13" t="n">
        <v>1.632</v>
      </c>
      <c r="F53" s="14" t="n">
        <v>0.0459</v>
      </c>
      <c r="G53" s="14" t="n">
        <v>0.01897448478900876</v>
      </c>
      <c r="H53" s="14" t="n">
        <v>0.0659</v>
      </c>
      <c r="I53" s="15">
        <f>IFERROR(C53/D53,"")</f>
        <v/>
      </c>
      <c r="J53" s="8">
        <f>IFERROR(D53/C53,"")</f>
        <v/>
      </c>
      <c r="K53" s="8">
        <f>IFERROR(E53/C53,"")</f>
        <v/>
      </c>
      <c r="L53" s="8">
        <f>IFERROR(F53-G53,"")</f>
        <v/>
      </c>
      <c r="M53" s="8">
        <f>IFERROR(J53-F53,"")</f>
        <v/>
      </c>
      <c r="N53" s="8">
        <f>IFERROR(J53-L53,"")</f>
        <v/>
      </c>
      <c r="O53" s="8">
        <f>IFERROR(J53-H53,"")</f>
        <v/>
      </c>
      <c r="P53" s="8">
        <f>IFERROR(K53-F53,"")</f>
        <v/>
      </c>
      <c r="Q53" s="6" t="n">
        <v>0.09055118110236221</v>
      </c>
      <c r="R53" s="6" t="n">
        <v>0.1062992125984252</v>
      </c>
      <c r="S53" s="6" t="n">
        <v>0.04330708661417323</v>
      </c>
      <c r="T53" s="6" t="n">
        <v>0.04330708661417323</v>
      </c>
      <c r="U53" s="6" t="n">
        <v>0.1698717948717949</v>
      </c>
      <c r="V53" s="6" t="n">
        <v>0.1506410256410256</v>
      </c>
      <c r="W53" s="6" t="n">
        <v>0.6208791208791209</v>
      </c>
      <c r="X53" s="6" t="n">
        <v>0.174979501188725</v>
      </c>
      <c r="Y53" s="3">
        <f>IF(X53="","",IF(X53&gt;='Léeme'!$B$6,"barato",IF(X53&lt;'Léeme'!$B$7,"caro","medio")))</f>
        <v/>
      </c>
      <c r="Z53" s="10" t="n">
        <v>0.01042410300015351</v>
      </c>
      <c r="AA53" s="10" t="n">
        <v>0.1319980498623439</v>
      </c>
    </row>
    <row r="54">
      <c r="A54" s="3" t="inlineStr">
        <is>
          <t>2007-T4</t>
        </is>
      </c>
      <c r="B54" s="12" t="n">
        <v>39447</v>
      </c>
      <c r="C54" s="13" t="n">
        <v>27.02</v>
      </c>
      <c r="D54" s="13" t="n">
        <v>1.73</v>
      </c>
      <c r="E54" s="13" t="n">
        <v>1.644</v>
      </c>
      <c r="F54" s="14" t="n">
        <v>0.0404</v>
      </c>
      <c r="G54" s="14" t="n">
        <v>0.04373267326732666</v>
      </c>
      <c r="H54" s="14" t="n">
        <v>0.06619999999999999</v>
      </c>
      <c r="I54" s="15">
        <f>IFERROR(C54/D54,"")</f>
        <v/>
      </c>
      <c r="J54" s="8">
        <f>IFERROR(D54/C54,"")</f>
        <v/>
      </c>
      <c r="K54" s="8">
        <f>IFERROR(E54/C54,"")</f>
        <v/>
      </c>
      <c r="L54" s="8">
        <f>IFERROR(F54-G54,"")</f>
        <v/>
      </c>
      <c r="M54" s="8">
        <f>IFERROR(J54-F54,"")</f>
        <v/>
      </c>
      <c r="N54" s="8">
        <f>IFERROR(J54-L54,"")</f>
        <v/>
      </c>
      <c r="O54" s="8">
        <f>IFERROR(J54-H54,"")</f>
        <v/>
      </c>
      <c r="P54" s="8">
        <f>IFERROR(K54-F54,"")</f>
        <v/>
      </c>
      <c r="Q54" s="6" t="n">
        <v>0.1730769230769231</v>
      </c>
      <c r="R54" s="6" t="n">
        <v>0.3730769230769231</v>
      </c>
      <c r="S54" s="6" t="n">
        <v>0.7961538461538461</v>
      </c>
      <c r="T54" s="6" t="n">
        <v>0.1038461538461539</v>
      </c>
      <c r="U54" s="6" t="n">
        <v>0.2610062893081761</v>
      </c>
      <c r="V54" s="6" t="n">
        <v>0.5062893081761006</v>
      </c>
      <c r="W54" s="6" t="n">
        <v>0.7819148936170213</v>
      </c>
      <c r="X54" s="6" t="n">
        <v>0.4279091910364493</v>
      </c>
      <c r="Y54" s="3">
        <f>IF(X54="","",IF(X54&gt;='Léeme'!$B$6,"barato",IF(X54&lt;'Léeme'!$B$7,"caro","medio")))</f>
        <v/>
      </c>
      <c r="Z54" s="10" t="n">
        <v>-0.09423832312518254</v>
      </c>
      <c r="AA54" s="10" t="n">
        <v>0.13531367056134</v>
      </c>
    </row>
    <row r="55">
      <c r="A55" s="3" t="inlineStr">
        <is>
          <t>2008-T1</t>
        </is>
      </c>
      <c r="B55" s="12" t="n">
        <v>39538</v>
      </c>
      <c r="C55" s="13" t="n">
        <v>25.619999</v>
      </c>
      <c r="D55" s="13" t="n">
        <v>1.89</v>
      </c>
      <c r="E55" s="13" t="n">
        <v>1.644</v>
      </c>
      <c r="F55" s="14" t="n">
        <v>0.0345</v>
      </c>
      <c r="G55" s="14" t="n">
        <v>0.04142959270611968</v>
      </c>
      <c r="H55" s="14" t="n">
        <v>0.0694</v>
      </c>
      <c r="I55" s="15">
        <f>IFERROR(C55/D55,"")</f>
        <v/>
      </c>
      <c r="J55" s="8">
        <f>IFERROR(D55/C55,"")</f>
        <v/>
      </c>
      <c r="K55" s="8">
        <f>IFERROR(E55/C55,"")</f>
        <v/>
      </c>
      <c r="L55" s="8">
        <f>IFERROR(F55-G55,"")</f>
        <v/>
      </c>
      <c r="M55" s="8">
        <f>IFERROR(J55-F55,"")</f>
        <v/>
      </c>
      <c r="N55" s="8">
        <f>IFERROR(J55-L55,"")</f>
        <v/>
      </c>
      <c r="O55" s="8">
        <f>IFERROR(J55-H55,"")</f>
        <v/>
      </c>
      <c r="P55" s="8">
        <f>IFERROR(K55-F55,"")</f>
        <v/>
      </c>
      <c r="Q55" s="6" t="n">
        <v>0.424812030075188</v>
      </c>
      <c r="R55" s="6" t="n">
        <v>0.7030075187969925</v>
      </c>
      <c r="S55" s="6" t="n">
        <v>0.9285714285714286</v>
      </c>
      <c r="T55" s="6" t="n">
        <v>0.462406015037594</v>
      </c>
      <c r="U55" s="6" t="n">
        <v>0.3364197530864197</v>
      </c>
      <c r="V55" s="6" t="n">
        <v>0.7376543209876543</v>
      </c>
      <c r="W55" s="6" t="n">
        <v>0.9123711340206185</v>
      </c>
      <c r="X55" s="6" t="n">
        <v>0.6436060286536993</v>
      </c>
      <c r="Y55" s="3">
        <f>IF(X55="","",IF(X55&gt;='Léeme'!$B$6,"barato",IF(X55&lt;'Léeme'!$B$7,"caro","medio")))</f>
        <v/>
      </c>
      <c r="Z55" s="10" t="n">
        <v>-0.2194149925844953</v>
      </c>
      <c r="AA55" s="10" t="n">
        <v>0.174478879052729</v>
      </c>
    </row>
    <row r="56">
      <c r="A56" s="3" t="inlineStr">
        <is>
          <t>2008-T2</t>
        </is>
      </c>
      <c r="B56" s="12" t="n">
        <v>39629</v>
      </c>
      <c r="C56" s="13" t="n">
        <v>22.760001</v>
      </c>
      <c r="D56" s="13" t="n">
        <v>1.89</v>
      </c>
      <c r="E56" s="13" t="n">
        <v>1.656</v>
      </c>
      <c r="F56" s="14" t="n">
        <v>0.0399</v>
      </c>
      <c r="G56" s="14" t="n">
        <v>0.04088413823123993</v>
      </c>
      <c r="H56" s="14" t="n">
        <v>0.0703</v>
      </c>
      <c r="I56" s="15">
        <f>IFERROR(C56/D56,"")</f>
        <v/>
      </c>
      <c r="J56" s="8">
        <f>IFERROR(D56/C56,"")</f>
        <v/>
      </c>
      <c r="K56" s="8">
        <f>IFERROR(E56/C56,"")</f>
        <v/>
      </c>
      <c r="L56" s="8">
        <f>IFERROR(F56-G56,"")</f>
        <v/>
      </c>
      <c r="M56" s="8">
        <f>IFERROR(J56-F56,"")</f>
        <v/>
      </c>
      <c r="N56" s="8">
        <f>IFERROR(J56-L56,"")</f>
        <v/>
      </c>
      <c r="O56" s="8">
        <f>IFERROR(J56-H56,"")</f>
        <v/>
      </c>
      <c r="P56" s="8">
        <f>IFERROR(K56-F56,"")</f>
        <v/>
      </c>
      <c r="Q56" s="6" t="n">
        <v>0.6507352941176471</v>
      </c>
      <c r="R56" s="6" t="n">
        <v>0.8272058823529411</v>
      </c>
      <c r="S56" s="6" t="n">
        <v>0.9595588235294118</v>
      </c>
      <c r="T56" s="6" t="n">
        <v>0.7463235294117647</v>
      </c>
      <c r="U56" s="6" t="n">
        <v>0.5</v>
      </c>
      <c r="V56" s="6" t="n">
        <v>0.8212121212121212</v>
      </c>
      <c r="W56" s="6" t="n">
        <v>0.975</v>
      </c>
      <c r="X56" s="6" t="n">
        <v>0.7828622358034122</v>
      </c>
      <c r="Y56" s="3">
        <f>IF(X56="","",IF(X56&gt;='Léeme'!$B$6,"barato",IF(X56&lt;'Léeme'!$B$7,"caro","medio")))</f>
        <v/>
      </c>
      <c r="Z56" s="10" t="n">
        <v>0.02567002368948912</v>
      </c>
      <c r="AA56" s="10" t="n">
        <v>0.1829164459720281</v>
      </c>
    </row>
    <row r="57">
      <c r="A57" s="3" t="inlineStr">
        <is>
          <t>2008-T3</t>
        </is>
      </c>
      <c r="B57" s="12" t="n">
        <v>39721</v>
      </c>
      <c r="C57" s="13" t="n">
        <v>25.6</v>
      </c>
      <c r="D57" s="13" t="n">
        <v>1.89</v>
      </c>
      <c r="E57" s="13" t="n">
        <v>1.692</v>
      </c>
      <c r="F57" s="14" t="n">
        <v>0.0385</v>
      </c>
      <c r="G57" s="14" t="n">
        <v>0.05308017162091239</v>
      </c>
      <c r="H57" s="14" t="n">
        <v>0.0762</v>
      </c>
      <c r="I57" s="15">
        <f>IFERROR(C57/D57,"")</f>
        <v/>
      </c>
      <c r="J57" s="8">
        <f>IFERROR(D57/C57,"")</f>
        <v/>
      </c>
      <c r="K57" s="8">
        <f>IFERROR(E57/C57,"")</f>
        <v/>
      </c>
      <c r="L57" s="8">
        <f>IFERROR(F57-G57,"")</f>
        <v/>
      </c>
      <c r="M57" s="8">
        <f>IFERROR(J57-F57,"")</f>
        <v/>
      </c>
      <c r="N57" s="8">
        <f>IFERROR(J57-L57,"")</f>
        <v/>
      </c>
      <c r="O57" s="8">
        <f>IFERROR(J57-H57,"")</f>
        <v/>
      </c>
      <c r="P57" s="8">
        <f>IFERROR(K57-F57,"")</f>
        <v/>
      </c>
      <c r="Q57" s="6" t="n">
        <v>0.4280575539568345</v>
      </c>
      <c r="R57" s="6" t="n">
        <v>0.6223021582733813</v>
      </c>
      <c r="S57" s="6" t="n">
        <v>0.9748201438848921</v>
      </c>
      <c r="T57" s="6" t="n">
        <v>0.09712230215827339</v>
      </c>
      <c r="U57" s="6" t="n">
        <v>0.3779761904761905</v>
      </c>
      <c r="V57" s="6" t="n">
        <v>0.6815476190476191</v>
      </c>
      <c r="W57" s="6" t="n">
        <v>0.8883495145631068</v>
      </c>
      <c r="X57" s="6" t="n">
        <v>0.5814536403371855</v>
      </c>
      <c r="Y57" s="3">
        <f>IF(X57="","",IF(X57&gt;='Léeme'!$B$6,"barato",IF(X57&lt;'Léeme'!$B$7,"caro","medio")))</f>
        <v/>
      </c>
      <c r="Z57" s="10" t="n">
        <v>0.06751355240700008</v>
      </c>
      <c r="AA57" s="10" t="n">
        <v>0.1426126238019398</v>
      </c>
    </row>
    <row r="58">
      <c r="A58" s="3" t="inlineStr">
        <is>
          <t>2008-T4</t>
        </is>
      </c>
      <c r="B58" s="12" t="n">
        <v>39813</v>
      </c>
      <c r="C58" s="13" t="n">
        <v>23.15</v>
      </c>
      <c r="D58" s="13" t="n">
        <v>1.89</v>
      </c>
      <c r="E58" s="13" t="n">
        <v>1.704</v>
      </c>
      <c r="F58" s="14" t="n">
        <v>0.0225</v>
      </c>
      <c r="G58" s="14" t="n">
        <v>0.01099917470616685</v>
      </c>
      <c r="H58" s="14" t="n">
        <v>0.07969999999999999</v>
      </c>
      <c r="I58" s="15">
        <f>IFERROR(C58/D58,"")</f>
        <v/>
      </c>
      <c r="J58" s="8">
        <f>IFERROR(D58/C58,"")</f>
        <v/>
      </c>
      <c r="K58" s="8">
        <f>IFERROR(E58/C58,"")</f>
        <v/>
      </c>
      <c r="L58" s="8">
        <f>IFERROR(F58-G58,"")</f>
        <v/>
      </c>
      <c r="M58" s="8">
        <f>IFERROR(J58-F58,"")</f>
        <v/>
      </c>
      <c r="N58" s="8">
        <f>IFERROR(J58-L58,"")</f>
        <v/>
      </c>
      <c r="O58" s="8">
        <f>IFERROR(J58-H58,"")</f>
        <v/>
      </c>
      <c r="P58" s="8">
        <f>IFERROR(K58-F58,"")</f>
        <v/>
      </c>
      <c r="Q58" s="6" t="n">
        <v>0.6232394366197183</v>
      </c>
      <c r="R58" s="6" t="n">
        <v>0.9753521126760564</v>
      </c>
      <c r="S58" s="6" t="n">
        <v>0.7640845070422535</v>
      </c>
      <c r="T58" s="6" t="n">
        <v>0.2781690140845071</v>
      </c>
      <c r="U58" s="6" t="n">
        <v>0.5233918128654971</v>
      </c>
      <c r="V58" s="6" t="n">
        <v>0.9853801169590644</v>
      </c>
      <c r="W58" s="6" t="n">
        <v>0.9386792452830188</v>
      </c>
      <c r="X58" s="6" t="n">
        <v>0.7268994636471593</v>
      </c>
      <c r="Y58" s="3">
        <f>IF(X58="","",IF(X58&gt;='Léeme'!$B$6,"barato",IF(X58&lt;'Léeme'!$B$7,"caro","medio")))</f>
        <v/>
      </c>
      <c r="Z58" s="10" t="n">
        <v>0.1904351024884861</v>
      </c>
      <c r="AA58" s="10" t="n">
        <v>0.1502648888977229</v>
      </c>
    </row>
    <row r="59">
      <c r="A59" s="3" t="inlineStr">
        <is>
          <t>2009-T1</t>
        </is>
      </c>
      <c r="B59" s="12" t="n">
        <v>39903</v>
      </c>
      <c r="C59" s="13" t="n">
        <v>18.820001</v>
      </c>
      <c r="D59" s="13" t="n">
        <v>1.83</v>
      </c>
      <c r="E59" s="13" t="n">
        <v>1.704</v>
      </c>
      <c r="F59" s="14" t="n">
        <v>0.0271</v>
      </c>
      <c r="G59" s="14" t="n">
        <v>8.463140671510772e-05</v>
      </c>
      <c r="H59" s="14" t="n">
        <v>0.0848</v>
      </c>
      <c r="I59" s="15">
        <f>IFERROR(C59/D59,"")</f>
        <v/>
      </c>
      <c r="J59" s="8">
        <f>IFERROR(D59/C59,"")</f>
        <v/>
      </c>
      <c r="K59" s="8">
        <f>IFERROR(E59/C59,"")</f>
        <v/>
      </c>
      <c r="L59" s="8">
        <f>IFERROR(F59-G59,"")</f>
        <v/>
      </c>
      <c r="M59" s="8">
        <f>IFERROR(J59-F59,"")</f>
        <v/>
      </c>
      <c r="N59" s="8">
        <f>IFERROR(J59-L59,"")</f>
        <v/>
      </c>
      <c r="O59" s="8">
        <f>IFERROR(J59-H59,"")</f>
        <v/>
      </c>
      <c r="P59" s="8">
        <f>IFERROR(K59-F59,"")</f>
        <v/>
      </c>
      <c r="Q59" s="6" t="n">
        <v>0.8172413793103448</v>
      </c>
      <c r="R59" s="6" t="n">
        <v>0.9896551724137931</v>
      </c>
      <c r="S59" s="6" t="n">
        <v>0.7620689655172413</v>
      </c>
      <c r="T59" s="6" t="n">
        <v>0.7344827586206897</v>
      </c>
      <c r="U59" s="6" t="n">
        <v>0.8304597701149425</v>
      </c>
      <c r="V59" s="6" t="n">
        <v>0.9913793103448276</v>
      </c>
      <c r="W59" s="6" t="n">
        <v>0.9770642201834863</v>
      </c>
      <c r="X59" s="6" t="n">
        <v>0.8717645109293322</v>
      </c>
      <c r="Y59" s="3">
        <f>IF(X59="","",IF(X59&gt;='Léeme'!$B$6,"barato",IF(X59&lt;'Léeme'!$B$7,"caro","medio")))</f>
        <v/>
      </c>
      <c r="Z59" s="10" t="n">
        <v>0.7225125364393747</v>
      </c>
      <c r="AA59" s="10" t="n">
        <v>0.2187231023845235</v>
      </c>
    </row>
    <row r="60">
      <c r="A60" s="3" t="inlineStr">
        <is>
          <t>2009-T2</t>
        </is>
      </c>
      <c r="B60" s="12" t="n">
        <v>39994</v>
      </c>
      <c r="C60" s="13" t="n">
        <v>21.920001</v>
      </c>
      <c r="D60" s="13" t="n">
        <v>1.83</v>
      </c>
      <c r="E60" s="13" t="n">
        <v>1.704</v>
      </c>
      <c r="F60" s="14" t="n">
        <v>0.0353</v>
      </c>
      <c r="G60" s="14" t="n">
        <v>-0.01015761495855172</v>
      </c>
      <c r="H60" s="14" t="n">
        <v>0.07200000000000001</v>
      </c>
      <c r="I60" s="15">
        <f>IFERROR(C60/D60,"")</f>
        <v/>
      </c>
      <c r="J60" s="8">
        <f>IFERROR(D60/C60,"")</f>
        <v/>
      </c>
      <c r="K60" s="8">
        <f>IFERROR(E60/C60,"")</f>
        <v/>
      </c>
      <c r="L60" s="8">
        <f>IFERROR(F60-G60,"")</f>
        <v/>
      </c>
      <c r="M60" s="8">
        <f>IFERROR(J60-F60,"")</f>
        <v/>
      </c>
      <c r="N60" s="8">
        <f>IFERROR(J60-L60,"")</f>
        <v/>
      </c>
      <c r="O60" s="8">
        <f>IFERROR(J60-H60,"")</f>
        <v/>
      </c>
      <c r="P60" s="8">
        <f>IFERROR(K60-F60,"")</f>
        <v/>
      </c>
      <c r="Q60" s="6" t="n">
        <v>0.6452702702702703</v>
      </c>
      <c r="R60" s="6" t="n">
        <v>0.8885135135135135</v>
      </c>
      <c r="S60" s="6" t="n">
        <v>0.06418918918918919</v>
      </c>
      <c r="T60" s="6" t="n">
        <v>0.7263513513513513</v>
      </c>
      <c r="U60" s="6" t="n">
        <v>0.5847457627118644</v>
      </c>
      <c r="V60" s="6" t="n">
        <v>0.9463276836158192</v>
      </c>
      <c r="W60" s="6" t="n">
        <v>0.9330357142857143</v>
      </c>
      <c r="X60" s="6" t="n">
        <v>0.6840619264196747</v>
      </c>
      <c r="Y60" s="3">
        <f>IF(X60="","",IF(X60&gt;='Léeme'!$B$6,"barato",IF(X60&lt;'Léeme'!$B$7,"caro","medio")))</f>
        <v/>
      </c>
      <c r="Z60" s="10" t="n">
        <v>0.4544167421528582</v>
      </c>
      <c r="AA60" s="10" t="n">
        <v>0.2007030351875578</v>
      </c>
    </row>
    <row r="61">
      <c r="A61" s="3" t="inlineStr">
        <is>
          <t>2009-T3</t>
        </is>
      </c>
      <c r="B61" s="12" t="n">
        <v>40086</v>
      </c>
      <c r="C61" s="13" t="n">
        <v>25.649999</v>
      </c>
      <c r="D61" s="13" t="n">
        <v>1.83</v>
      </c>
      <c r="E61" s="13" t="n">
        <v>1.716</v>
      </c>
      <c r="F61" s="14" t="n">
        <v>0.0331</v>
      </c>
      <c r="G61" s="14" t="n">
        <v>-0.01483835566326763</v>
      </c>
      <c r="H61" s="14" t="n">
        <v>0.0612</v>
      </c>
      <c r="I61" s="15">
        <f>IFERROR(C61/D61,"")</f>
        <v/>
      </c>
      <c r="J61" s="8">
        <f>IFERROR(D61/C61,"")</f>
        <v/>
      </c>
      <c r="K61" s="8">
        <f>IFERROR(E61/C61,"")</f>
        <v/>
      </c>
      <c r="L61" s="8">
        <f>IFERROR(F61-G61,"")</f>
        <v/>
      </c>
      <c r="M61" s="8">
        <f>IFERROR(J61-F61,"")</f>
        <v/>
      </c>
      <c r="N61" s="8">
        <f>IFERROR(J61-L61,"")</f>
        <v/>
      </c>
      <c r="O61" s="8">
        <f>IFERROR(J61-H61,"")</f>
        <v/>
      </c>
      <c r="P61" s="8">
        <f>IFERROR(K61-F61,"")</f>
        <v/>
      </c>
      <c r="Q61" s="6" t="n">
        <v>0.3211920529801324</v>
      </c>
      <c r="R61" s="6" t="n">
        <v>0.6258278145695364</v>
      </c>
      <c r="S61" s="6" t="n">
        <v>0.009933774834437087</v>
      </c>
      <c r="T61" s="6" t="n">
        <v>0.6986754966887417</v>
      </c>
      <c r="U61" s="6" t="n">
        <v>0.3805555555555555</v>
      </c>
      <c r="V61" s="6" t="n">
        <v>0.8083333333333333</v>
      </c>
      <c r="W61" s="6" t="n">
        <v>0.7347826086956522</v>
      </c>
      <c r="X61" s="6" t="n">
        <v>0.511328662379627</v>
      </c>
      <c r="Y61" s="3">
        <f>IF(X61="","",IF(X61&gt;='Léeme'!$B$6,"barato",IF(X61&lt;'Léeme'!$B$7,"caro","medio")))</f>
        <v/>
      </c>
      <c r="Z61" s="10" t="n">
        <v>0.3777236062290861</v>
      </c>
      <c r="AA61" s="10" t="n">
        <v>0.1431112447344309</v>
      </c>
    </row>
    <row r="62">
      <c r="A62" s="3" t="inlineStr">
        <is>
          <t>2009-T4</t>
        </is>
      </c>
      <c r="B62" s="12" t="n">
        <v>40178</v>
      </c>
      <c r="C62" s="13" t="n">
        <v>25.909999</v>
      </c>
      <c r="D62" s="13" t="n">
        <v>1.83</v>
      </c>
      <c r="E62" s="13" t="n">
        <v>1.716</v>
      </c>
      <c r="F62" s="14" t="n">
        <v>0.0385</v>
      </c>
      <c r="G62" s="14" t="n">
        <v>0.01914587174470928</v>
      </c>
      <c r="H62" s="14" t="n">
        <v>0.0636</v>
      </c>
      <c r="I62" s="15">
        <f>IFERROR(C62/D62,"")</f>
        <v/>
      </c>
      <c r="J62" s="8">
        <f>IFERROR(D62/C62,"")</f>
        <v/>
      </c>
      <c r="K62" s="8">
        <f>IFERROR(E62/C62,"")</f>
        <v/>
      </c>
      <c r="L62" s="8">
        <f>IFERROR(F62-G62,"")</f>
        <v/>
      </c>
      <c r="M62" s="8">
        <f>IFERROR(J62-F62,"")</f>
        <v/>
      </c>
      <c r="N62" s="8">
        <f>IFERROR(J62-L62,"")</f>
        <v/>
      </c>
      <c r="O62" s="8">
        <f>IFERROR(J62-H62,"")</f>
        <v/>
      </c>
      <c r="P62" s="8">
        <f>IFERROR(K62-F62,"")</f>
        <v/>
      </c>
      <c r="Q62" s="6" t="n">
        <v>0.301948051948052</v>
      </c>
      <c r="R62" s="6" t="n">
        <v>0.4967532467532468</v>
      </c>
      <c r="S62" s="6" t="n">
        <v>0.3863636363636364</v>
      </c>
      <c r="T62" s="6" t="n">
        <v>0.5876623376623377</v>
      </c>
      <c r="U62" s="6" t="n">
        <v>0.3524590163934426</v>
      </c>
      <c r="V62" s="6" t="n">
        <v>0.6311475409836066</v>
      </c>
      <c r="W62" s="6" t="n">
        <v>0.6822033898305084</v>
      </c>
      <c r="X62" s="6" t="n">
        <v>0.4912196028478329</v>
      </c>
      <c r="Y62" s="3">
        <f>IF(X62="","",IF(X62&gt;='Léeme'!$B$6,"barato",IF(X62&lt;'Léeme'!$B$7,"caro","medio")))</f>
        <v/>
      </c>
      <c r="Z62" s="10" t="n">
        <v>0.3781273995344667</v>
      </c>
      <c r="AA62" s="10" t="n">
        <v>0.1760659732532186</v>
      </c>
    </row>
    <row r="63">
      <c r="A63" s="3" t="inlineStr">
        <is>
          <t>2010-T1</t>
        </is>
      </c>
      <c r="B63" s="12" t="n">
        <v>40268</v>
      </c>
      <c r="C63" s="13" t="n">
        <v>30.690001</v>
      </c>
      <c r="D63" s="13" t="n">
        <v>1.84</v>
      </c>
      <c r="E63" s="13" t="n">
        <v>1.716</v>
      </c>
      <c r="F63" s="14" t="n">
        <v>0.0384</v>
      </c>
      <c r="G63" s="14" t="n">
        <v>0.02151336357866529</v>
      </c>
      <c r="H63" s="14" t="n">
        <v>0.0636</v>
      </c>
      <c r="I63" s="15">
        <f>IFERROR(C63/D63,"")</f>
        <v/>
      </c>
      <c r="J63" s="8">
        <f>IFERROR(D63/C63,"")</f>
        <v/>
      </c>
      <c r="K63" s="8">
        <f>IFERROR(E63/C63,"")</f>
        <v/>
      </c>
      <c r="L63" s="8">
        <f>IFERROR(F63-G63,"")</f>
        <v/>
      </c>
      <c r="M63" s="8">
        <f>IFERROR(J63-F63,"")</f>
        <v/>
      </c>
      <c r="N63" s="8">
        <f>IFERROR(J63-L63,"")</f>
        <v/>
      </c>
      <c r="O63" s="8">
        <f>IFERROR(J63-H63,"")</f>
        <v/>
      </c>
      <c r="P63" s="8">
        <f>IFERROR(K63-F63,"")</f>
        <v/>
      </c>
      <c r="Q63" s="6" t="n">
        <v>0.04777070063694268</v>
      </c>
      <c r="R63" s="6" t="n">
        <v>0.2579617834394904</v>
      </c>
      <c r="S63" s="6" t="n">
        <v>0.2070063694267516</v>
      </c>
      <c r="T63" s="6" t="n">
        <v>0.06050955414012739</v>
      </c>
      <c r="U63" s="6" t="n">
        <v>0.09408602150537634</v>
      </c>
      <c r="V63" s="6" t="n">
        <v>0.3682795698924731</v>
      </c>
      <c r="W63" s="6" t="n">
        <v>0.3181818181818182</v>
      </c>
      <c r="X63" s="6" t="n">
        <v>0.1933994024604257</v>
      </c>
      <c r="Y63" s="3">
        <f>IF(X63="","",IF(X63&gt;='Léeme'!$B$6,"barato",IF(X63&lt;'Léeme'!$B$7,"caro","medio")))</f>
        <v/>
      </c>
      <c r="Z63" s="10" t="n">
        <v>0.186649785269406</v>
      </c>
      <c r="AA63" s="10" t="n">
        <v>0.1541447896032682</v>
      </c>
    </row>
    <row r="64">
      <c r="A64" s="3" t="inlineStr">
        <is>
          <t>2010-T2</t>
        </is>
      </c>
      <c r="B64" s="12" t="n">
        <v>40359</v>
      </c>
      <c r="C64" s="13" t="n">
        <v>30.330001</v>
      </c>
      <c r="D64" s="13" t="n">
        <v>1.84</v>
      </c>
      <c r="E64" s="13" t="n">
        <v>1.728</v>
      </c>
      <c r="F64" s="14" t="n">
        <v>0.0297</v>
      </c>
      <c r="G64" s="14" t="n">
        <v>0.02003548929218568</v>
      </c>
      <c r="H64" s="14" t="n">
        <v>0.0609</v>
      </c>
      <c r="I64" s="15">
        <f>IFERROR(C64/D64,"")</f>
        <v/>
      </c>
      <c r="J64" s="8">
        <f>IFERROR(D64/C64,"")</f>
        <v/>
      </c>
      <c r="K64" s="8">
        <f>IFERROR(E64/C64,"")</f>
        <v/>
      </c>
      <c r="L64" s="8">
        <f>IFERROR(F64-G64,"")</f>
        <v/>
      </c>
      <c r="M64" s="8">
        <f>IFERROR(J64-F64,"")</f>
        <v/>
      </c>
      <c r="N64" s="8">
        <f>IFERROR(J64-L64,"")</f>
        <v/>
      </c>
      <c r="O64" s="8">
        <f>IFERROR(J64-H64,"")</f>
        <v/>
      </c>
      <c r="P64" s="8">
        <f>IFERROR(K64-F64,"")</f>
        <v/>
      </c>
      <c r="Q64" s="6" t="n">
        <v>0.07187499999999999</v>
      </c>
      <c r="R64" s="6" t="n">
        <v>0.503125</v>
      </c>
      <c r="S64" s="6" t="n">
        <v>0.384375</v>
      </c>
      <c r="T64" s="6" t="n">
        <v>0.184375</v>
      </c>
      <c r="U64" s="6" t="n">
        <v>0.119047619047619</v>
      </c>
      <c r="V64" s="6" t="n">
        <v>0.6111111111111112</v>
      </c>
      <c r="W64" s="6" t="n">
        <v>0.375</v>
      </c>
      <c r="X64" s="6" t="n">
        <v>0.3212726757369614</v>
      </c>
      <c r="Y64" s="3">
        <f>IF(X64="","",IF(X64&gt;='Léeme'!$B$6,"barato",IF(X64&lt;'Léeme'!$B$7,"caro","medio")))</f>
        <v/>
      </c>
      <c r="Z64" s="10" t="n">
        <v>0.149788311525801</v>
      </c>
      <c r="AA64" s="10" t="n">
        <v>0.1223967940091748</v>
      </c>
    </row>
    <row r="65">
      <c r="A65" s="3" t="inlineStr">
        <is>
          <t>2010-T3</t>
        </is>
      </c>
      <c r="B65" s="12" t="n">
        <v>40451</v>
      </c>
      <c r="C65" s="13" t="n">
        <v>33.720001</v>
      </c>
      <c r="D65" s="13" t="n">
        <v>1.84</v>
      </c>
      <c r="E65" s="13" t="n">
        <v>1.728</v>
      </c>
      <c r="F65" s="14" t="n">
        <v>0.0253</v>
      </c>
      <c r="G65" s="14" t="n">
        <v>0.01150177539511255</v>
      </c>
      <c r="H65" s="14" t="n">
        <v>0.0558</v>
      </c>
      <c r="I65" s="15">
        <f>IFERROR(C65/D65,"")</f>
        <v/>
      </c>
      <c r="J65" s="8">
        <f>IFERROR(D65/C65,"")</f>
        <v/>
      </c>
      <c r="K65" s="8">
        <f>IFERROR(E65/C65,"")</f>
        <v/>
      </c>
      <c r="L65" s="8">
        <f>IFERROR(F65-G65,"")</f>
        <v/>
      </c>
      <c r="M65" s="8">
        <f>IFERROR(J65-F65,"")</f>
        <v/>
      </c>
      <c r="N65" s="8">
        <f>IFERROR(J65-L65,"")</f>
        <v/>
      </c>
      <c r="O65" s="8">
        <f>IFERROR(J65-H65,"")</f>
        <v/>
      </c>
      <c r="P65" s="8">
        <f>IFERROR(K65-F65,"")</f>
        <v/>
      </c>
      <c r="Q65" s="6" t="n">
        <v>0.003067484662576687</v>
      </c>
      <c r="R65" s="6" t="n">
        <v>0.4693251533742331</v>
      </c>
      <c r="S65" s="6" t="n">
        <v>0.1503067484662577</v>
      </c>
      <c r="T65" s="6" t="n">
        <v>0.1503067484662577</v>
      </c>
      <c r="U65" s="6" t="n">
        <v>0.002604166666666667</v>
      </c>
      <c r="V65" s="6" t="n">
        <v>0.5598958333333334</v>
      </c>
      <c r="W65" s="6" t="n">
        <v>0.08267716535433071</v>
      </c>
      <c r="X65" s="6" t="n">
        <v>0.2025976143319508</v>
      </c>
      <c r="Y65" s="3">
        <f>IF(X65="","",IF(X65&gt;='Léeme'!$B$6,"barato",IF(X65&lt;'Léeme'!$B$7,"caro","medio")))</f>
        <v/>
      </c>
      <c r="Z65" s="10" t="n">
        <v>-0.00457687232665005</v>
      </c>
      <c r="AA65" s="10" t="n">
        <v>0.1131383339207104</v>
      </c>
    </row>
    <row r="66">
      <c r="A66" s="3" t="inlineStr">
        <is>
          <t>2010-T4</t>
        </is>
      </c>
      <c r="B66" s="12" t="n">
        <v>40543</v>
      </c>
      <c r="C66" s="13" t="n">
        <v>34.199999</v>
      </c>
      <c r="D66" s="13" t="n">
        <v>1.84</v>
      </c>
      <c r="E66" s="13" t="n">
        <v>1.728</v>
      </c>
      <c r="F66" s="14" t="n">
        <v>0.033</v>
      </c>
      <c r="G66" s="14" t="n">
        <v>0.01084544776600338</v>
      </c>
      <c r="H66" s="14" t="n">
        <v>0.0607</v>
      </c>
      <c r="I66" s="15">
        <f>IFERROR(C66/D66,"")</f>
        <v/>
      </c>
      <c r="J66" s="8">
        <f>IFERROR(D66/C66,"")</f>
        <v/>
      </c>
      <c r="K66" s="8">
        <f>IFERROR(E66/C66,"")</f>
        <v/>
      </c>
      <c r="L66" s="8">
        <f>IFERROR(F66-G66,"")</f>
        <v/>
      </c>
      <c r="M66" s="8">
        <f>IFERROR(J66-F66,"")</f>
        <v/>
      </c>
      <c r="N66" s="8">
        <f>IFERROR(J66-L66,"")</f>
        <v/>
      </c>
      <c r="O66" s="8">
        <f>IFERROR(J66-H66,"")</f>
        <v/>
      </c>
      <c r="P66" s="8">
        <f>IFERROR(K66-F66,"")</f>
        <v/>
      </c>
      <c r="Q66" s="6" t="n">
        <v>0.009036144578313253</v>
      </c>
      <c r="R66" s="6" t="n">
        <v>0.2078313253012048</v>
      </c>
      <c r="S66" s="6" t="n">
        <v>0.0391566265060241</v>
      </c>
      <c r="T66" s="6" t="n">
        <v>0.02108433734939759</v>
      </c>
      <c r="U66" s="6" t="n">
        <v>0.007692307692307693</v>
      </c>
      <c r="V66" s="6" t="n">
        <v>0.3615384615384615</v>
      </c>
      <c r="W66" s="6" t="n">
        <v>0.06538461538461539</v>
      </c>
      <c r="X66" s="6" t="n">
        <v>0.1016748311929035</v>
      </c>
      <c r="Y66" s="3">
        <f>IF(X66="","",IF(X66&gt;='Léeme'!$B$6,"barato",IF(X66&lt;'Léeme'!$B$7,"caro","medio")))</f>
        <v/>
      </c>
      <c r="Z66" s="10" t="n">
        <v>0.06447402758439935</v>
      </c>
      <c r="AA66" s="10" t="n">
        <v>0.1289630017079189</v>
      </c>
    </row>
    <row r="67">
      <c r="A67" s="3" t="inlineStr">
        <is>
          <t>2011-T1</t>
        </is>
      </c>
      <c r="B67" s="12" t="n">
        <v>40633</v>
      </c>
      <c r="C67" s="13" t="n">
        <v>34.950001</v>
      </c>
      <c r="D67" s="13" t="n">
        <v>1.83</v>
      </c>
      <c r="E67" s="13" t="n">
        <v>1.74</v>
      </c>
      <c r="F67" s="14" t="n">
        <v>0.0347</v>
      </c>
      <c r="G67" s="14" t="n">
        <v>0.02124898173333145</v>
      </c>
      <c r="H67" s="14" t="n">
        <v>0.06059999999999999</v>
      </c>
      <c r="I67" s="15">
        <f>IFERROR(C67/D67,"")</f>
        <v/>
      </c>
      <c r="J67" s="8">
        <f>IFERROR(D67/C67,"")</f>
        <v/>
      </c>
      <c r="K67" s="8">
        <f>IFERROR(E67/C67,"")</f>
        <v/>
      </c>
      <c r="L67" s="8">
        <f>IFERROR(F67-G67,"")</f>
        <v/>
      </c>
      <c r="M67" s="8">
        <f>IFERROR(J67-F67,"")</f>
        <v/>
      </c>
      <c r="N67" s="8">
        <f>IFERROR(J67-L67,"")</f>
        <v/>
      </c>
      <c r="O67" s="8">
        <f>IFERROR(J67-H67,"")</f>
        <v/>
      </c>
      <c r="P67" s="8">
        <f>IFERROR(K67-F67,"")</f>
        <v/>
      </c>
      <c r="Q67" s="6" t="n">
        <v>0.008875739644970414</v>
      </c>
      <c r="R67" s="6" t="n">
        <v>0.1153846153846154</v>
      </c>
      <c r="S67" s="6" t="n">
        <v>0.1331360946745562</v>
      </c>
      <c r="T67" s="6" t="n">
        <v>0.01479289940828402</v>
      </c>
      <c r="U67" s="6" t="n">
        <v>0.01262626262626263</v>
      </c>
      <c r="V67" s="6" t="n">
        <v>0.2651515151515151</v>
      </c>
      <c r="W67" s="6" t="n">
        <v>0.08646616541353383</v>
      </c>
      <c r="X67" s="6" t="n">
        <v>0.09091904175767682</v>
      </c>
      <c r="Y67" s="3">
        <f>IF(X67="","",IF(X67&gt;='Léeme'!$B$6,"barato",IF(X67&lt;'Léeme'!$B$7,"caro","medio")))</f>
        <v/>
      </c>
      <c r="Z67" s="10" t="n">
        <v>0.1534182767033208</v>
      </c>
      <c r="AA67" s="10" t="n">
        <v>0.1674971121109698</v>
      </c>
    </row>
    <row r="68">
      <c r="A68" s="3" t="inlineStr">
        <is>
          <t>2011-T2</t>
        </is>
      </c>
      <c r="B68" s="12" t="n">
        <v>40724</v>
      </c>
      <c r="C68" s="13" t="n">
        <v>33.489999</v>
      </c>
      <c r="D68" s="13" t="n">
        <v>1.83</v>
      </c>
      <c r="E68" s="13" t="n">
        <v>1.74</v>
      </c>
      <c r="F68" s="14" t="n">
        <v>0.0318</v>
      </c>
      <c r="G68" s="14" t="n">
        <v>0.034589718808965</v>
      </c>
      <c r="H68" s="14" t="n">
        <v>0.05889999999999999</v>
      </c>
      <c r="I68" s="15">
        <f>IFERROR(C68/D68,"")</f>
        <v/>
      </c>
      <c r="J68" s="8">
        <f>IFERROR(D68/C68,"")</f>
        <v/>
      </c>
      <c r="K68" s="8">
        <f>IFERROR(E68/C68,"")</f>
        <v/>
      </c>
      <c r="L68" s="8">
        <f>IFERROR(F68-G68,"")</f>
        <v/>
      </c>
      <c r="M68" s="8">
        <f>IFERROR(J68-F68,"")</f>
        <v/>
      </c>
      <c r="N68" s="8">
        <f>IFERROR(J68-L68,"")</f>
        <v/>
      </c>
      <c r="O68" s="8">
        <f>IFERROR(J68-H68,"")</f>
        <v/>
      </c>
      <c r="P68" s="8">
        <f>IFERROR(K68-F68,"")</f>
        <v/>
      </c>
      <c r="Q68" s="6" t="n">
        <v>0.05523255813953488</v>
      </c>
      <c r="R68" s="6" t="n">
        <v>0.311046511627907</v>
      </c>
      <c r="S68" s="6" t="n">
        <v>0.5843023255813954</v>
      </c>
      <c r="T68" s="6" t="n">
        <v>0.09011627906976744</v>
      </c>
      <c r="U68" s="6" t="n">
        <v>0.0472636815920398</v>
      </c>
      <c r="V68" s="6" t="n">
        <v>0.4353233830845771</v>
      </c>
      <c r="W68" s="6" t="n">
        <v>0.3051470588235294</v>
      </c>
      <c r="X68" s="6" t="n">
        <v>0.2612045425598216</v>
      </c>
      <c r="Y68" s="3">
        <f>IF(X68="","",IF(X68&gt;='Léeme'!$B$6,"barato",IF(X68&lt;'Léeme'!$B$7,"caro","medio")))</f>
        <v/>
      </c>
      <c r="Z68" s="10" t="n">
        <v>0.2967587161449332</v>
      </c>
      <c r="AA68" s="10" t="n">
        <v>0.2016949506455237</v>
      </c>
    </row>
    <row r="69">
      <c r="A69" s="3" t="inlineStr">
        <is>
          <t>2011-T3</t>
        </is>
      </c>
      <c r="B69" s="12" t="n">
        <v>40816</v>
      </c>
      <c r="C69" s="13" t="n">
        <v>32.240001</v>
      </c>
      <c r="D69" s="13" t="n">
        <v>1.83</v>
      </c>
      <c r="E69" s="13" t="n">
        <v>1.74</v>
      </c>
      <c r="F69" s="14" t="n">
        <v>0.0192</v>
      </c>
      <c r="G69" s="14" t="n">
        <v>0.0375499603070808</v>
      </c>
      <c r="H69" s="14" t="n">
        <v>0.0529</v>
      </c>
      <c r="I69" s="15">
        <f>IFERROR(C69/D69,"")</f>
        <v/>
      </c>
      <c r="J69" s="8">
        <f>IFERROR(D69/C69,"")</f>
        <v/>
      </c>
      <c r="K69" s="8">
        <f>IFERROR(E69/C69,"")</f>
        <v/>
      </c>
      <c r="L69" s="8">
        <f>IFERROR(F69-G69,"")</f>
        <v/>
      </c>
      <c r="M69" s="8">
        <f>IFERROR(J69-F69,"")</f>
        <v/>
      </c>
      <c r="N69" s="8">
        <f>IFERROR(J69-L69,"")</f>
        <v/>
      </c>
      <c r="O69" s="8">
        <f>IFERROR(J69-H69,"")</f>
        <v/>
      </c>
      <c r="P69" s="8">
        <f>IFERROR(K69-F69,"")</f>
        <v/>
      </c>
      <c r="Q69" s="6" t="n">
        <v>0.08857142857142856</v>
      </c>
      <c r="R69" s="6" t="n">
        <v>0.6485714285714286</v>
      </c>
      <c r="S69" s="6" t="n">
        <v>0.8542857142857143</v>
      </c>
      <c r="T69" s="6" t="n">
        <v>0.5</v>
      </c>
      <c r="U69" s="6" t="n">
        <v>0.1053921568627451</v>
      </c>
      <c r="V69" s="6" t="n">
        <v>0.8406862745098039</v>
      </c>
      <c r="W69" s="6" t="n">
        <v>0.5</v>
      </c>
      <c r="X69" s="6" t="n">
        <v>0.505358143257303</v>
      </c>
      <c r="Y69" s="3">
        <f>IF(X69="","",IF(X69&gt;='Léeme'!$B$6,"barato",IF(X69&lt;'Léeme'!$B$7,"caro","medio")))</f>
        <v/>
      </c>
      <c r="Z69" s="10" t="n">
        <v>0.3163259781043894</v>
      </c>
      <c r="AA69" s="10" t="n">
        <v>0.2014729449665678</v>
      </c>
    </row>
    <row r="70">
      <c r="A70" s="3" t="inlineStr">
        <is>
          <t>2011-T4</t>
        </is>
      </c>
      <c r="B70" s="12" t="n">
        <v>40907</v>
      </c>
      <c r="C70" s="13" t="n">
        <v>34.96</v>
      </c>
      <c r="D70" s="13" t="n">
        <v>1.83</v>
      </c>
      <c r="E70" s="13" t="n">
        <v>1.752</v>
      </c>
      <c r="F70" s="14" t="n">
        <v>0.0189</v>
      </c>
      <c r="G70" s="14" t="n">
        <v>0.03451432214581729</v>
      </c>
      <c r="H70" s="14" t="n">
        <v>0.0519</v>
      </c>
      <c r="I70" s="15">
        <f>IFERROR(C70/D70,"")</f>
        <v/>
      </c>
      <c r="J70" s="8">
        <f>IFERROR(D70/C70,"")</f>
        <v/>
      </c>
      <c r="K70" s="8">
        <f>IFERROR(E70/C70,"")</f>
        <v/>
      </c>
      <c r="L70" s="8">
        <f>IFERROR(F70-G70,"")</f>
        <v/>
      </c>
      <c r="M70" s="8">
        <f>IFERROR(J70-F70,"")</f>
        <v/>
      </c>
      <c r="N70" s="8">
        <f>IFERROR(J70-L70,"")</f>
        <v/>
      </c>
      <c r="O70" s="8">
        <f>IFERROR(J70-H70,"")</f>
        <v/>
      </c>
      <c r="P70" s="8">
        <f>IFERROR(K70-F70,"")</f>
        <v/>
      </c>
      <c r="Q70" s="6" t="n">
        <v>0.01966292134831461</v>
      </c>
      <c r="R70" s="6" t="n">
        <v>0.5646067415730337</v>
      </c>
      <c r="S70" s="6" t="n">
        <v>0.75</v>
      </c>
      <c r="T70" s="6" t="n">
        <v>0.25</v>
      </c>
      <c r="U70" s="6" t="n">
        <v>0.02657004830917874</v>
      </c>
      <c r="V70" s="6" t="n">
        <v>0.7608695652173914</v>
      </c>
      <c r="W70" s="6" t="n">
        <v>0.2781690140845071</v>
      </c>
      <c r="X70" s="6" t="n">
        <v>0.3785540415046322</v>
      </c>
      <c r="Y70" s="3">
        <f>IF(X70="","",IF(X70&gt;='Léeme'!$B$6,"barato",IF(X70&lt;'Léeme'!$B$7,"caro","medio")))</f>
        <v/>
      </c>
      <c r="Z70" s="10" t="n">
        <v>0.1903605890521862</v>
      </c>
      <c r="AA70" s="10" t="n">
        <v>0.146313946006313</v>
      </c>
    </row>
    <row r="71">
      <c r="A71" s="3" t="inlineStr">
        <is>
          <t>2012-T1</t>
        </is>
      </c>
      <c r="B71" s="12" t="n">
        <v>40998</v>
      </c>
      <c r="C71" s="13" t="n">
        <v>38.730002</v>
      </c>
      <c r="D71" s="13" t="n">
        <v>1.98</v>
      </c>
      <c r="E71" s="13" t="n">
        <v>1.752</v>
      </c>
      <c r="F71" s="14" t="n">
        <v>0.0223</v>
      </c>
      <c r="G71" s="14" t="n">
        <v>0.02898178442347388</v>
      </c>
      <c r="H71" s="14" t="n">
        <v>0.0521</v>
      </c>
      <c r="I71" s="15">
        <f>IFERROR(C71/D71,"")</f>
        <v/>
      </c>
      <c r="J71" s="8">
        <f>IFERROR(D71/C71,"")</f>
        <v/>
      </c>
      <c r="K71" s="8">
        <f>IFERROR(E71/C71,"")</f>
        <v/>
      </c>
      <c r="L71" s="8">
        <f>IFERROR(F71-G71,"")</f>
        <v/>
      </c>
      <c r="M71" s="8">
        <f>IFERROR(J71-F71,"")</f>
        <v/>
      </c>
      <c r="N71" s="8">
        <f>IFERROR(J71-L71,"")</f>
        <v/>
      </c>
      <c r="O71" s="8">
        <f>IFERROR(J71-H71,"")</f>
        <v/>
      </c>
      <c r="P71" s="8">
        <f>IFERROR(K71-F71,"")</f>
        <v/>
      </c>
      <c r="Q71" s="6" t="n">
        <v>0.0138121546961326</v>
      </c>
      <c r="R71" s="6" t="n">
        <v>0.4723756906077348</v>
      </c>
      <c r="S71" s="6" t="n">
        <v>0.5662983425414365</v>
      </c>
      <c r="T71" s="6" t="n">
        <v>0.2071823204419889</v>
      </c>
      <c r="U71" s="6" t="n">
        <v>0.002380952380952381</v>
      </c>
      <c r="V71" s="6" t="n">
        <v>0.469047619047619</v>
      </c>
      <c r="W71" s="6" t="n">
        <v>0.2103448275862069</v>
      </c>
      <c r="X71" s="6" t="n">
        <v>0.2773488439002959</v>
      </c>
      <c r="Y71" s="3">
        <f>IF(X71="","",IF(X71&gt;='Léeme'!$B$6,"barato",IF(X71&lt;'Léeme'!$B$7,"caro","medio")))</f>
        <v/>
      </c>
      <c r="Z71" s="10" t="n">
        <v>0.2143225641338653</v>
      </c>
      <c r="AA71" s="10" t="n">
        <v>0.1284489286738975</v>
      </c>
    </row>
    <row r="72">
      <c r="A72" s="3" t="inlineStr">
        <is>
          <t>2012-T2</t>
        </is>
      </c>
      <c r="B72" s="12" t="n">
        <v>41089</v>
      </c>
      <c r="C72" s="13" t="n">
        <v>41.770002</v>
      </c>
      <c r="D72" s="13" t="n">
        <v>1.98</v>
      </c>
      <c r="E72" s="13" t="n">
        <v>1.752</v>
      </c>
      <c r="F72" s="14" t="n">
        <v>0.0167</v>
      </c>
      <c r="G72" s="14" t="n">
        <v>0.01737942937466075</v>
      </c>
      <c r="H72" s="14" t="n">
        <v>0.04969999999999999</v>
      </c>
      <c r="I72" s="15">
        <f>IFERROR(C72/D72,"")</f>
        <v/>
      </c>
      <c r="J72" s="8">
        <f>IFERROR(D72/C72,"")</f>
        <v/>
      </c>
      <c r="K72" s="8">
        <f>IFERROR(E72/C72,"")</f>
        <v/>
      </c>
      <c r="L72" s="8">
        <f>IFERROR(F72-G72,"")</f>
        <v/>
      </c>
      <c r="M72" s="8">
        <f>IFERROR(J72-F72,"")</f>
        <v/>
      </c>
      <c r="N72" s="8">
        <f>IFERROR(J72-L72,"")</f>
        <v/>
      </c>
      <c r="O72" s="8">
        <f>IFERROR(J72-H72,"")</f>
        <v/>
      </c>
      <c r="P72" s="8">
        <f>IFERROR(K72-F72,"")</f>
        <v/>
      </c>
      <c r="Q72" s="6" t="n">
        <v>0.002717391304347826</v>
      </c>
      <c r="R72" s="6" t="n">
        <v>0.5081521739130435</v>
      </c>
      <c r="S72" s="6" t="n">
        <v>0.3559782608695652</v>
      </c>
      <c r="T72" s="6" t="n">
        <v>0.1494565217391304</v>
      </c>
      <c r="U72" s="6" t="n">
        <v>0.002347417840375587</v>
      </c>
      <c r="V72" s="6" t="n">
        <v>0.5422535211267606</v>
      </c>
      <c r="W72" s="6" t="n">
        <v>0.03040540540540541</v>
      </c>
      <c r="X72" s="6" t="n">
        <v>0.2273300988855183</v>
      </c>
      <c r="Y72" s="3">
        <f>IF(X72="","",IF(X72&gt;='Léeme'!$B$6,"barato",IF(X72&lt;'Léeme'!$B$7,"caro","medio")))</f>
        <v/>
      </c>
      <c r="Z72" s="10" t="n">
        <v>0.04135008210882773</v>
      </c>
      <c r="AA72" s="10" t="n">
        <v>0.09935371556493311</v>
      </c>
    </row>
    <row r="73">
      <c r="A73" s="3" t="inlineStr">
        <is>
          <t>2012-T3</t>
        </is>
      </c>
      <c r="B73" s="12" t="n">
        <v>41180</v>
      </c>
      <c r="C73" s="13" t="n">
        <v>40.89</v>
      </c>
      <c r="D73" s="13" t="n">
        <v>1.98</v>
      </c>
      <c r="E73" s="13" t="n">
        <v>1.812</v>
      </c>
      <c r="F73" s="14" t="n">
        <v>0.0165</v>
      </c>
      <c r="G73" s="14" t="n">
        <v>0.01685934915482123</v>
      </c>
      <c r="H73" s="14" t="n">
        <v>0.0471</v>
      </c>
      <c r="I73" s="15">
        <f>IFERROR(C73/D73,"")</f>
        <v/>
      </c>
      <c r="J73" s="8">
        <f>IFERROR(D73/C73,"")</f>
        <v/>
      </c>
      <c r="K73" s="8">
        <f>IFERROR(E73/C73,"")</f>
        <v/>
      </c>
      <c r="L73" s="8">
        <f>IFERROR(F73-G73,"")</f>
        <v/>
      </c>
      <c r="M73" s="8">
        <f>IFERROR(J73-F73,"")</f>
        <v/>
      </c>
      <c r="N73" s="8">
        <f>IFERROR(J73-L73,"")</f>
        <v/>
      </c>
      <c r="O73" s="8">
        <f>IFERROR(J73-H73,"")</f>
        <v/>
      </c>
      <c r="P73" s="8">
        <f>IFERROR(K73-F73,"")</f>
        <v/>
      </c>
      <c r="Q73" s="6" t="n">
        <v>0.01871657754010695</v>
      </c>
      <c r="R73" s="6" t="n">
        <v>0.5374331550802139</v>
      </c>
      <c r="S73" s="6" t="n">
        <v>0.3716577540106952</v>
      </c>
      <c r="T73" s="6" t="n">
        <v>0.339572192513369</v>
      </c>
      <c r="U73" s="6" t="n">
        <v>0.0162037037037037</v>
      </c>
      <c r="V73" s="6" t="n">
        <v>0.6504629629629629</v>
      </c>
      <c r="W73" s="6" t="n">
        <v>0.2218543046357616</v>
      </c>
      <c r="X73" s="6" t="n">
        <v>0.3079858072066876</v>
      </c>
      <c r="Y73" s="3">
        <f>IF(X73="","",IF(X73&gt;='Léeme'!$B$6,"barato",IF(X73&lt;'Léeme'!$B$7,"caro","medio")))</f>
        <v/>
      </c>
      <c r="Z73" s="10" t="n">
        <v>0.02358768237745501</v>
      </c>
      <c r="AA73" s="10" t="n">
        <v>0.11144262789782</v>
      </c>
    </row>
    <row r="74">
      <c r="A74" s="3" t="inlineStr">
        <is>
          <t>2012-T4</t>
        </is>
      </c>
      <c r="B74" s="12" t="n">
        <v>41274</v>
      </c>
      <c r="C74" s="13" t="n">
        <v>40.209998</v>
      </c>
      <c r="D74" s="13" t="n">
        <v>1.98</v>
      </c>
      <c r="E74" s="13" t="n">
        <v>1.824</v>
      </c>
      <c r="F74" s="14" t="n">
        <v>0.0178</v>
      </c>
      <c r="G74" s="14" t="n">
        <v>0.01796019703392626</v>
      </c>
      <c r="H74" s="14" t="n">
        <v>0.0458</v>
      </c>
      <c r="I74" s="15">
        <f>IFERROR(C74/D74,"")</f>
        <v/>
      </c>
      <c r="J74" s="8">
        <f>IFERROR(D74/C74,"")</f>
        <v/>
      </c>
      <c r="K74" s="8">
        <f>IFERROR(E74/C74,"")</f>
        <v/>
      </c>
      <c r="L74" s="8">
        <f>IFERROR(F74-G74,"")</f>
        <v/>
      </c>
      <c r="M74" s="8">
        <f>IFERROR(J74-F74,"")</f>
        <v/>
      </c>
      <c r="N74" s="8">
        <f>IFERROR(J74-L74,"")</f>
        <v/>
      </c>
      <c r="O74" s="8">
        <f>IFERROR(J74-H74,"")</f>
        <v/>
      </c>
      <c r="P74" s="8">
        <f>IFERROR(K74-F74,"")</f>
        <v/>
      </c>
      <c r="Q74" s="6" t="n">
        <v>0.02894736842105263</v>
      </c>
      <c r="R74" s="6" t="n">
        <v>0.5236842105263158</v>
      </c>
      <c r="S74" s="6" t="n">
        <v>0.3815789473684211</v>
      </c>
      <c r="T74" s="6" t="n">
        <v>0.4973684210526316</v>
      </c>
      <c r="U74" s="6" t="n">
        <v>0.03424657534246575</v>
      </c>
      <c r="V74" s="6" t="n">
        <v>0.6232876712328768</v>
      </c>
      <c r="W74" s="6" t="n">
        <v>0.3863636363636364</v>
      </c>
      <c r="X74" s="6" t="n">
        <v>0.3536395471867714</v>
      </c>
      <c r="Y74" s="3">
        <f>IF(X74="","",IF(X74&gt;='Léeme'!$B$6,"barato",IF(X74&lt;'Léeme'!$B$7,"caro","medio")))</f>
        <v/>
      </c>
      <c r="Z74" s="10" t="n">
        <v>-0.0330056821789132</v>
      </c>
      <c r="AA74" s="10" t="n">
        <v>0.1127409872684686</v>
      </c>
    </row>
    <row r="75">
      <c r="A75" s="3" t="inlineStr">
        <is>
          <t>2013-T1</t>
        </is>
      </c>
      <c r="B75" s="12" t="n">
        <v>41361</v>
      </c>
      <c r="C75" s="13" t="n">
        <v>45.35</v>
      </c>
      <c r="D75" s="13" t="n">
        <v>1.96</v>
      </c>
      <c r="E75" s="13" t="n">
        <v>2.172</v>
      </c>
      <c r="F75" s="14" t="n">
        <v>0.0187</v>
      </c>
      <c r="G75" s="14" t="n">
        <v>0.02018140490257481</v>
      </c>
      <c r="H75" s="14" t="n">
        <v>0.048</v>
      </c>
      <c r="I75" s="15">
        <f>IFERROR(C75/D75,"")</f>
        <v/>
      </c>
      <c r="J75" s="8">
        <f>IFERROR(D75/C75,"")</f>
        <v/>
      </c>
      <c r="K75" s="8">
        <f>IFERROR(E75/C75,"")</f>
        <v/>
      </c>
      <c r="L75" s="8">
        <f>IFERROR(F75-G75,"")</f>
        <v/>
      </c>
      <c r="M75" s="8">
        <f>IFERROR(J75-F75,"")</f>
        <v/>
      </c>
      <c r="N75" s="8">
        <f>IFERROR(J75-L75,"")</f>
        <v/>
      </c>
      <c r="O75" s="8">
        <f>IFERROR(J75-H75,"")</f>
        <v/>
      </c>
      <c r="P75" s="8">
        <f>IFERROR(K75-F75,"")</f>
        <v/>
      </c>
      <c r="Q75" s="6" t="n">
        <v>0.007772020725388601</v>
      </c>
      <c r="R75" s="6" t="n">
        <v>0.3238341968911917</v>
      </c>
      <c r="S75" s="6" t="n">
        <v>0.2772020725388601</v>
      </c>
      <c r="T75" s="6" t="n">
        <v>0.08031088082901554</v>
      </c>
      <c r="U75" s="6" t="n">
        <v>0.05630630630630631</v>
      </c>
      <c r="V75" s="6" t="n">
        <v>0.704954954954955</v>
      </c>
      <c r="W75" s="6" t="n">
        <v>0.06687898089171974</v>
      </c>
      <c r="X75" s="6" t="n">
        <v>0.2167513447339195</v>
      </c>
      <c r="Y75" s="3">
        <f>IF(X75="","",IF(X75&gt;='Léeme'!$B$6,"barato",IF(X75&lt;'Léeme'!$B$7,"caro","medio")))</f>
        <v/>
      </c>
      <c r="Z75" s="10" t="n">
        <v>-0.06341186551636635</v>
      </c>
      <c r="AA75" s="10" t="n">
        <v>0.06485224809468515</v>
      </c>
    </row>
    <row r="76">
      <c r="A76" s="3" t="inlineStr">
        <is>
          <t>2013-T2</t>
        </is>
      </c>
      <c r="B76" s="12" t="n">
        <v>41453</v>
      </c>
      <c r="C76" s="13" t="n">
        <v>41.92</v>
      </c>
      <c r="D76" s="13" t="n">
        <v>1.96</v>
      </c>
      <c r="E76" s="13" t="n">
        <v>2.184</v>
      </c>
      <c r="F76" s="14" t="n">
        <v>0.0252</v>
      </c>
      <c r="G76" s="14" t="n">
        <v>0.01390388827919709</v>
      </c>
      <c r="H76" s="14" t="n">
        <v>0.0541</v>
      </c>
      <c r="I76" s="15">
        <f>IFERROR(C76/D76,"")</f>
        <v/>
      </c>
      <c r="J76" s="8">
        <f>IFERROR(D76/C76,"")</f>
        <v/>
      </c>
      <c r="K76" s="8">
        <f>IFERROR(E76/C76,"")</f>
        <v/>
      </c>
      <c r="L76" s="8">
        <f>IFERROR(F76-G76,"")</f>
        <v/>
      </c>
      <c r="M76" s="8">
        <f>IFERROR(J76-F76,"")</f>
        <v/>
      </c>
      <c r="N76" s="8">
        <f>IFERROR(J76-L76,"")</f>
        <v/>
      </c>
      <c r="O76" s="8">
        <f>IFERROR(J76-H76,"")</f>
        <v/>
      </c>
      <c r="P76" s="8">
        <f>IFERROR(K76-F76,"")</f>
        <v/>
      </c>
      <c r="Q76" s="6" t="n">
        <v>0.02806122448979592</v>
      </c>
      <c r="R76" s="6" t="n">
        <v>0.2525510204081632</v>
      </c>
      <c r="S76" s="6" t="n">
        <v>0.07908163265306123</v>
      </c>
      <c r="T76" s="6" t="n">
        <v>0.03826530612244898</v>
      </c>
      <c r="U76" s="6" t="n">
        <v>0.14</v>
      </c>
      <c r="V76" s="6" t="n">
        <v>0.58</v>
      </c>
      <c r="W76" s="6" t="n">
        <v>0.446875</v>
      </c>
      <c r="X76" s="6" t="n">
        <v>0.2235477405247813</v>
      </c>
      <c r="Y76" s="3">
        <f>IF(X76="","",IF(X76&gt;='Léeme'!$B$6,"barato",IF(X76&lt;'Léeme'!$B$7,"caro","medio")))</f>
        <v/>
      </c>
      <c r="Z76" s="10" t="n">
        <v>0.1001592389576371</v>
      </c>
      <c r="AA76" s="10" t="n">
        <v>0.09231507059523314</v>
      </c>
    </row>
    <row r="77">
      <c r="A77" s="3" t="inlineStr">
        <is>
          <t>2013-T3</t>
        </is>
      </c>
      <c r="B77" s="12" t="n">
        <v>41547</v>
      </c>
      <c r="C77" s="13" t="n">
        <v>39.749999</v>
      </c>
      <c r="D77" s="13" t="n">
        <v>1.96</v>
      </c>
      <c r="E77" s="13" t="n">
        <v>2.184</v>
      </c>
      <c r="F77" s="14" t="n">
        <v>0.0264</v>
      </c>
      <c r="G77" s="14" t="n">
        <v>0.01538809488600279</v>
      </c>
      <c r="H77" s="14" t="n">
        <v>0.0537</v>
      </c>
      <c r="I77" s="15">
        <f>IFERROR(C77/D77,"")</f>
        <v/>
      </c>
      <c r="J77" s="8">
        <f>IFERROR(D77/C77,"")</f>
        <v/>
      </c>
      <c r="K77" s="8">
        <f>IFERROR(E77/C77,"")</f>
        <v/>
      </c>
      <c r="L77" s="8">
        <f>IFERROR(F77-G77,"")</f>
        <v/>
      </c>
      <c r="M77" s="8">
        <f>IFERROR(J77-F77,"")</f>
        <v/>
      </c>
      <c r="N77" s="8">
        <f>IFERROR(J77-L77,"")</f>
        <v/>
      </c>
      <c r="O77" s="8">
        <f>IFERROR(J77-H77,"")</f>
        <v/>
      </c>
      <c r="P77" s="8">
        <f>IFERROR(K77-F77,"")</f>
        <v/>
      </c>
      <c r="Q77" s="6" t="n">
        <v>0.0678391959798995</v>
      </c>
      <c r="R77" s="6" t="n">
        <v>0.2989949748743719</v>
      </c>
      <c r="S77" s="6" t="n">
        <v>0.1231155778894472</v>
      </c>
      <c r="T77" s="6" t="n">
        <v>0.1080402010050251</v>
      </c>
      <c r="U77" s="6" t="n">
        <v>0.2171052631578947</v>
      </c>
      <c r="V77" s="6" t="n">
        <v>0.6732456140350878</v>
      </c>
      <c r="W77" s="6" t="n">
        <v>0.6104294478527608</v>
      </c>
      <c r="X77" s="6" t="n">
        <v>0.299824324970641</v>
      </c>
      <c r="Y77" s="3">
        <f>IF(X77="","",IF(X77&gt;='Léeme'!$B$6,"barato",IF(X77&lt;'Léeme'!$B$7,"caro","medio")))</f>
        <v/>
      </c>
      <c r="Z77" s="10" t="n">
        <v>0.06984482968526651</v>
      </c>
      <c r="AA77" s="10" t="n">
        <v>0.1147639067266002</v>
      </c>
    </row>
    <row r="78">
      <c r="A78" s="3" t="inlineStr">
        <is>
          <t>2013-T4</t>
        </is>
      </c>
      <c r="B78" s="12" t="n">
        <v>41639</v>
      </c>
      <c r="C78" s="13" t="n">
        <v>37.330001</v>
      </c>
      <c r="D78" s="13" t="n">
        <v>1.96</v>
      </c>
      <c r="E78" s="13" t="n">
        <v>2.184</v>
      </c>
      <c r="F78" s="14" t="n">
        <v>0.0304</v>
      </c>
      <c r="G78" s="14" t="n">
        <v>0.01232870196195446</v>
      </c>
      <c r="H78" s="14" t="n">
        <v>0.0534</v>
      </c>
      <c r="I78" s="15">
        <f>IFERROR(C78/D78,"")</f>
        <v/>
      </c>
      <c r="J78" s="8">
        <f>IFERROR(D78/C78,"")</f>
        <v/>
      </c>
      <c r="K78" s="8">
        <f>IFERROR(E78/C78,"")</f>
        <v/>
      </c>
      <c r="L78" s="8">
        <f>IFERROR(F78-G78,"")</f>
        <v/>
      </c>
      <c r="M78" s="8">
        <f>IFERROR(J78-F78,"")</f>
        <v/>
      </c>
      <c r="N78" s="8">
        <f>IFERROR(J78-L78,"")</f>
        <v/>
      </c>
      <c r="O78" s="8">
        <f>IFERROR(J78-H78,"")</f>
        <v/>
      </c>
      <c r="P78" s="8">
        <f>IFERROR(K78-F78,"")</f>
        <v/>
      </c>
      <c r="Q78" s="6" t="n">
        <v>0.1361386138613861</v>
      </c>
      <c r="R78" s="6" t="n">
        <v>0.2797029702970297</v>
      </c>
      <c r="S78" s="6" t="n">
        <v>0.07673267326732673</v>
      </c>
      <c r="T78" s="6" t="n">
        <v>0.2698019801980198</v>
      </c>
      <c r="U78" s="6" t="n">
        <v>0.3225108225108225</v>
      </c>
      <c r="V78" s="6" t="n">
        <v>0.6515151515151515</v>
      </c>
      <c r="W78" s="6" t="n">
        <v>0.7379518072289156</v>
      </c>
      <c r="X78" s="6" t="n">
        <v>0.3534791455540932</v>
      </c>
      <c r="Y78" s="3">
        <f>IF(X78="","",IF(X78&gt;='Léeme'!$B$6,"barato",IF(X78&lt;'Léeme'!$B$7,"caro","medio")))</f>
        <v/>
      </c>
      <c r="Z78" s="10" t="n">
        <v>0.3300710216741762</v>
      </c>
      <c r="AA78" s="10" t="n">
        <v>0.1516741254228953</v>
      </c>
    </row>
    <row r="79">
      <c r="A79" s="3" t="inlineStr">
        <is>
          <t>2014-T1</t>
        </is>
      </c>
      <c r="B79" s="12" t="n">
        <v>41729</v>
      </c>
      <c r="C79" s="13" t="n">
        <v>40.859998</v>
      </c>
      <c r="D79" s="13" t="n">
        <v>2.34</v>
      </c>
      <c r="E79" s="13" t="n">
        <v>2.184</v>
      </c>
      <c r="F79" s="14" t="n">
        <v>0.0273</v>
      </c>
      <c r="G79" s="14" t="n">
        <v>0.01120474634772495</v>
      </c>
      <c r="H79" s="14" t="n">
        <v>0.0498</v>
      </c>
      <c r="I79" s="15">
        <f>IFERROR(C79/D79,"")</f>
        <v/>
      </c>
      <c r="J79" s="8">
        <f>IFERROR(D79/C79,"")</f>
        <v/>
      </c>
      <c r="K79" s="8">
        <f>IFERROR(E79/C79,"")</f>
        <v/>
      </c>
      <c r="L79" s="8">
        <f>IFERROR(F79-G79,"")</f>
        <v/>
      </c>
      <c r="M79" s="8">
        <f>IFERROR(J79-F79,"")</f>
        <v/>
      </c>
      <c r="N79" s="8">
        <f>IFERROR(J79-L79,"")</f>
        <v/>
      </c>
      <c r="O79" s="8">
        <f>IFERROR(J79-H79,"")</f>
        <v/>
      </c>
      <c r="P79" s="8">
        <f>IFERROR(K79-F79,"")</f>
        <v/>
      </c>
      <c r="Q79" s="6" t="n">
        <v>0.2219512195121951</v>
      </c>
      <c r="R79" s="6" t="n">
        <v>0.5097560975609756</v>
      </c>
      <c r="S79" s="6" t="n">
        <v>0.2073170731707317</v>
      </c>
      <c r="T79" s="6" t="n">
        <v>0.6951219512195121</v>
      </c>
      <c r="U79" s="6" t="n">
        <v>0.1816239316239316</v>
      </c>
      <c r="V79" s="6" t="n">
        <v>0.532051282051282</v>
      </c>
      <c r="W79" s="6" t="n">
        <v>0.8254437869822485</v>
      </c>
      <c r="X79" s="6" t="n">
        <v>0.4533236203029824</v>
      </c>
      <c r="Y79" s="3">
        <f>IF(X79="","",IF(X79&gt;='Léeme'!$B$6,"barato",IF(X79&lt;'Léeme'!$B$7,"caro","medio")))</f>
        <v/>
      </c>
      <c r="Z79" s="10" t="n">
        <v>0.3120145425676943</v>
      </c>
      <c r="AA79" s="10" t="n">
        <v>0.1658731114773069</v>
      </c>
    </row>
    <row r="80">
      <c r="A80" s="3" t="inlineStr">
        <is>
          <t>2014-T2</t>
        </is>
      </c>
      <c r="B80" s="12" t="n">
        <v>41820</v>
      </c>
      <c r="C80" s="13" t="n">
        <v>44.420001</v>
      </c>
      <c r="D80" s="13" t="n">
        <v>2.34</v>
      </c>
      <c r="E80" s="13" t="n">
        <v>2.196</v>
      </c>
      <c r="F80" s="14" t="n">
        <v>0.0253</v>
      </c>
      <c r="G80" s="14" t="n">
        <v>0.02166947687079812</v>
      </c>
      <c r="H80" s="14" t="n">
        <v>0.0474</v>
      </c>
      <c r="I80" s="15">
        <f>IFERROR(C80/D80,"")</f>
        <v/>
      </c>
      <c r="J80" s="8">
        <f>IFERROR(D80/C80,"")</f>
        <v/>
      </c>
      <c r="K80" s="8">
        <f>IFERROR(E80/C80,"")</f>
        <v/>
      </c>
      <c r="L80" s="8">
        <f>IFERROR(F80-G80,"")</f>
        <v/>
      </c>
      <c r="M80" s="8">
        <f>IFERROR(J80-F80,"")</f>
        <v/>
      </c>
      <c r="N80" s="8">
        <f>IFERROR(J80-L80,"")</f>
        <v/>
      </c>
      <c r="O80" s="8">
        <f>IFERROR(J80-H80,"")</f>
        <v/>
      </c>
      <c r="P80" s="8">
        <f>IFERROR(K80-F80,"")</f>
        <v/>
      </c>
      <c r="Q80" s="6" t="n">
        <v>0.1490384615384615</v>
      </c>
      <c r="R80" s="6" t="n">
        <v>0.4543269230769231</v>
      </c>
      <c r="S80" s="6" t="n">
        <v>0.4206730769230769</v>
      </c>
      <c r="T80" s="6" t="n">
        <v>0.6225961538461539</v>
      </c>
      <c r="U80" s="6" t="n">
        <v>0.08649789029535865</v>
      </c>
      <c r="V80" s="6" t="n">
        <v>0.4578059071729958</v>
      </c>
      <c r="W80" s="6" t="n">
        <v>0.7470930232558139</v>
      </c>
      <c r="X80" s="6" t="n">
        <v>0.419718776586969</v>
      </c>
      <c r="Y80" s="3">
        <f>IF(X80="","",IF(X80&gt;='Léeme'!$B$6,"barato",IF(X80&lt;'Léeme'!$B$7,"caro","medio")))</f>
        <v/>
      </c>
      <c r="Z80" s="10" t="n">
        <v>0.03810889052937738</v>
      </c>
      <c r="AA80" s="10" t="n">
        <v>0.1313734804742026</v>
      </c>
    </row>
    <row r="81">
      <c r="A81" s="3" t="inlineStr">
        <is>
          <t>2014-T3</t>
        </is>
      </c>
      <c r="B81" s="12" t="n">
        <v>41912</v>
      </c>
      <c r="C81" s="13" t="n">
        <v>40.789998</v>
      </c>
      <c r="D81" s="13" t="n">
        <v>2.34</v>
      </c>
      <c r="E81" s="13" t="n">
        <v>2.196</v>
      </c>
      <c r="F81" s="14" t="n">
        <v>0.0252</v>
      </c>
      <c r="G81" s="14" t="n">
        <v>0.01715098348296906</v>
      </c>
      <c r="H81" s="14" t="n">
        <v>0.04769999999999999</v>
      </c>
      <c r="I81" s="15">
        <f>IFERROR(C81/D81,"")</f>
        <v/>
      </c>
      <c r="J81" s="8">
        <f>IFERROR(D81/C81,"")</f>
        <v/>
      </c>
      <c r="K81" s="8">
        <f>IFERROR(E81/C81,"")</f>
        <v/>
      </c>
      <c r="L81" s="8">
        <f>IFERROR(F81-G81,"")</f>
        <v/>
      </c>
      <c r="M81" s="8">
        <f>IFERROR(J81-F81,"")</f>
        <v/>
      </c>
      <c r="N81" s="8">
        <f>IFERROR(J81-L81,"")</f>
        <v/>
      </c>
      <c r="O81" s="8">
        <f>IFERROR(J81-H81,"")</f>
        <v/>
      </c>
      <c r="P81" s="8">
        <f>IFERROR(K81-F81,"")</f>
        <v/>
      </c>
      <c r="Q81" s="6" t="n">
        <v>0.2488151658767772</v>
      </c>
      <c r="R81" s="6" t="n">
        <v>0.590047393364929</v>
      </c>
      <c r="S81" s="6" t="n">
        <v>0.433649289099526</v>
      </c>
      <c r="T81" s="6" t="n">
        <v>0.7559241706161137</v>
      </c>
      <c r="U81" s="6" t="n">
        <v>0.2145833333333333</v>
      </c>
      <c r="V81" s="6" t="n">
        <v>0.69375</v>
      </c>
      <c r="W81" s="6" t="n">
        <v>0.8371428571428572</v>
      </c>
      <c r="X81" s="6" t="n">
        <v>0.5391303156333623</v>
      </c>
      <c r="Y81" s="3">
        <f>IF(X81="","",IF(X81&gt;='Léeme'!$B$6,"barato",IF(X81&lt;'Léeme'!$B$7,"caro","medio")))</f>
        <v/>
      </c>
      <c r="Z81" s="10" t="n">
        <v>0.2063277290797529</v>
      </c>
      <c r="AA81" s="10" t="n">
        <v>0.1748326225488583</v>
      </c>
    </row>
    <row r="82">
      <c r="A82" s="3" t="inlineStr">
        <is>
          <t>2014-T4</t>
        </is>
      </c>
      <c r="B82" s="12" t="n">
        <v>42004</v>
      </c>
      <c r="C82" s="13" t="n">
        <v>47.710001</v>
      </c>
      <c r="D82" s="13" t="n">
        <v>2.34</v>
      </c>
      <c r="E82" s="13" t="n">
        <v>2.196</v>
      </c>
      <c r="F82" s="14" t="n">
        <v>0.0217</v>
      </c>
      <c r="G82" s="14" t="n">
        <v>0.01231524989320798</v>
      </c>
      <c r="H82" s="14" t="n">
        <v>0.0469</v>
      </c>
      <c r="I82" s="15">
        <f>IFERROR(C82/D82,"")</f>
        <v/>
      </c>
      <c r="J82" s="8">
        <f>IFERROR(D82/C82,"")</f>
        <v/>
      </c>
      <c r="K82" s="8">
        <f>IFERROR(E82/C82,"")</f>
        <v/>
      </c>
      <c r="L82" s="8">
        <f>IFERROR(F82-G82,"")</f>
        <v/>
      </c>
      <c r="M82" s="8">
        <f>IFERROR(J82-F82,"")</f>
        <v/>
      </c>
      <c r="N82" s="8">
        <f>IFERROR(J82-L82,"")</f>
        <v/>
      </c>
      <c r="O82" s="8">
        <f>IFERROR(J82-H82,"")</f>
        <v/>
      </c>
      <c r="P82" s="8">
        <f>IFERROR(K82-F82,"")</f>
        <v/>
      </c>
      <c r="Q82" s="6" t="n">
        <v>0.06775700934579439</v>
      </c>
      <c r="R82" s="6" t="n">
        <v>0.441588785046729</v>
      </c>
      <c r="S82" s="6" t="n">
        <v>0.1705607476635514</v>
      </c>
      <c r="T82" s="6" t="n">
        <v>0.3995327102803738</v>
      </c>
      <c r="U82" s="6" t="n">
        <v>0.04320987654320987</v>
      </c>
      <c r="V82" s="6" t="n">
        <v>0.4588477366255144</v>
      </c>
      <c r="W82" s="6" t="n">
        <v>0.6432584269662921</v>
      </c>
      <c r="X82" s="6" t="n">
        <v>0.3178221846387807</v>
      </c>
      <c r="Y82" s="3">
        <f>IF(X82="","",IF(X82&gt;='Léeme'!$B$6,"barato",IF(X82&lt;'Léeme'!$B$7,"caro","medio")))</f>
        <v/>
      </c>
      <c r="Z82" s="10" t="n">
        <v>0.1233872500957502</v>
      </c>
      <c r="AA82" s="10" t="n">
        <v>0.1288768565946476</v>
      </c>
    </row>
    <row r="83">
      <c r="A83" s="3" t="inlineStr">
        <is>
          <t>2015-T1</t>
        </is>
      </c>
      <c r="B83" s="12" t="n">
        <v>42094</v>
      </c>
      <c r="C83" s="13" t="n">
        <v>51.6</v>
      </c>
      <c r="D83" s="13" t="n">
        <v>2.58</v>
      </c>
      <c r="E83" s="13" t="n">
        <v>2.28</v>
      </c>
      <c r="F83" s="14" t="n">
        <v>0.0194</v>
      </c>
      <c r="G83" s="14" t="n">
        <v>-0.0008703146293520536</v>
      </c>
      <c r="H83" s="14" t="n">
        <v>0.0451</v>
      </c>
      <c r="I83" s="15">
        <f>IFERROR(C83/D83,"")</f>
        <v/>
      </c>
      <c r="J83" s="8">
        <f>IFERROR(D83/C83,"")</f>
        <v/>
      </c>
      <c r="K83" s="8">
        <f>IFERROR(E83/C83,"")</f>
        <v/>
      </c>
      <c r="L83" s="8">
        <f>IFERROR(F83-G83,"")</f>
        <v/>
      </c>
      <c r="M83" s="8">
        <f>IFERROR(J83-F83,"")</f>
        <v/>
      </c>
      <c r="N83" s="8">
        <f>IFERROR(J83-L83,"")</f>
        <v/>
      </c>
      <c r="O83" s="8">
        <f>IFERROR(J83-H83,"")</f>
        <v/>
      </c>
      <c r="P83" s="8">
        <f>IFERROR(K83-F83,"")</f>
        <v/>
      </c>
      <c r="Q83" s="6" t="n">
        <v>0.08986175115207373</v>
      </c>
      <c r="R83" s="6" t="n">
        <v>0.5368663594470046</v>
      </c>
      <c r="S83" s="6" t="n">
        <v>0.02073732718894009</v>
      </c>
      <c r="T83" s="6" t="n">
        <v>0.5921658986175116</v>
      </c>
      <c r="U83" s="6" t="n">
        <v>0.02235772357723577</v>
      </c>
      <c r="V83" s="6" t="n">
        <v>0.4776422764227642</v>
      </c>
      <c r="W83" s="6" t="n">
        <v>0.6823204419889503</v>
      </c>
      <c r="X83" s="6" t="n">
        <v>0.3459931111992114</v>
      </c>
      <c r="Y83" s="3">
        <f>IF(X83="","",IF(X83&gt;='Léeme'!$B$6,"barato",IF(X83&lt;'Léeme'!$B$7,"caro","medio")))</f>
        <v/>
      </c>
      <c r="Z83" s="10" t="n">
        <v>0.2568983712584465</v>
      </c>
      <c r="AA83" s="10" t="n">
        <v>0.02795777556645862</v>
      </c>
    </row>
    <row r="84">
      <c r="A84" s="3" t="inlineStr">
        <is>
          <t>2015-T2</t>
        </is>
      </c>
      <c r="B84" s="12" t="n">
        <v>42185</v>
      </c>
      <c r="C84" s="13" t="n">
        <v>44.389999</v>
      </c>
      <c r="D84" s="13" t="n">
        <v>2.58</v>
      </c>
      <c r="E84" s="13" t="n">
        <v>2.28</v>
      </c>
      <c r="F84" s="14" t="n">
        <v>0.0235</v>
      </c>
      <c r="G84" s="14" t="n">
        <v>0.0003503321824429584</v>
      </c>
      <c r="H84" s="14" t="n">
        <v>0.0517</v>
      </c>
      <c r="I84" s="15">
        <f>IFERROR(C84/D84,"")</f>
        <v/>
      </c>
      <c r="J84" s="8">
        <f>IFERROR(D84/C84,"")</f>
        <v/>
      </c>
      <c r="K84" s="8">
        <f>IFERROR(E84/C84,"")</f>
        <v/>
      </c>
      <c r="L84" s="8">
        <f>IFERROR(F84-G84,"")</f>
        <v/>
      </c>
      <c r="M84" s="8">
        <f>IFERROR(J84-F84,"")</f>
        <v/>
      </c>
      <c r="N84" s="8">
        <f>IFERROR(J84-L84,"")</f>
        <v/>
      </c>
      <c r="O84" s="8">
        <f>IFERROR(J84-H84,"")</f>
        <v/>
      </c>
      <c r="P84" s="8">
        <f>IFERROR(K84-F84,"")</f>
        <v/>
      </c>
      <c r="Q84" s="6" t="n">
        <v>0.2840909090909091</v>
      </c>
      <c r="R84" s="6" t="n">
        <v>0.6659090909090909</v>
      </c>
      <c r="S84" s="6" t="n">
        <v>0.1022727272727273</v>
      </c>
      <c r="T84" s="6" t="n">
        <v>0.6477272727272727</v>
      </c>
      <c r="U84" s="6" t="n">
        <v>0.1746987951807229</v>
      </c>
      <c r="V84" s="6" t="n">
        <v>0.6526104417670683</v>
      </c>
      <c r="W84" s="6" t="n">
        <v>0.8777173913043478</v>
      </c>
      <c r="X84" s="6" t="n">
        <v>0.4864323754645912</v>
      </c>
      <c r="Y84" s="3">
        <f>IF(X84="","",IF(X84&gt;='Léeme'!$B$6,"barato",IF(X84&lt;'Léeme'!$B$7,"caro","medio")))</f>
        <v/>
      </c>
      <c r="Z84" s="10" t="n">
        <v>0.6175472791909942</v>
      </c>
      <c r="AA84" s="10" t="n">
        <v>0.09749240441884366</v>
      </c>
    </row>
    <row r="85">
      <c r="A85" s="3" t="inlineStr">
        <is>
          <t>2015-T3</t>
        </is>
      </c>
      <c r="B85" s="12" t="n">
        <v>42277</v>
      </c>
      <c r="C85" s="13" t="n">
        <v>47.390001</v>
      </c>
      <c r="D85" s="13" t="n">
        <v>2.58</v>
      </c>
      <c r="E85" s="13" t="n">
        <v>2.292</v>
      </c>
      <c r="F85" s="14" t="n">
        <v>0.0206</v>
      </c>
      <c r="G85" s="14" t="n">
        <v>0.002413037985344868</v>
      </c>
      <c r="H85" s="14" t="n">
        <v>0.05309999999999999</v>
      </c>
      <c r="I85" s="15">
        <f>IFERROR(C85/D85,"")</f>
        <v/>
      </c>
      <c r="J85" s="8">
        <f>IFERROR(D85/C85,"")</f>
        <v/>
      </c>
      <c r="K85" s="8">
        <f>IFERROR(E85/C85,"")</f>
        <v/>
      </c>
      <c r="L85" s="8">
        <f>IFERROR(F85-G85,"")</f>
        <v/>
      </c>
      <c r="M85" s="8">
        <f>IFERROR(J85-F85,"")</f>
        <v/>
      </c>
      <c r="N85" s="8">
        <f>IFERROR(J85-L85,"")</f>
        <v/>
      </c>
      <c r="O85" s="8">
        <f>IFERROR(J85-H85,"")</f>
        <v/>
      </c>
      <c r="P85" s="8">
        <f>IFERROR(K85-F85,"")</f>
        <v/>
      </c>
      <c r="Q85" s="6" t="n">
        <v>0.2219730941704036</v>
      </c>
      <c r="R85" s="6" t="n">
        <v>0.6345291479820628</v>
      </c>
      <c r="S85" s="6" t="n">
        <v>0.1233183856502242</v>
      </c>
      <c r="T85" s="6" t="n">
        <v>0.352017937219731</v>
      </c>
      <c r="U85" s="6" t="n">
        <v>0.09722222222222222</v>
      </c>
      <c r="V85" s="6" t="n">
        <v>0.6448412698412699</v>
      </c>
      <c r="W85" s="6" t="n">
        <v>0.7887700534759359</v>
      </c>
      <c r="X85" s="6" t="n">
        <v>0.4089531586516927</v>
      </c>
      <c r="Y85" s="3">
        <f>IF(X85="","",IF(X85&gt;='Léeme'!$B$6,"barato",IF(X85&lt;'Léeme'!$B$7,"caro","medio")))</f>
        <v/>
      </c>
      <c r="Z85" s="10" t="n">
        <v>0.4582500833706844</v>
      </c>
      <c r="AA85" s="10" t="n">
        <v>0.08763044185052404</v>
      </c>
    </row>
    <row r="86">
      <c r="A86" s="3" t="inlineStr">
        <is>
          <t>2015-T4</t>
        </is>
      </c>
      <c r="B86" s="12" t="n">
        <v>42369</v>
      </c>
      <c r="C86" s="13" t="n">
        <v>51.630002</v>
      </c>
      <c r="D86" s="13" t="n">
        <v>2.58</v>
      </c>
      <c r="E86" s="13" t="n">
        <v>2.292</v>
      </c>
      <c r="F86" s="14" t="n">
        <v>0.0227</v>
      </c>
      <c r="G86" s="14" t="n">
        <v>0.004363182169185187</v>
      </c>
      <c r="H86" s="14" t="n">
        <v>0.0554</v>
      </c>
      <c r="I86" s="15">
        <f>IFERROR(C86/D86,"")</f>
        <v/>
      </c>
      <c r="J86" s="8">
        <f>IFERROR(D86/C86,"")</f>
        <v/>
      </c>
      <c r="K86" s="8">
        <f>IFERROR(E86/C86,"")</f>
        <v/>
      </c>
      <c r="L86" s="8">
        <f>IFERROR(F86-G86,"")</f>
        <v/>
      </c>
      <c r="M86" s="8">
        <f>IFERROR(J86-F86,"")</f>
        <v/>
      </c>
      <c r="N86" s="8">
        <f>IFERROR(J86-L86,"")</f>
        <v/>
      </c>
      <c r="O86" s="8">
        <f>IFERROR(J86-H86,"")</f>
        <v/>
      </c>
      <c r="P86" s="8">
        <f>IFERROR(K86-F86,"")</f>
        <v/>
      </c>
      <c r="Q86" s="6" t="n">
        <v>0.08628318584070796</v>
      </c>
      <c r="R86" s="6" t="n">
        <v>0.418141592920354</v>
      </c>
      <c r="S86" s="6" t="n">
        <v>0.04646017699115045</v>
      </c>
      <c r="T86" s="6" t="n">
        <v>0.05973451327433629</v>
      </c>
      <c r="U86" s="6" t="n">
        <v>0.02941176470588235</v>
      </c>
      <c r="V86" s="6" t="n">
        <v>0.3666666666666666</v>
      </c>
      <c r="W86" s="6" t="n">
        <v>0.6710526315789473</v>
      </c>
      <c r="X86" s="6" t="n">
        <v>0.239678647425435</v>
      </c>
      <c r="Y86" s="3">
        <f>IF(X86="","",IF(X86&gt;='Léeme'!$B$6,"barato",IF(X86&lt;'Léeme'!$B$7,"caro","medio")))</f>
        <v/>
      </c>
      <c r="Z86" s="10" t="n">
        <v>0.1488263870904969</v>
      </c>
      <c r="AA86" s="10" t="n">
        <v>0.07416713952677623</v>
      </c>
    </row>
    <row r="87">
      <c r="A87" s="3" t="inlineStr">
        <is>
          <t>2016-T1</t>
        </is>
      </c>
      <c r="B87" s="12" t="n">
        <v>42460</v>
      </c>
      <c r="C87" s="13" t="n">
        <v>62.509999</v>
      </c>
      <c r="D87" s="13" t="n">
        <v>2.77</v>
      </c>
      <c r="E87" s="13" t="n">
        <v>2.388</v>
      </c>
      <c r="F87" s="14" t="n">
        <v>0.0178</v>
      </c>
      <c r="G87" s="14" t="n">
        <v>0.008472775790126619</v>
      </c>
      <c r="H87" s="14" t="n">
        <v>0.04940000000000001</v>
      </c>
      <c r="I87" s="15">
        <f>IFERROR(C87/D87,"")</f>
        <v/>
      </c>
      <c r="J87" s="8">
        <f>IFERROR(D87/C87,"")</f>
        <v/>
      </c>
      <c r="K87" s="8">
        <f>IFERROR(E87/C87,"")</f>
        <v/>
      </c>
      <c r="L87" s="8">
        <f>IFERROR(F87-G87,"")</f>
        <v/>
      </c>
      <c r="M87" s="8">
        <f>IFERROR(J87-F87,"")</f>
        <v/>
      </c>
      <c r="N87" s="8">
        <f>IFERROR(J87-L87,"")</f>
        <v/>
      </c>
      <c r="O87" s="8">
        <f>IFERROR(J87-H87,"")</f>
        <v/>
      </c>
      <c r="P87" s="8">
        <f>IFERROR(K87-F87,"")</f>
        <v/>
      </c>
      <c r="Q87" s="6" t="n">
        <v>0.0240174672489083</v>
      </c>
      <c r="R87" s="6" t="n">
        <v>0.3908296943231441</v>
      </c>
      <c r="S87" s="6" t="n">
        <v>0.1244541484716157</v>
      </c>
      <c r="T87" s="6" t="n">
        <v>0.09388646288209607</v>
      </c>
      <c r="U87" s="6" t="n">
        <v>0.001937984496124031</v>
      </c>
      <c r="V87" s="6" t="n">
        <v>0.3468992248062016</v>
      </c>
      <c r="W87" s="6" t="n">
        <v>0.4015544041450777</v>
      </c>
      <c r="X87" s="6" t="n">
        <v>0.1976541980533096</v>
      </c>
      <c r="Y87" s="3">
        <f>IF(X87="","",IF(X87&gt;='Léeme'!$B$6,"barato",IF(X87&lt;'Léeme'!$B$7,"caro","medio")))</f>
        <v/>
      </c>
      <c r="Z87" s="10" t="n">
        <v>-0.01708326168342156</v>
      </c>
      <c r="AA87" s="10" t="n">
        <v>0.0384729358354261</v>
      </c>
    </row>
    <row r="88">
      <c r="A88" s="3" t="inlineStr">
        <is>
          <t>2016-T2</t>
        </is>
      </c>
      <c r="B88" s="12" t="n">
        <v>42551</v>
      </c>
      <c r="C88" s="13" t="n">
        <v>69.36000300000001</v>
      </c>
      <c r="D88" s="13" t="n">
        <v>2.77</v>
      </c>
      <c r="E88" s="13" t="n">
        <v>2.4</v>
      </c>
      <c r="F88" s="14" t="n">
        <v>0.0149</v>
      </c>
      <c r="G88" s="14" t="n">
        <v>0.01078476462124622</v>
      </c>
      <c r="H88" s="14" t="n">
        <v>0.044</v>
      </c>
      <c r="I88" s="15">
        <f>IFERROR(C88/D88,"")</f>
        <v/>
      </c>
      <c r="J88" s="8">
        <f>IFERROR(D88/C88,"")</f>
        <v/>
      </c>
      <c r="K88" s="8">
        <f>IFERROR(E88/C88,"")</f>
        <v/>
      </c>
      <c r="L88" s="8">
        <f>IFERROR(F88-G88,"")</f>
        <v/>
      </c>
      <c r="M88" s="8">
        <f>IFERROR(J88-F88,"")</f>
        <v/>
      </c>
      <c r="N88" s="8">
        <f>IFERROR(J88-L88,"")</f>
        <v/>
      </c>
      <c r="O88" s="8">
        <f>IFERROR(J88-H88,"")</f>
        <v/>
      </c>
      <c r="P88" s="8">
        <f>IFERROR(K88-F88,"")</f>
        <v/>
      </c>
      <c r="Q88" s="6" t="n">
        <v>0.00646551724137931</v>
      </c>
      <c r="R88" s="6" t="n">
        <v>0.334051724137931</v>
      </c>
      <c r="S88" s="6" t="n">
        <v>0.1400862068965517</v>
      </c>
      <c r="T88" s="6" t="n">
        <v>0.1314655172413793</v>
      </c>
      <c r="U88" s="6" t="n">
        <v>0.001915708812260536</v>
      </c>
      <c r="V88" s="6" t="n">
        <v>0.3352490421455939</v>
      </c>
      <c r="W88" s="6" t="n">
        <v>0.1505102040816327</v>
      </c>
      <c r="X88" s="6" t="n">
        <v>0.1571062743652469</v>
      </c>
      <c r="Y88" s="3">
        <f>IF(X88="","",IF(X88&gt;='Léeme'!$B$6,"barato",IF(X88&lt;'Léeme'!$B$7,"caro","medio")))</f>
        <v/>
      </c>
      <c r="Z88" s="10" t="n">
        <v>-0.1778401484861938</v>
      </c>
      <c r="AA88" s="10" t="n">
        <v>0.0274006410335097</v>
      </c>
    </row>
    <row r="89">
      <c r="A89" s="3" t="inlineStr">
        <is>
          <t>2016-T3</t>
        </is>
      </c>
      <c r="B89" s="12" t="n">
        <v>42643</v>
      </c>
      <c r="C89" s="13" t="n">
        <v>66.930001</v>
      </c>
      <c r="D89" s="13" t="n">
        <v>2.77</v>
      </c>
      <c r="E89" s="13" t="n">
        <v>2.424</v>
      </c>
      <c r="F89" s="14" t="n">
        <v>0.016</v>
      </c>
      <c r="G89" s="14" t="n">
        <v>0.01055315859565686</v>
      </c>
      <c r="H89" s="14" t="n">
        <v>0.0423</v>
      </c>
      <c r="I89" s="15">
        <f>IFERROR(C89/D89,"")</f>
        <v/>
      </c>
      <c r="J89" s="8">
        <f>IFERROR(D89/C89,"")</f>
        <v/>
      </c>
      <c r="K89" s="8">
        <f>IFERROR(E89/C89,"")</f>
        <v/>
      </c>
      <c r="L89" s="8">
        <f>IFERROR(F89-G89,"")</f>
        <v/>
      </c>
      <c r="M89" s="8">
        <f>IFERROR(J89-F89,"")</f>
        <v/>
      </c>
      <c r="N89" s="8">
        <f>IFERROR(J89-L89,"")</f>
        <v/>
      </c>
      <c r="O89" s="8">
        <f>IFERROR(J89-H89,"")</f>
        <v/>
      </c>
      <c r="P89" s="8">
        <f>IFERROR(K89-F89,"")</f>
        <v/>
      </c>
      <c r="Q89" s="6" t="n">
        <v>0.0148936170212766</v>
      </c>
      <c r="R89" s="6" t="n">
        <v>0.351063829787234</v>
      </c>
      <c r="S89" s="6" t="n">
        <v>0.151063829787234</v>
      </c>
      <c r="T89" s="6" t="n">
        <v>0.2702127659574468</v>
      </c>
      <c r="U89" s="6" t="n">
        <v>0.00946969696969697</v>
      </c>
      <c r="V89" s="6" t="n">
        <v>0.3428030303030303</v>
      </c>
      <c r="W89" s="6" t="n">
        <v>0.278894472361809</v>
      </c>
      <c r="X89" s="6" t="n">
        <v>0.2026287488839611</v>
      </c>
      <c r="Y89" s="3">
        <f>IF(X89="","",IF(X89&gt;='Léeme'!$B$6,"barato",IF(X89&lt;'Léeme'!$B$7,"caro","medio")))</f>
        <v/>
      </c>
      <c r="Z89" s="10" t="n">
        <v>-0.1153799654482195</v>
      </c>
      <c r="AA89" s="10" t="n">
        <v>0.02908169610331779</v>
      </c>
    </row>
    <row r="90">
      <c r="A90" s="3" t="inlineStr">
        <is>
          <t>2016-T4</t>
        </is>
      </c>
      <c r="B90" s="12" t="n">
        <v>42734</v>
      </c>
      <c r="C90" s="13" t="n">
        <v>57.479999</v>
      </c>
      <c r="D90" s="13" t="n">
        <v>2.77</v>
      </c>
      <c r="E90" s="13" t="n">
        <v>2.436</v>
      </c>
      <c r="F90" s="14" t="n">
        <v>0.0245</v>
      </c>
      <c r="G90" s="14" t="n">
        <v>0.01684333471978894</v>
      </c>
      <c r="H90" s="14" t="n">
        <v>0.0476</v>
      </c>
      <c r="I90" s="15">
        <f>IFERROR(C90/D90,"")</f>
        <v/>
      </c>
      <c r="J90" s="8">
        <f>IFERROR(D90/C90,"")</f>
        <v/>
      </c>
      <c r="K90" s="8">
        <f>IFERROR(E90/C90,"")</f>
        <v/>
      </c>
      <c r="L90" s="8">
        <f>IFERROR(F90-G90,"")</f>
        <v/>
      </c>
      <c r="M90" s="8">
        <f>IFERROR(J90-F90,"")</f>
        <v/>
      </c>
      <c r="N90" s="8">
        <f>IFERROR(J90-L90,"")</f>
        <v/>
      </c>
      <c r="O90" s="8">
        <f>IFERROR(J90-H90,"")</f>
        <v/>
      </c>
      <c r="P90" s="8">
        <f>IFERROR(K90-F90,"")</f>
        <v/>
      </c>
      <c r="Q90" s="6" t="n">
        <v>0.09873949579831932</v>
      </c>
      <c r="R90" s="6" t="n">
        <v>0.2836134453781513</v>
      </c>
      <c r="S90" s="6" t="n">
        <v>0.25</v>
      </c>
      <c r="T90" s="6" t="n">
        <v>0.3256302521008403</v>
      </c>
      <c r="U90" s="6" t="n">
        <v>0.04307116104868914</v>
      </c>
      <c r="V90" s="6" t="n">
        <v>0.3052434456928839</v>
      </c>
      <c r="W90" s="6" t="n">
        <v>0.6658415841584159</v>
      </c>
      <c r="X90" s="6" t="n">
        <v>0.2817341977396142</v>
      </c>
      <c r="Y90" s="3">
        <f>IF(X90="","",IF(X90&gt;='Léeme'!$B$6,"barato",IF(X90&lt;'Léeme'!$B$7,"caro","medio")))</f>
        <v/>
      </c>
      <c r="Z90" s="10" t="n">
        <v>0.02775069799669483</v>
      </c>
      <c r="AA90" s="10" t="n">
        <v>0.08922165111985536</v>
      </c>
    </row>
    <row r="91">
      <c r="A91" s="3" t="inlineStr">
        <is>
          <t>2017-T1</t>
        </is>
      </c>
      <c r="B91" s="12" t="n">
        <v>42825</v>
      </c>
      <c r="C91" s="13" t="n">
        <v>59.53</v>
      </c>
      <c r="D91" s="13" t="n">
        <v>2.88</v>
      </c>
      <c r="E91" s="13" t="n">
        <v>2.532</v>
      </c>
      <c r="F91" s="14" t="n">
        <v>0.024</v>
      </c>
      <c r="G91" s="14" t="n">
        <v>0.02810361681329421</v>
      </c>
      <c r="H91" s="14" t="n">
        <v>0.04650000000000001</v>
      </c>
      <c r="I91" s="15">
        <f>IFERROR(C91/D91,"")</f>
        <v/>
      </c>
      <c r="J91" s="8">
        <f>IFERROR(D91/C91,"")</f>
        <v/>
      </c>
      <c r="K91" s="8">
        <f>IFERROR(E91/C91,"")</f>
        <v/>
      </c>
      <c r="L91" s="8">
        <f>IFERROR(F91-G91,"")</f>
        <v/>
      </c>
      <c r="M91" s="8">
        <f>IFERROR(J91-F91,"")</f>
        <v/>
      </c>
      <c r="N91" s="8">
        <f>IFERROR(J91-L91,"")</f>
        <v/>
      </c>
      <c r="O91" s="8">
        <f>IFERROR(J91-H91,"")</f>
        <v/>
      </c>
      <c r="P91" s="8">
        <f>IFERROR(K91-F91,"")</f>
        <v/>
      </c>
      <c r="Q91" s="6" t="n">
        <v>0.1099585062240664</v>
      </c>
      <c r="R91" s="6" t="n">
        <v>0.3174273858921162</v>
      </c>
      <c r="S91" s="6" t="n">
        <v>0.5622406639004149</v>
      </c>
      <c r="T91" s="6" t="n">
        <v>0.4170124481327801</v>
      </c>
      <c r="U91" s="6" t="n">
        <v>0.05740740740740741</v>
      </c>
      <c r="V91" s="6" t="n">
        <v>0.3240740740740741</v>
      </c>
      <c r="W91" s="6" t="n">
        <v>0.7048780487804878</v>
      </c>
      <c r="X91" s="6" t="n">
        <v>0.3561426477730496</v>
      </c>
      <c r="Y91" s="3">
        <f>IF(X91="","",IF(X91&gt;='Léeme'!$B$6,"barato",IF(X91&lt;'Léeme'!$B$7,"caro","medio")))</f>
        <v/>
      </c>
      <c r="Z91" s="10" t="n">
        <v>-0.09802369948392919</v>
      </c>
      <c r="AA91" s="10" t="n">
        <v>0.07430328834743483</v>
      </c>
    </row>
    <row r="92">
      <c r="A92" s="3" t="inlineStr">
        <is>
          <t>2017-T2</t>
        </is>
      </c>
      <c r="B92" s="12" t="n">
        <v>42916</v>
      </c>
      <c r="C92" s="13" t="n">
        <v>55.179998</v>
      </c>
      <c r="D92" s="13" t="n">
        <v>2.88</v>
      </c>
      <c r="E92" s="13" t="n">
        <v>2.544</v>
      </c>
      <c r="F92" s="14" t="n">
        <v>0.0231</v>
      </c>
      <c r="G92" s="14" t="n">
        <v>0.01856343166761976</v>
      </c>
      <c r="H92" s="14" t="n">
        <v>0.0438</v>
      </c>
      <c r="I92" s="15">
        <f>IFERROR(C92/D92,"")</f>
        <v/>
      </c>
      <c r="J92" s="8">
        <f>IFERROR(D92/C92,"")</f>
        <v/>
      </c>
      <c r="K92" s="8">
        <f>IFERROR(E92/C92,"")</f>
        <v/>
      </c>
      <c r="L92" s="8">
        <f>IFERROR(F92-G92,"")</f>
        <v/>
      </c>
      <c r="M92" s="8">
        <f>IFERROR(J92-F92,"")</f>
        <v/>
      </c>
      <c r="N92" s="8">
        <f>IFERROR(J92-L92,"")</f>
        <v/>
      </c>
      <c r="O92" s="8">
        <f>IFERROR(J92-H92,"")</f>
        <v/>
      </c>
      <c r="P92" s="8">
        <f>IFERROR(K92-F92,"")</f>
        <v/>
      </c>
      <c r="Q92" s="6" t="n">
        <v>0.2110655737704918</v>
      </c>
      <c r="R92" s="6" t="n">
        <v>0.5102459016393442</v>
      </c>
      <c r="S92" s="6" t="n">
        <v>0.444672131147541</v>
      </c>
      <c r="T92" s="6" t="n">
        <v>0.764344262295082</v>
      </c>
      <c r="U92" s="6" t="n">
        <v>0.119047619047619</v>
      </c>
      <c r="V92" s="6" t="n">
        <v>0.4267399267399267</v>
      </c>
      <c r="W92" s="6" t="n">
        <v>0.8052884615384616</v>
      </c>
      <c r="X92" s="6" t="n">
        <v>0.4687719823112095</v>
      </c>
      <c r="Y92" s="3">
        <f>IF(X92="","",IF(X92&gt;='Léeme'!$B$6,"barato",IF(X92&lt;'Léeme'!$B$7,"caro","medio")))</f>
        <v/>
      </c>
      <c r="Z92" s="10" t="n">
        <v>0.01295115557311721</v>
      </c>
      <c r="AA92" s="10" t="n">
        <v>0.08737309990745135</v>
      </c>
    </row>
    <row r="93">
      <c r="A93" s="3" t="inlineStr">
        <is>
          <t>2017-T3</t>
        </is>
      </c>
      <c r="B93" s="12" t="n">
        <v>43007</v>
      </c>
      <c r="C93" s="13" t="n">
        <v>57.190001</v>
      </c>
      <c r="D93" s="13" t="n">
        <v>2.88</v>
      </c>
      <c r="E93" s="13" t="n">
        <v>2.544</v>
      </c>
      <c r="F93" s="14" t="n">
        <v>0.0233</v>
      </c>
      <c r="G93" s="14" t="n">
        <v>0.0192812155729698</v>
      </c>
      <c r="H93" s="14" t="n">
        <v>0.0436</v>
      </c>
      <c r="I93" s="15">
        <f>IFERROR(C93/D93,"")</f>
        <v/>
      </c>
      <c r="J93" s="8">
        <f>IFERROR(D93/C93,"")</f>
        <v/>
      </c>
      <c r="K93" s="8">
        <f>IFERROR(E93/C93,"")</f>
        <v/>
      </c>
      <c r="L93" s="8">
        <f>IFERROR(F93-G93,"")</f>
        <v/>
      </c>
      <c r="M93" s="8">
        <f>IFERROR(J93-F93,"")</f>
        <v/>
      </c>
      <c r="N93" s="8">
        <f>IFERROR(J93-L93,"")</f>
        <v/>
      </c>
      <c r="O93" s="8">
        <f>IFERROR(J93-H93,"")</f>
        <v/>
      </c>
      <c r="P93" s="8">
        <f>IFERROR(K93-F93,"")</f>
        <v/>
      </c>
      <c r="Q93" s="6" t="n">
        <v>0.1639676113360324</v>
      </c>
      <c r="R93" s="6" t="n">
        <v>0.4230769230769231</v>
      </c>
      <c r="S93" s="6" t="n">
        <v>0.4352226720647773</v>
      </c>
      <c r="T93" s="6" t="n">
        <v>0.6902834008097166</v>
      </c>
      <c r="U93" s="6" t="n">
        <v>0.09239130434782608</v>
      </c>
      <c r="V93" s="6" t="n">
        <v>0.3786231884057971</v>
      </c>
      <c r="W93" s="6" t="n">
        <v>0.7464454976303317</v>
      </c>
      <c r="X93" s="6" t="n">
        <v>0.4185729425244863</v>
      </c>
      <c r="Y93" s="3">
        <f>IF(X93="","",IF(X93&gt;='Léeme'!$B$6,"barato",IF(X93&lt;'Léeme'!$B$7,"caro","medio")))</f>
        <v/>
      </c>
      <c r="Z93" s="10" t="n">
        <v>0.03404540889105667</v>
      </c>
      <c r="AA93" s="10" t="n">
        <v>0.04414343091733319</v>
      </c>
    </row>
    <row r="94">
      <c r="A94" s="3" t="inlineStr">
        <is>
          <t>2017-T4</t>
        </is>
      </c>
      <c r="B94" s="12" t="n">
        <v>43098</v>
      </c>
      <c r="C94" s="13" t="n">
        <v>57.02</v>
      </c>
      <c r="D94" s="13" t="n">
        <v>2.88</v>
      </c>
      <c r="E94" s="13" t="n">
        <v>2.556</v>
      </c>
      <c r="F94" s="14" t="n">
        <v>0.024</v>
      </c>
      <c r="G94" s="14" t="n">
        <v>0.02172493864295566</v>
      </c>
      <c r="H94" s="14" t="n">
        <v>0.04190000000000001</v>
      </c>
      <c r="I94" s="15">
        <f>IFERROR(C94/D94,"")</f>
        <v/>
      </c>
      <c r="J94" s="8">
        <f>IFERROR(D94/C94,"")</f>
        <v/>
      </c>
      <c r="K94" s="8">
        <f>IFERROR(E94/C94,"")</f>
        <v/>
      </c>
      <c r="L94" s="8">
        <f>IFERROR(F94-G94,"")</f>
        <v/>
      </c>
      <c r="M94" s="8">
        <f>IFERROR(J94-F94,"")</f>
        <v/>
      </c>
      <c r="N94" s="8">
        <f>IFERROR(J94-L94,"")</f>
        <v/>
      </c>
      <c r="O94" s="8">
        <f>IFERROR(J94-H94,"")</f>
        <v/>
      </c>
      <c r="P94" s="8">
        <f>IFERROR(K94-F94,"")</f>
        <v/>
      </c>
      <c r="Q94" s="6" t="n">
        <v>0.178</v>
      </c>
      <c r="R94" s="6" t="n">
        <v>0.398</v>
      </c>
      <c r="S94" s="6" t="n">
        <v>0.466</v>
      </c>
      <c r="T94" s="6" t="n">
        <v>0.77</v>
      </c>
      <c r="U94" s="6" t="n">
        <v>0.1057347670250896</v>
      </c>
      <c r="V94" s="6" t="n">
        <v>0.3709677419354839</v>
      </c>
      <c r="W94" s="6" t="n">
        <v>0.7266355140186916</v>
      </c>
      <c r="X94" s="6" t="n">
        <v>0.4307625747113236</v>
      </c>
      <c r="Y94" s="3">
        <f>IF(X94="","",IF(X94&gt;='Léeme'!$B$6,"barato",IF(X94&lt;'Léeme'!$B$7,"caro","medio")))</f>
        <v/>
      </c>
      <c r="Z94" s="10" t="n">
        <v>0.1508418715904627</v>
      </c>
      <c r="AA94" s="10" t="n">
        <v>0.06593381031781309</v>
      </c>
    </row>
    <row r="95">
      <c r="A95" s="3" t="inlineStr">
        <is>
          <t>2018-T1</t>
        </is>
      </c>
      <c r="B95" s="12" t="n">
        <v>43188</v>
      </c>
      <c r="C95" s="13" t="n">
        <v>51.73</v>
      </c>
      <c r="D95" s="13" t="n">
        <v>2.82</v>
      </c>
      <c r="E95" s="13" t="n">
        <v>2.64</v>
      </c>
      <c r="F95" s="14" t="n">
        <v>0.0274</v>
      </c>
      <c r="G95" s="14" t="n">
        <v>0.02263468931091861</v>
      </c>
      <c r="H95" s="14" t="n">
        <v>0.0463</v>
      </c>
      <c r="I95" s="15">
        <f>IFERROR(C95/D95,"")</f>
        <v/>
      </c>
      <c r="J95" s="8">
        <f>IFERROR(D95/C95,"")</f>
        <v/>
      </c>
      <c r="K95" s="8">
        <f>IFERROR(E95/C95,"")</f>
        <v/>
      </c>
      <c r="L95" s="8">
        <f>IFERROR(F95-G95,"")</f>
        <v/>
      </c>
      <c r="M95" s="8">
        <f>IFERROR(J95-F95,"")</f>
        <v/>
      </c>
      <c r="N95" s="8">
        <f>IFERROR(J95-L95,"")</f>
        <v/>
      </c>
      <c r="O95" s="8">
        <f>IFERROR(J95-H95,"")</f>
        <v/>
      </c>
      <c r="P95" s="8">
        <f>IFERROR(K95-F95,"")</f>
        <v/>
      </c>
      <c r="Q95" s="6" t="n">
        <v>0.3102766798418972</v>
      </c>
      <c r="R95" s="6" t="n">
        <v>0.4288537549407115</v>
      </c>
      <c r="S95" s="6" t="n">
        <v>0.5237154150197628</v>
      </c>
      <c r="T95" s="6" t="n">
        <v>0.7450592885375494</v>
      </c>
      <c r="U95" s="6" t="n">
        <v>0.2606382978723404</v>
      </c>
      <c r="V95" s="6" t="n">
        <v>0.4627659574468085</v>
      </c>
      <c r="W95" s="6" t="n">
        <v>0.836405529953917</v>
      </c>
      <c r="X95" s="6" t="n">
        <v>0.509673560516141</v>
      </c>
      <c r="Y95" s="3">
        <f>IF(X95="","",IF(X95&gt;='Léeme'!$B$6,"barato",IF(X95&lt;'Léeme'!$B$7,"caro","medio")))</f>
        <v/>
      </c>
      <c r="Z95" s="10" t="n">
        <v>0.4733494377795899</v>
      </c>
      <c r="AA95" s="10" t="n">
        <v>0.07983902195801096</v>
      </c>
    </row>
    <row r="96">
      <c r="A96" s="3" t="inlineStr">
        <is>
          <t>2018-T2</t>
        </is>
      </c>
      <c r="B96" s="12" t="n">
        <v>43280</v>
      </c>
      <c r="C96" s="13" t="n">
        <v>53.79</v>
      </c>
      <c r="D96" s="13" t="n">
        <v>2.82</v>
      </c>
      <c r="E96" s="13" t="n">
        <v>2.64</v>
      </c>
      <c r="F96" s="14" t="n">
        <v>0.0285</v>
      </c>
      <c r="G96" s="14" t="n">
        <v>0.02781921607842497</v>
      </c>
      <c r="H96" s="14" t="n">
        <v>0.0484</v>
      </c>
      <c r="I96" s="15">
        <f>IFERROR(C96/D96,"")</f>
        <v/>
      </c>
      <c r="J96" s="8">
        <f>IFERROR(D96/C96,"")</f>
        <v/>
      </c>
      <c r="K96" s="8">
        <f>IFERROR(E96/C96,"")</f>
        <v/>
      </c>
      <c r="L96" s="8">
        <f>IFERROR(F96-G96,"")</f>
        <v/>
      </c>
      <c r="M96" s="8">
        <f>IFERROR(J96-F96,"")</f>
        <v/>
      </c>
      <c r="N96" s="8">
        <f>IFERROR(J96-L96,"")</f>
        <v/>
      </c>
      <c r="O96" s="8">
        <f>IFERROR(J96-H96,"")</f>
        <v/>
      </c>
      <c r="P96" s="8">
        <f>IFERROR(K96-F96,"")</f>
        <v/>
      </c>
      <c r="Q96" s="6" t="n">
        <v>0.236328125</v>
      </c>
      <c r="R96" s="6" t="n">
        <v>0.279296875</v>
      </c>
      <c r="S96" s="6" t="n">
        <v>0.564453125</v>
      </c>
      <c r="T96" s="6" t="n">
        <v>0.556640625</v>
      </c>
      <c r="U96" s="6" t="n">
        <v>0.1912280701754386</v>
      </c>
      <c r="V96" s="6" t="n">
        <v>0.356140350877193</v>
      </c>
      <c r="W96" s="6" t="n">
        <v>0.7613636363636364</v>
      </c>
      <c r="X96" s="6" t="n">
        <v>0.4207786867737525</v>
      </c>
      <c r="Y96" s="3">
        <f>IF(X96="","",IF(X96&gt;='Léeme'!$B$6,"barato",IF(X96&lt;'Léeme'!$B$7,"caro","medio")))</f>
        <v/>
      </c>
      <c r="Z96" s="10" t="n">
        <v>0.3255170238677756</v>
      </c>
      <c r="AA96" s="10" t="n">
        <v>0.06504334657174904</v>
      </c>
    </row>
    <row r="97">
      <c r="A97" s="3" t="inlineStr">
        <is>
          <t>2018-T3</t>
        </is>
      </c>
      <c r="B97" s="12" t="n">
        <v>43371</v>
      </c>
      <c r="C97" s="13" t="n">
        <v>56.89</v>
      </c>
      <c r="D97" s="13" t="n">
        <v>2.82</v>
      </c>
      <c r="E97" s="13" t="n">
        <v>2.652</v>
      </c>
      <c r="F97" s="14" t="n">
        <v>0.0305</v>
      </c>
      <c r="G97" s="14" t="n">
        <v>0.02642923856874257</v>
      </c>
      <c r="H97" s="14" t="n">
        <v>0.0489</v>
      </c>
      <c r="I97" s="15">
        <f>IFERROR(C97/D97,"")</f>
        <v/>
      </c>
      <c r="J97" s="8">
        <f>IFERROR(D97/C97,"")</f>
        <v/>
      </c>
      <c r="K97" s="8">
        <f>IFERROR(E97/C97,"")</f>
        <v/>
      </c>
      <c r="L97" s="8">
        <f>IFERROR(F97-G97,"")</f>
        <v/>
      </c>
      <c r="M97" s="8">
        <f>IFERROR(J97-F97,"")</f>
        <v/>
      </c>
      <c r="N97" s="8">
        <f>IFERROR(J97-L97,"")</f>
        <v/>
      </c>
      <c r="O97" s="8">
        <f>IFERROR(J97-H97,"")</f>
        <v/>
      </c>
      <c r="P97" s="8">
        <f>IFERROR(K97-F97,"")</f>
        <v/>
      </c>
      <c r="Q97" s="6" t="n">
        <v>0.1332046332046332</v>
      </c>
      <c r="R97" s="6" t="n">
        <v>0.1023166023166023</v>
      </c>
      <c r="S97" s="6" t="n">
        <v>0.388030888030888</v>
      </c>
      <c r="T97" s="6" t="n">
        <v>0.3108108108108108</v>
      </c>
      <c r="U97" s="6" t="n">
        <v>0.1475694444444444</v>
      </c>
      <c r="V97" s="6" t="n">
        <v>0.2204861111111111</v>
      </c>
      <c r="W97" s="6" t="n">
        <v>0.6434977578475336</v>
      </c>
      <c r="X97" s="6" t="n">
        <v>0.2779880353951462</v>
      </c>
      <c r="Y97" s="3">
        <f>IF(X97="","",IF(X97&gt;='Léeme'!$B$6,"barato",IF(X97&lt;'Léeme'!$B$7,"caro","medio")))</f>
        <v/>
      </c>
      <c r="Z97" s="10" t="n">
        <v>0.3957261583689355</v>
      </c>
      <c r="AA97" s="10" t="n">
        <v>0.01340939518036088</v>
      </c>
    </row>
    <row r="98">
      <c r="A98" s="3" t="inlineStr">
        <is>
          <t>2018-T4</t>
        </is>
      </c>
      <c r="B98" s="12" t="n">
        <v>43465</v>
      </c>
      <c r="C98" s="13" t="n">
        <v>63.039999</v>
      </c>
      <c r="D98" s="13" t="n">
        <v>2.82</v>
      </c>
      <c r="E98" s="13" t="n">
        <v>2.652</v>
      </c>
      <c r="F98" s="14" t="n">
        <v>0.0269</v>
      </c>
      <c r="G98" s="14" t="n">
        <v>0.02147328577667773</v>
      </c>
      <c r="H98" s="14" t="n">
        <v>0.0516</v>
      </c>
      <c r="I98" s="15">
        <f>IFERROR(C98/D98,"")</f>
        <v/>
      </c>
      <c r="J98" s="8">
        <f>IFERROR(D98/C98,"")</f>
        <v/>
      </c>
      <c r="K98" s="8">
        <f>IFERROR(E98/C98,"")</f>
        <v/>
      </c>
      <c r="L98" s="8">
        <f>IFERROR(F98-G98,"")</f>
        <v/>
      </c>
      <c r="M98" s="8">
        <f>IFERROR(J98-F98,"")</f>
        <v/>
      </c>
      <c r="N98" s="8">
        <f>IFERROR(J98-L98,"")</f>
        <v/>
      </c>
      <c r="O98" s="8">
        <f>IFERROR(J98-H98,"")</f>
        <v/>
      </c>
      <c r="P98" s="8">
        <f>IFERROR(K98-F98,"")</f>
        <v/>
      </c>
      <c r="Q98" s="6" t="n">
        <v>0.04389312977099236</v>
      </c>
      <c r="R98" s="6" t="n">
        <v>0.08587786259541985</v>
      </c>
      <c r="S98" s="6" t="n">
        <v>0.2156488549618321</v>
      </c>
      <c r="T98" s="6" t="n">
        <v>0.04770992366412214</v>
      </c>
      <c r="U98" s="6" t="n">
        <v>0.04639175257731959</v>
      </c>
      <c r="V98" s="6" t="n">
        <v>0.1975945017182131</v>
      </c>
      <c r="W98" s="6" t="n">
        <v>0.4402654867256637</v>
      </c>
      <c r="X98" s="6" t="n">
        <v>0.1539116445733661</v>
      </c>
      <c r="Y98" s="3">
        <f>IF(X98="","",IF(X98&gt;='Léeme'!$B$6,"barato",IF(X98&lt;'Léeme'!$B$7,"caro","medio")))</f>
        <v/>
      </c>
      <c r="Z98" s="10" t="n">
        <v>0.2035375117180565</v>
      </c>
      <c r="AA98" s="10" t="n">
        <v>0.02372379532429481</v>
      </c>
    </row>
    <row r="99">
      <c r="A99" s="3" t="inlineStr">
        <is>
          <t>2019-T1</t>
        </is>
      </c>
      <c r="B99" s="12" t="n">
        <v>43553</v>
      </c>
      <c r="C99" s="13" t="n">
        <v>73.55999799999999</v>
      </c>
      <c r="D99" s="13" t="n">
        <v>3.12</v>
      </c>
      <c r="E99" s="13" t="n">
        <v>2.712</v>
      </c>
      <c r="F99" s="14" t="n">
        <v>0.0241</v>
      </c>
      <c r="G99" s="14" t="n">
        <v>0.01518861535132188</v>
      </c>
      <c r="H99" s="14" t="n">
        <v>0.0466</v>
      </c>
      <c r="I99" s="15">
        <f>IFERROR(C99/D99,"")</f>
        <v/>
      </c>
      <c r="J99" s="8">
        <f>IFERROR(D99/C99,"")</f>
        <v/>
      </c>
      <c r="K99" s="8">
        <f>IFERROR(E99/C99,"")</f>
        <v/>
      </c>
      <c r="L99" s="8">
        <f>IFERROR(F99-G99,"")</f>
        <v/>
      </c>
      <c r="M99" s="8">
        <f>IFERROR(J99-F99,"")</f>
        <v/>
      </c>
      <c r="N99" s="8">
        <f>IFERROR(J99-L99,"")</f>
        <v/>
      </c>
      <c r="O99" s="8">
        <f>IFERROR(J99-H99,"")</f>
        <v/>
      </c>
      <c r="P99" s="8">
        <f>IFERROR(K99-F99,"")</f>
        <v/>
      </c>
      <c r="Q99" s="6" t="n">
        <v>0.02452830188679245</v>
      </c>
      <c r="R99" s="6" t="n">
        <v>0.1</v>
      </c>
      <c r="S99" s="6" t="n">
        <v>0.08867924528301886</v>
      </c>
      <c r="T99" s="6" t="n">
        <v>0.1264150943396226</v>
      </c>
      <c r="U99" s="6" t="n">
        <v>0.0119047619047619</v>
      </c>
      <c r="V99" s="6" t="n">
        <v>0.1003401360544218</v>
      </c>
      <c r="W99" s="6" t="n">
        <v>0.3034934497816594</v>
      </c>
      <c r="X99" s="6" t="n">
        <v>0.1079087127500396</v>
      </c>
      <c r="Y99" s="3">
        <f>IF(X99="","",IF(X99&gt;='Léeme'!$B$6,"barato",IF(X99&lt;'Léeme'!$B$7,"caro","medio")))</f>
        <v/>
      </c>
      <c r="Z99" s="10" t="n">
        <v>-0.2051265097685556</v>
      </c>
      <c r="AA99" s="10" t="n">
        <v>-0.0183980648481552</v>
      </c>
    </row>
    <row r="100">
      <c r="A100" s="3" t="inlineStr">
        <is>
          <t>2019-T2</t>
        </is>
      </c>
      <c r="B100" s="12" t="n">
        <v>43644</v>
      </c>
      <c r="C100" s="13" t="n">
        <v>68.97000300000001</v>
      </c>
      <c r="D100" s="13" t="n">
        <v>3.12</v>
      </c>
      <c r="E100" s="13" t="n">
        <v>2.724</v>
      </c>
      <c r="F100" s="14" t="n">
        <v>0.02</v>
      </c>
      <c r="G100" s="14" t="n">
        <v>0.01795910555360614</v>
      </c>
      <c r="H100" s="14" t="n">
        <v>0.0432</v>
      </c>
      <c r="I100" s="15">
        <f>IFERROR(C100/D100,"")</f>
        <v/>
      </c>
      <c r="J100" s="8">
        <f>IFERROR(D100/C100,"")</f>
        <v/>
      </c>
      <c r="K100" s="8">
        <f>IFERROR(E100/C100,"")</f>
        <v/>
      </c>
      <c r="L100" s="8">
        <f>IFERROR(F100-G100,"")</f>
        <v/>
      </c>
      <c r="M100" s="8">
        <f>IFERROR(J100-F100,"")</f>
        <v/>
      </c>
      <c r="N100" s="8">
        <f>IFERROR(J100-L100,"")</f>
        <v/>
      </c>
      <c r="O100" s="8">
        <f>IFERROR(J100-H100,"")</f>
        <v/>
      </c>
      <c r="P100" s="8">
        <f>IFERROR(K100-F100,"")</f>
        <v/>
      </c>
      <c r="Q100" s="6" t="n">
        <v>0.06902985074626866</v>
      </c>
      <c r="R100" s="6" t="n">
        <v>0.3638059701492538</v>
      </c>
      <c r="S100" s="6" t="n">
        <v>0.3376865671641791</v>
      </c>
      <c r="T100" s="6" t="n">
        <v>0.4272388059701492</v>
      </c>
      <c r="U100" s="6" t="n">
        <v>0.03535353535353535</v>
      </c>
      <c r="V100" s="6" t="n">
        <v>0.3484848484848485</v>
      </c>
      <c r="W100" s="6" t="n">
        <v>0.4935344827586207</v>
      </c>
      <c r="X100" s="6" t="n">
        <v>0.2964477229466936</v>
      </c>
      <c r="Y100" s="3">
        <f>IF(X100="","",IF(X100&gt;='Léeme'!$B$6,"barato",IF(X100&lt;'Léeme'!$B$7,"caro","medio")))</f>
        <v/>
      </c>
      <c r="Z100" s="10" t="n">
        <v>-0.1273772041492487</v>
      </c>
      <c r="AA100" s="10" t="n">
        <v>-0.01042036814928904</v>
      </c>
    </row>
    <row r="101">
      <c r="A101" s="3" t="inlineStr">
        <is>
          <t>2019-T3</t>
        </is>
      </c>
      <c r="B101" s="12" t="n">
        <v>43738</v>
      </c>
      <c r="C101" s="13" t="n">
        <v>76.679997</v>
      </c>
      <c r="D101" s="13" t="n">
        <v>3.12</v>
      </c>
      <c r="E101" s="13" t="n">
        <v>2.724</v>
      </c>
      <c r="F101" s="14" t="n">
        <v>0.0168</v>
      </c>
      <c r="G101" s="14" t="n">
        <v>0.01737641210666641</v>
      </c>
      <c r="H101" s="14" t="n">
        <v>0.0388</v>
      </c>
      <c r="I101" s="15">
        <f>IFERROR(C101/D101,"")</f>
        <v/>
      </c>
      <c r="J101" s="8">
        <f>IFERROR(D101/C101,"")</f>
        <v/>
      </c>
      <c r="K101" s="8">
        <f>IFERROR(E101/C101,"")</f>
        <v/>
      </c>
      <c r="L101" s="8">
        <f>IFERROR(F101-G101,"")</f>
        <v/>
      </c>
      <c r="M101" s="8">
        <f>IFERROR(J101-F101,"")</f>
        <v/>
      </c>
      <c r="N101" s="8">
        <f>IFERROR(J101-L101,"")</f>
        <v/>
      </c>
      <c r="O101" s="8">
        <f>IFERROR(J101-H101,"")</f>
        <v/>
      </c>
      <c r="P101" s="8">
        <f>IFERROR(K101-F101,"")</f>
        <v/>
      </c>
      <c r="Q101" s="6" t="n">
        <v>0.01291512915129151</v>
      </c>
      <c r="R101" s="6" t="n">
        <v>0.3044280442804428</v>
      </c>
      <c r="S101" s="6" t="n">
        <v>0.2712177121771218</v>
      </c>
      <c r="T101" s="6" t="n">
        <v>0.4114391143911439</v>
      </c>
      <c r="U101" s="6" t="n">
        <v>0.008333333333333333</v>
      </c>
      <c r="V101" s="6" t="n">
        <v>0.3316666666666667</v>
      </c>
      <c r="W101" s="6" t="n">
        <v>0.2276595744680851</v>
      </c>
      <c r="X101" s="6" t="n">
        <v>0.223951367781155</v>
      </c>
      <c r="Y101" s="3">
        <f>IF(X101="","",IF(X101&gt;='Léeme'!$B$6,"barato",IF(X101&lt;'Léeme'!$B$7,"caro","medio")))</f>
        <v/>
      </c>
      <c r="Z101" s="10" t="n">
        <v>-0.1796633842763878</v>
      </c>
      <c r="AA101" s="10" t="n">
        <v>0.005636808479478894</v>
      </c>
    </row>
    <row r="102">
      <c r="A102" s="3" t="inlineStr">
        <is>
          <t>2019-T4</t>
        </is>
      </c>
      <c r="B102" s="12" t="n">
        <v>43830</v>
      </c>
      <c r="C102" s="13" t="n">
        <v>73.630002</v>
      </c>
      <c r="D102" s="13" t="n">
        <v>3.12</v>
      </c>
      <c r="E102" s="13" t="n">
        <v>2.736</v>
      </c>
      <c r="F102" s="14" t="n">
        <v>0.0192</v>
      </c>
      <c r="G102" s="14" t="n">
        <v>0.02092290394862917</v>
      </c>
      <c r="H102" s="14" t="n">
        <v>0.0387</v>
      </c>
      <c r="I102" s="15">
        <f>IFERROR(C102/D102,"")</f>
        <v/>
      </c>
      <c r="J102" s="8">
        <f>IFERROR(D102/C102,"")</f>
        <v/>
      </c>
      <c r="K102" s="8">
        <f>IFERROR(E102/C102,"")</f>
        <v/>
      </c>
      <c r="L102" s="8">
        <f>IFERROR(F102-G102,"")</f>
        <v/>
      </c>
      <c r="M102" s="8">
        <f>IFERROR(J102-F102,"")</f>
        <v/>
      </c>
      <c r="N102" s="8">
        <f>IFERROR(J102-L102,"")</f>
        <v/>
      </c>
      <c r="O102" s="8">
        <f>IFERROR(J102-H102,"")</f>
        <v/>
      </c>
      <c r="P102" s="8">
        <f>IFERROR(K102-F102,"")</f>
        <v/>
      </c>
      <c r="Q102" s="6" t="n">
        <v>0.03832116788321168</v>
      </c>
      <c r="R102" s="6" t="n">
        <v>0.2864963503649635</v>
      </c>
      <c r="S102" s="6" t="n">
        <v>0.3704379562043796</v>
      </c>
      <c r="T102" s="6" t="n">
        <v>0.5529197080291971</v>
      </c>
      <c r="U102" s="6" t="n">
        <v>0.03135313531353135</v>
      </c>
      <c r="V102" s="6" t="n">
        <v>0.3184818481848185</v>
      </c>
      <c r="W102" s="6" t="n">
        <v>0.4054621848739496</v>
      </c>
      <c r="X102" s="6" t="n">
        <v>0.286210335836293</v>
      </c>
      <c r="Y102" s="3">
        <f>IF(X102="","",IF(X102&gt;='Léeme'!$B$6,"barato",IF(X102&lt;'Léeme'!$B$7,"caro","medio")))</f>
        <v/>
      </c>
      <c r="Z102" s="10" t="n">
        <v>-0.1236936570474119</v>
      </c>
      <c r="AA102" s="10" t="n">
        <v>-0.01970353604285813</v>
      </c>
    </row>
    <row r="103">
      <c r="A103" s="3" t="inlineStr">
        <is>
          <t>2020-T1</t>
        </is>
      </c>
      <c r="B103" s="12" t="n">
        <v>43921</v>
      </c>
      <c r="C103" s="13" t="n">
        <v>49.86</v>
      </c>
      <c r="D103" s="13" t="n">
        <v>3.29</v>
      </c>
      <c r="E103" s="13" t="n">
        <v>2.796</v>
      </c>
      <c r="F103" s="14" t="n">
        <v>0.006999999999999999</v>
      </c>
      <c r="G103" s="14" t="n">
        <v>0.0234131667975952</v>
      </c>
      <c r="H103" s="14" t="n">
        <v>0.0459</v>
      </c>
      <c r="I103" s="15">
        <f>IFERROR(C103/D103,"")</f>
        <v/>
      </c>
      <c r="J103" s="8">
        <f>IFERROR(D103/C103,"")</f>
        <v/>
      </c>
      <c r="K103" s="8">
        <f>IFERROR(E103/C103,"")</f>
        <v/>
      </c>
      <c r="L103" s="8">
        <f>IFERROR(F103-G103,"")</f>
        <v/>
      </c>
      <c r="M103" s="8">
        <f>IFERROR(J103-F103,"")</f>
        <v/>
      </c>
      <c r="N103" s="8">
        <f>IFERROR(J103-L103,"")</f>
        <v/>
      </c>
      <c r="O103" s="8">
        <f>IFERROR(J103-H103,"")</f>
        <v/>
      </c>
      <c r="P103" s="8">
        <f>IFERROR(K103-F103,"")</f>
        <v/>
      </c>
      <c r="Q103" s="6" t="n">
        <v>0.5505415162454874</v>
      </c>
      <c r="R103" s="6" t="n">
        <v>0.9729241877256317</v>
      </c>
      <c r="S103" s="6" t="n">
        <v>0.9548736462093863</v>
      </c>
      <c r="T103" s="6" t="n">
        <v>0.9296028880866426</v>
      </c>
      <c r="U103" s="6" t="n">
        <v>0.4395424836601307</v>
      </c>
      <c r="V103" s="6" t="n">
        <v>0.9787581699346405</v>
      </c>
      <c r="W103" s="6" t="n">
        <v>0.9771784232365145</v>
      </c>
      <c r="X103" s="6" t="n">
        <v>0.8290601878712048</v>
      </c>
      <c r="Y103" s="3">
        <f>IF(X103="","",IF(X103&gt;='Léeme'!$B$6,"barato",IF(X103&lt;'Léeme'!$B$7,"caro","medio")))</f>
        <v/>
      </c>
      <c r="Z103" s="10" t="n">
        <v>0.3225122305716124</v>
      </c>
      <c r="AA103" s="10" t="n">
        <v>0.07807091772258712</v>
      </c>
    </row>
    <row r="104">
      <c r="A104" s="3" t="inlineStr">
        <is>
          <t>2020-T2</t>
        </is>
      </c>
      <c r="B104" s="12" t="n">
        <v>44012</v>
      </c>
      <c r="C104" s="13" t="n">
        <v>59.500002</v>
      </c>
      <c r="D104" s="13" t="n">
        <v>3.29</v>
      </c>
      <c r="E104" s="13" t="n">
        <v>2.808</v>
      </c>
      <c r="F104" s="14" t="n">
        <v>0.0066</v>
      </c>
      <c r="G104" s="14" t="n">
        <v>0.001982013035848551</v>
      </c>
      <c r="H104" s="14" t="n">
        <v>0.0358</v>
      </c>
      <c r="I104" s="15">
        <f>IFERROR(C104/D104,"")</f>
        <v/>
      </c>
      <c r="J104" s="8">
        <f>IFERROR(D104/C104,"")</f>
        <v/>
      </c>
      <c r="K104" s="8">
        <f>IFERROR(E104/C104,"")</f>
        <v/>
      </c>
      <c r="L104" s="8">
        <f>IFERROR(F104-G104,"")</f>
        <v/>
      </c>
      <c r="M104" s="8">
        <f>IFERROR(J104-F104,"")</f>
        <v/>
      </c>
      <c r="N104" s="8">
        <f>IFERROR(J104-L104,"")</f>
        <v/>
      </c>
      <c r="O104" s="8">
        <f>IFERROR(J104-H104,"")</f>
        <v/>
      </c>
      <c r="P104" s="8">
        <f>IFERROR(K104-F104,"")</f>
        <v/>
      </c>
      <c r="Q104" s="6" t="n">
        <v>0.3767857142857143</v>
      </c>
      <c r="R104" s="6" t="n">
        <v>0.9339285714285714</v>
      </c>
      <c r="S104" s="6" t="n">
        <v>0.5589285714285714</v>
      </c>
      <c r="T104" s="6" t="n">
        <v>0.9160714285714285</v>
      </c>
      <c r="U104" s="6" t="n">
        <v>0.1957928802588997</v>
      </c>
      <c r="V104" s="6" t="n">
        <v>0.9530744336569579</v>
      </c>
      <c r="W104" s="6" t="n">
        <v>0.9036885245901639</v>
      </c>
      <c r="X104" s="6" t="n">
        <v>0.6911814463171867</v>
      </c>
      <c r="Y104" s="3">
        <f>IF(X104="","",IF(X104&gt;='Léeme'!$B$6,"barato",IF(X104&lt;'Léeme'!$B$7,"caro","medio")))</f>
        <v/>
      </c>
      <c r="Z104" s="10" t="n">
        <v>0.1629164908329899</v>
      </c>
      <c r="AA104" s="10" t="n">
        <v>0.03948098589974647</v>
      </c>
    </row>
    <row r="105">
      <c r="A105" s="3" t="inlineStr">
        <is>
          <t>2020-T3</t>
        </is>
      </c>
      <c r="B105" s="12" t="n">
        <v>44104</v>
      </c>
      <c r="C105" s="13" t="n">
        <v>60.750001</v>
      </c>
      <c r="D105" s="13" t="n">
        <v>3.29</v>
      </c>
      <c r="E105" s="13" t="n">
        <v>2.808</v>
      </c>
      <c r="F105" s="14" t="n">
        <v>0.0069</v>
      </c>
      <c r="G105" s="14" t="n">
        <v>0.01281069849552385</v>
      </c>
      <c r="H105" s="14" t="n">
        <v>0.034</v>
      </c>
      <c r="I105" s="15">
        <f>IFERROR(C105/D105,"")</f>
        <v/>
      </c>
      <c r="J105" s="8">
        <f>IFERROR(D105/C105,"")</f>
        <v/>
      </c>
      <c r="K105" s="8">
        <f>IFERROR(E105/C105,"")</f>
        <v/>
      </c>
      <c r="L105" s="8">
        <f>IFERROR(F105-G105,"")</f>
        <v/>
      </c>
      <c r="M105" s="8">
        <f>IFERROR(J105-F105,"")</f>
        <v/>
      </c>
      <c r="N105" s="8">
        <f>IFERROR(J105-L105,"")</f>
        <v/>
      </c>
      <c r="O105" s="8">
        <f>IFERROR(J105-H105,"")</f>
        <v/>
      </c>
      <c r="P105" s="8">
        <f>IFERROR(K105-F105,"")</f>
        <v/>
      </c>
      <c r="Q105" s="6" t="n">
        <v>0.3515901060070671</v>
      </c>
      <c r="R105" s="6" t="n">
        <v>0.9063604240282686</v>
      </c>
      <c r="S105" s="6" t="n">
        <v>0.7402826855123675</v>
      </c>
      <c r="T105" s="6" t="n">
        <v>0.9204946996466431</v>
      </c>
      <c r="U105" s="6" t="n">
        <v>0.1907051282051282</v>
      </c>
      <c r="V105" s="6" t="n">
        <v>0.9342948717948718</v>
      </c>
      <c r="W105" s="6" t="n">
        <v>0.8805668016194332</v>
      </c>
      <c r="X105" s="6" t="n">
        <v>0.7034706738305398</v>
      </c>
      <c r="Y105" s="3">
        <f>IF(X105="","",IF(X105&gt;='Léeme'!$B$6,"barato",IF(X105&lt;'Léeme'!$B$7,"caro","medio")))</f>
        <v/>
      </c>
      <c r="Z105" s="10" t="n">
        <v>0.1057947024026247</v>
      </c>
      <c r="AA105" s="10" t="n">
        <v>0.0467764002069222</v>
      </c>
    </row>
    <row r="106">
      <c r="A106" s="3" t="inlineStr">
        <is>
          <t>2020-T4</t>
        </is>
      </c>
      <c r="B106" s="12" t="n">
        <v>44196</v>
      </c>
      <c r="C106" s="13" t="n">
        <v>62.17</v>
      </c>
      <c r="D106" s="13" t="n">
        <v>3.33</v>
      </c>
      <c r="E106" s="13" t="n">
        <v>2.82</v>
      </c>
      <c r="F106" s="14" t="n">
        <v>0.009300000000000001</v>
      </c>
      <c r="G106" s="14" t="n">
        <v>0.01175745213840584</v>
      </c>
      <c r="H106" s="14" t="n">
        <v>0.0313</v>
      </c>
      <c r="I106" s="15">
        <f>IFERROR(C106/D106,"")</f>
        <v/>
      </c>
      <c r="J106" s="8">
        <f>IFERROR(D106/C106,"")</f>
        <v/>
      </c>
      <c r="K106" s="8">
        <f>IFERROR(E106/C106,"")</f>
        <v/>
      </c>
      <c r="L106" s="8">
        <f>IFERROR(F106-G106,"")</f>
        <v/>
      </c>
      <c r="M106" s="8">
        <f>IFERROR(J106-F106,"")</f>
        <v/>
      </c>
      <c r="N106" s="8">
        <f>IFERROR(J106-L106,"")</f>
        <v/>
      </c>
      <c r="O106" s="8">
        <f>IFERROR(J106-H106,"")</f>
        <v/>
      </c>
      <c r="P106" s="8">
        <f>IFERROR(K106-F106,"")</f>
        <v/>
      </c>
      <c r="Q106" s="6" t="n">
        <v>0.3164335664335665</v>
      </c>
      <c r="R106" s="6" t="n">
        <v>0.8688811188811189</v>
      </c>
      <c r="S106" s="6" t="n">
        <v>0.666083916083916</v>
      </c>
      <c r="T106" s="6" t="n">
        <v>0.9458041958041958</v>
      </c>
      <c r="U106" s="6" t="n">
        <v>0.1634920634920635</v>
      </c>
      <c r="V106" s="6" t="n">
        <v>0.8809523809523809</v>
      </c>
      <c r="W106" s="6" t="n">
        <v>0.854</v>
      </c>
      <c r="X106" s="6" t="n">
        <v>0.6708067488067488</v>
      </c>
      <c r="Y106" s="3">
        <f>IF(X106="","",IF(X106&gt;='Léeme'!$B$6,"barato",IF(X106&lt;'Léeme'!$B$7,"caro","medio")))</f>
        <v/>
      </c>
      <c r="Z106" s="10" t="n">
        <v>0.229522595475943</v>
      </c>
      <c r="AA106" s="10" t="n">
        <v>0.02746403853928592</v>
      </c>
    </row>
    <row r="107">
      <c r="A107" s="3" t="inlineStr">
        <is>
          <t>2021-T1</t>
        </is>
      </c>
      <c r="B107" s="12" t="n">
        <v>44286</v>
      </c>
      <c r="C107" s="13" t="n">
        <v>63.500002</v>
      </c>
      <c r="D107" s="13" t="n">
        <v>3.31</v>
      </c>
      <c r="E107" s="13" t="n">
        <v>2.82</v>
      </c>
      <c r="F107" s="14" t="n">
        <v>0.0174</v>
      </c>
      <c r="G107" s="14" t="n">
        <v>0.01669816779170685</v>
      </c>
      <c r="H107" s="14" t="n">
        <v>0.0377</v>
      </c>
      <c r="I107" s="15">
        <f>IFERROR(C107/D107,"")</f>
        <v/>
      </c>
      <c r="J107" s="8">
        <f>IFERROR(D107/C107,"")</f>
        <v/>
      </c>
      <c r="K107" s="8">
        <f>IFERROR(E107/C107,"")</f>
        <v/>
      </c>
      <c r="L107" s="8">
        <f>IFERROR(F107-G107,"")</f>
        <v/>
      </c>
      <c r="M107" s="8">
        <f>IFERROR(J107-F107,"")</f>
        <v/>
      </c>
      <c r="N107" s="8">
        <f>IFERROR(J107-L107,"")</f>
        <v/>
      </c>
      <c r="O107" s="8">
        <f>IFERROR(J107-H107,"")</f>
        <v/>
      </c>
      <c r="P107" s="8">
        <f>IFERROR(K107-F107,"")</f>
        <v/>
      </c>
      <c r="Q107" s="6" t="n">
        <v>0.2612456747404844</v>
      </c>
      <c r="R107" s="6" t="n">
        <v>0.7006920415224913</v>
      </c>
      <c r="S107" s="6" t="n">
        <v>0.5588235294117647</v>
      </c>
      <c r="T107" s="6" t="n">
        <v>0.8356401384083045</v>
      </c>
      <c r="U107" s="6" t="n">
        <v>0.1336477987421384</v>
      </c>
      <c r="V107" s="6" t="n">
        <v>0.6305031446540881</v>
      </c>
      <c r="W107" s="6" t="n">
        <v>0.7806324110671937</v>
      </c>
      <c r="X107" s="6" t="n">
        <v>0.5573121055066379</v>
      </c>
      <c r="Y107" s="3">
        <f>IF(X107="","",IF(X107&gt;='Léeme'!$B$6,"barato",IF(X107&lt;'Léeme'!$B$7,"caro","medio")))</f>
        <v/>
      </c>
      <c r="Z107" s="10" t="n">
        <v>0.1645961308810164</v>
      </c>
      <c r="AA107" s="10" t="n">
        <v>0.04023150234886685</v>
      </c>
    </row>
    <row r="108">
      <c r="A108" s="3" t="inlineStr">
        <is>
          <t>2021-T2</t>
        </is>
      </c>
      <c r="B108" s="12" t="n">
        <v>44377</v>
      </c>
      <c r="C108" s="13" t="n">
        <v>66.739997</v>
      </c>
      <c r="D108" s="13" t="n">
        <v>3.21</v>
      </c>
      <c r="E108" s="13" t="n">
        <v>2.832</v>
      </c>
      <c r="F108" s="14" t="n">
        <v>0.0145</v>
      </c>
      <c r="G108" s="14" t="n">
        <v>0.04918257089467626</v>
      </c>
      <c r="H108" s="14" t="n">
        <v>0.0336</v>
      </c>
      <c r="I108" s="15">
        <f>IFERROR(C108/D108,"")</f>
        <v/>
      </c>
      <c r="J108" s="8">
        <f>IFERROR(D108/C108,"")</f>
        <v/>
      </c>
      <c r="K108" s="8">
        <f>IFERROR(E108/C108,"")</f>
        <v/>
      </c>
      <c r="L108" s="8">
        <f>IFERROR(F108-G108,"")</f>
        <v/>
      </c>
      <c r="M108" s="8">
        <f>IFERROR(J108-F108,"")</f>
        <v/>
      </c>
      <c r="N108" s="8">
        <f>IFERROR(J108-L108,"")</f>
        <v/>
      </c>
      <c r="O108" s="8">
        <f>IFERROR(J108-H108,"")</f>
        <v/>
      </c>
      <c r="P108" s="8">
        <f>IFERROR(K108-F108,"")</f>
        <v/>
      </c>
      <c r="Q108" s="6" t="n">
        <v>0.148972602739726</v>
      </c>
      <c r="R108" s="6" t="n">
        <v>0.6695205479452054</v>
      </c>
      <c r="S108" s="6" t="n">
        <v>0.9571917808219178</v>
      </c>
      <c r="T108" s="6" t="n">
        <v>0.8373287671232876</v>
      </c>
      <c r="U108" s="6" t="n">
        <v>0.09813084112149532</v>
      </c>
      <c r="V108" s="6" t="n">
        <v>0.6931464174454829</v>
      </c>
      <c r="W108" s="6" t="n">
        <v>0.626953125</v>
      </c>
      <c r="X108" s="6" t="n">
        <v>0.575892011742445</v>
      </c>
      <c r="Y108" s="3">
        <f>IF(X108="","",IF(X108&gt;='Léeme'!$B$6,"barato",IF(X108&lt;'Léeme'!$B$7,"caro","medio")))</f>
        <v/>
      </c>
      <c r="Z108" s="10" t="n">
        <v>0.09181744227771804</v>
      </c>
      <c r="AA108" s="10" t="n">
        <v>0.03297802927711357</v>
      </c>
    </row>
    <row r="109">
      <c r="A109" s="3" t="inlineStr">
        <is>
          <t>2021-T3</t>
        </is>
      </c>
      <c r="B109" s="12" t="n">
        <v>44469</v>
      </c>
      <c r="C109" s="13" t="n">
        <v>64.86000199999999</v>
      </c>
      <c r="D109" s="13" t="n">
        <v>3.21</v>
      </c>
      <c r="E109" s="13" t="n">
        <v>2.832</v>
      </c>
      <c r="F109" s="14" t="n">
        <v>0.0152</v>
      </c>
      <c r="G109" s="14" t="n">
        <v>0.05152015301793966</v>
      </c>
      <c r="H109" s="14" t="n">
        <v>0.0336</v>
      </c>
      <c r="I109" s="15">
        <f>IFERROR(C109/D109,"")</f>
        <v/>
      </c>
      <c r="J109" s="8">
        <f>IFERROR(D109/C109,"")</f>
        <v/>
      </c>
      <c r="K109" s="8">
        <f>IFERROR(E109/C109,"")</f>
        <v/>
      </c>
      <c r="L109" s="8">
        <f>IFERROR(F109-G109,"")</f>
        <v/>
      </c>
      <c r="M109" s="8">
        <f>IFERROR(J109-F109,"")</f>
        <v/>
      </c>
      <c r="N109" s="8">
        <f>IFERROR(J109-L109,"")</f>
        <v/>
      </c>
      <c r="O109" s="8">
        <f>IFERROR(J109-H109,"")</f>
        <v/>
      </c>
      <c r="P109" s="8">
        <f>IFERROR(K109-F109,"")</f>
        <v/>
      </c>
      <c r="Q109" s="6" t="n">
        <v>0.1915254237288136</v>
      </c>
      <c r="R109" s="6" t="n">
        <v>0.6864406779661016</v>
      </c>
      <c r="S109" s="6" t="n">
        <v>0.9677966101694915</v>
      </c>
      <c r="T109" s="6" t="n">
        <v>0.8559322033898306</v>
      </c>
      <c r="U109" s="6" t="n">
        <v>0.1280864197530864</v>
      </c>
      <c r="V109" s="6" t="n">
        <v>0.7175925925925926</v>
      </c>
      <c r="W109" s="6" t="n">
        <v>0.6853281853281853</v>
      </c>
      <c r="X109" s="6" t="n">
        <v>0.6046717304183001</v>
      </c>
      <c r="Y109" s="3">
        <f>IF(X109="","",IF(X109&gt;='Léeme'!$B$6,"barato",IF(X109&lt;'Léeme'!$B$7,"caro","medio")))</f>
        <v/>
      </c>
      <c r="Z109" s="10" t="n">
        <v>-0.0413594103423931</v>
      </c>
      <c r="AA109" s="10" t="n"/>
    </row>
    <row r="110">
      <c r="A110" s="3" t="inlineStr">
        <is>
          <t>2021-T4</t>
        </is>
      </c>
      <c r="B110" s="12" t="n">
        <v>44561</v>
      </c>
      <c r="C110" s="13" t="n">
        <v>71.589996</v>
      </c>
      <c r="D110" s="13" t="n">
        <v>3.24</v>
      </c>
      <c r="E110" s="13" t="n">
        <v>2.964</v>
      </c>
      <c r="F110" s="14" t="n">
        <v>0.0152</v>
      </c>
      <c r="G110" s="14" t="n">
        <v>0.06901970403700863</v>
      </c>
      <c r="H110" s="14" t="n">
        <v>0.0337</v>
      </c>
      <c r="I110" s="15">
        <f>IFERROR(C110/D110,"")</f>
        <v/>
      </c>
      <c r="J110" s="8">
        <f>IFERROR(D110/C110,"")</f>
        <v/>
      </c>
      <c r="K110" s="8">
        <f>IFERROR(E110/C110,"")</f>
        <v/>
      </c>
      <c r="L110" s="8">
        <f>IFERROR(F110-G110,"")</f>
        <v/>
      </c>
      <c r="M110" s="8">
        <f>IFERROR(J110-F110,"")</f>
        <v/>
      </c>
      <c r="N110" s="8">
        <f>IFERROR(J110-L110,"")</f>
        <v/>
      </c>
      <c r="O110" s="8">
        <f>IFERROR(J110-H110,"")</f>
        <v/>
      </c>
      <c r="P110" s="8">
        <f>IFERROR(K110-F110,"")</f>
        <v/>
      </c>
      <c r="Q110" s="6" t="n">
        <v>0.09899328859060402</v>
      </c>
      <c r="R110" s="6" t="n">
        <v>0.5587248322147651</v>
      </c>
      <c r="S110" s="6" t="n">
        <v>0.9916107382550335</v>
      </c>
      <c r="T110" s="6" t="n">
        <v>0.790268456375839</v>
      </c>
      <c r="U110" s="6" t="n">
        <v>0.09327217125382263</v>
      </c>
      <c r="V110" s="6" t="n">
        <v>0.5917431192660551</v>
      </c>
      <c r="W110" s="6" t="n">
        <v>0.4980916030534351</v>
      </c>
      <c r="X110" s="6" t="n">
        <v>0.5175291727156506</v>
      </c>
      <c r="Y110" s="3">
        <f>IF(X110="","",IF(X110&gt;='Léeme'!$B$6,"barato",IF(X110&lt;'Léeme'!$B$7,"caro","medio")))</f>
        <v/>
      </c>
      <c r="Z110" s="10" t="n">
        <v>-0.08172975340851873</v>
      </c>
      <c r="AA110" s="10" t="n"/>
    </row>
    <row r="111">
      <c r="A111" s="3" t="inlineStr">
        <is>
          <t>2022-T1</t>
        </is>
      </c>
      <c r="B111" s="12" t="n">
        <v>44651</v>
      </c>
      <c r="C111" s="13" t="n">
        <v>69.300003</v>
      </c>
      <c r="D111" s="13" t="n">
        <v>3.04</v>
      </c>
      <c r="E111" s="13" t="n">
        <v>2.964</v>
      </c>
      <c r="F111" s="14" t="n">
        <v>0.0232</v>
      </c>
      <c r="G111" s="14" t="n">
        <v>0.07937278766517819</v>
      </c>
      <c r="H111" s="14" t="n">
        <v>0.0428</v>
      </c>
      <c r="I111" s="15">
        <f>IFERROR(C111/D111,"")</f>
        <v/>
      </c>
      <c r="J111" s="8">
        <f>IFERROR(D111/C111,"")</f>
        <v/>
      </c>
      <c r="K111" s="8">
        <f>IFERROR(E111/C111,"")</f>
        <v/>
      </c>
      <c r="L111" s="8">
        <f>IFERROR(F111-G111,"")</f>
        <v/>
      </c>
      <c r="M111" s="8">
        <f>IFERROR(J111-F111,"")</f>
        <v/>
      </c>
      <c r="N111" s="8">
        <f>IFERROR(J111-L111,"")</f>
        <v/>
      </c>
      <c r="O111" s="8">
        <f>IFERROR(J111-H111,"")</f>
        <v/>
      </c>
      <c r="P111" s="8">
        <f>IFERROR(K111-F111,"")</f>
        <v/>
      </c>
      <c r="Q111" s="6" t="n">
        <v>0.06146179401993355</v>
      </c>
      <c r="R111" s="6" t="n">
        <v>0.1544850498338871</v>
      </c>
      <c r="S111" s="6" t="n">
        <v>0.9883720930232558</v>
      </c>
      <c r="T111" s="6" t="n">
        <v>0.3172757475083057</v>
      </c>
      <c r="U111" s="6" t="n">
        <v>0.1257575757575758</v>
      </c>
      <c r="V111" s="6" t="n">
        <v>0.3318181818181818</v>
      </c>
      <c r="W111" s="6" t="n">
        <v>0.4245283018867925</v>
      </c>
      <c r="X111" s="6" t="n">
        <v>0.3433855348354188</v>
      </c>
      <c r="Y111" s="3">
        <f>IF(X111="","",IF(X111&gt;='Léeme'!$B$6,"barato",IF(X111&lt;'Léeme'!$B$7,"caro","medio")))</f>
        <v/>
      </c>
      <c r="Z111" s="10" t="n">
        <v>-0.05240724980582867</v>
      </c>
      <c r="AA111" s="10" t="n"/>
    </row>
    <row r="112">
      <c r="A112" s="3" t="inlineStr">
        <is>
          <t>2022-T2</t>
        </is>
      </c>
      <c r="B112" s="12" t="n">
        <v>44742</v>
      </c>
      <c r="C112" s="13" t="n">
        <v>68.260002</v>
      </c>
      <c r="D112" s="13" t="n">
        <v>3.33</v>
      </c>
      <c r="E112" s="13" t="n">
        <v>2.976</v>
      </c>
      <c r="F112" s="14" t="n">
        <v>0.0298</v>
      </c>
      <c r="G112" s="14" t="n">
        <v>0.08538171195642064</v>
      </c>
      <c r="H112" s="14" t="n">
        <v>0.0534</v>
      </c>
      <c r="I112" s="15">
        <f>IFERROR(C112/D112,"")</f>
        <v/>
      </c>
      <c r="J112" s="8">
        <f>IFERROR(D112/C112,"")</f>
        <v/>
      </c>
      <c r="K112" s="8">
        <f>IFERROR(E112/C112,"")</f>
        <v/>
      </c>
      <c r="L112" s="8">
        <f>IFERROR(F112-G112,"")</f>
        <v/>
      </c>
      <c r="M112" s="8">
        <f>IFERROR(J112-F112,"")</f>
        <v/>
      </c>
      <c r="N112" s="8">
        <f>IFERROR(J112-L112,"")</f>
        <v/>
      </c>
      <c r="O112" s="8">
        <f>IFERROR(J112-H112,"")</f>
        <v/>
      </c>
      <c r="P112" s="8">
        <f>IFERROR(K112-F112,"")</f>
        <v/>
      </c>
      <c r="Q112" s="6" t="n">
        <v>0.1924342105263158</v>
      </c>
      <c r="R112" s="6" t="n">
        <v>0.1101973684210526</v>
      </c>
      <c r="S112" s="6" t="n">
        <v>0.9950657894736842</v>
      </c>
      <c r="T112" s="6" t="n">
        <v>0.1036184210526316</v>
      </c>
      <c r="U112" s="6" t="n">
        <v>0.1456456456456456</v>
      </c>
      <c r="V112" s="6" t="n">
        <v>0.1276276276276276</v>
      </c>
      <c r="W112" s="6" t="n">
        <v>0.6735074626865671</v>
      </c>
      <c r="X112" s="6" t="n">
        <v>0.3354423607762178</v>
      </c>
      <c r="Y112" s="3">
        <f>IF(X112="","",IF(X112&gt;='Léeme'!$B$6,"barato",IF(X112&lt;'Léeme'!$B$7,"caro","medio")))</f>
        <v/>
      </c>
      <c r="Z112" s="10" t="n">
        <v>-0.09028604599783852</v>
      </c>
      <c r="AA112" s="10" t="n"/>
    </row>
    <row r="113">
      <c r="A113" s="3" t="inlineStr">
        <is>
          <t>2022-T3</t>
        </is>
      </c>
      <c r="B113" s="12" t="n">
        <v>44834</v>
      </c>
      <c r="C113" s="13" t="n">
        <v>58.200001</v>
      </c>
      <c r="D113" s="13" t="n">
        <v>3.5</v>
      </c>
      <c r="E113" s="13" t="n">
        <v>2.976</v>
      </c>
      <c r="F113" s="14" t="n">
        <v>0.0383</v>
      </c>
      <c r="G113" s="14" t="n">
        <v>0.08222579178218825</v>
      </c>
      <c r="H113" s="14" t="n">
        <v>0.0603</v>
      </c>
      <c r="I113" s="15">
        <f>IFERROR(C113/D113,"")</f>
        <v/>
      </c>
      <c r="J113" s="8">
        <f>IFERROR(D113/C113,"")</f>
        <v/>
      </c>
      <c r="K113" s="8">
        <f>IFERROR(E113/C113,"")</f>
        <v/>
      </c>
      <c r="L113" s="8">
        <f>IFERROR(F113-G113,"")</f>
        <v/>
      </c>
      <c r="M113" s="8">
        <f>IFERROR(J113-F113,"")</f>
        <v/>
      </c>
      <c r="N113" s="8">
        <f>IFERROR(J113-L113,"")</f>
        <v/>
      </c>
      <c r="O113" s="8">
        <f>IFERROR(J113-H113,"")</f>
        <v/>
      </c>
      <c r="P113" s="8">
        <f>IFERROR(K113-F113,"")</f>
        <v/>
      </c>
      <c r="Q113" s="6" t="n">
        <v>0.509771986970684</v>
      </c>
      <c r="R113" s="6" t="n">
        <v>0.242671009771987</v>
      </c>
      <c r="S113" s="6" t="n">
        <v>0.9853420195439739</v>
      </c>
      <c r="T113" s="6" t="n">
        <v>0.2882736156351792</v>
      </c>
      <c r="U113" s="6" t="n">
        <v>0.3735119047619048</v>
      </c>
      <c r="V113" s="6" t="n">
        <v>0.09375</v>
      </c>
      <c r="W113" s="6" t="n">
        <v>0.9501845018450185</v>
      </c>
      <c r="X113" s="6" t="n">
        <v>0.4919292912183925</v>
      </c>
      <c r="Y113" s="3">
        <f>IF(X113="","",IF(X113&gt;='Léeme'!$B$6,"barato",IF(X113&lt;'Léeme'!$B$7,"caro","medio")))</f>
        <v/>
      </c>
      <c r="Z113" s="10" t="n">
        <v>-0.1069308757490642</v>
      </c>
      <c r="AA113" s="10" t="n"/>
    </row>
    <row r="114">
      <c r="A114" s="3" t="inlineStr">
        <is>
          <t>2022-T4</t>
        </is>
      </c>
      <c r="B114" s="12" t="n">
        <v>44925</v>
      </c>
      <c r="C114" s="13" t="n">
        <v>63.43</v>
      </c>
      <c r="D114" s="13" t="n">
        <v>3.62</v>
      </c>
      <c r="E114" s="13" t="n">
        <v>2.988</v>
      </c>
      <c r="F114" s="14" t="n">
        <v>0.0388</v>
      </c>
      <c r="G114" s="14" t="n">
        <v>0.07122856456533988</v>
      </c>
      <c r="H114" s="14" t="n">
        <v>0.0584</v>
      </c>
      <c r="I114" s="15">
        <f>IFERROR(C114/D114,"")</f>
        <v/>
      </c>
      <c r="J114" s="8">
        <f>IFERROR(D114/C114,"")</f>
        <v/>
      </c>
      <c r="K114" s="8">
        <f>IFERROR(E114/C114,"")</f>
        <v/>
      </c>
      <c r="L114" s="8">
        <f>IFERROR(F114-G114,"")</f>
        <v/>
      </c>
      <c r="M114" s="8">
        <f>IFERROR(J114-F114,"")</f>
        <v/>
      </c>
      <c r="N114" s="8">
        <f>IFERROR(J114-L114,"")</f>
        <v/>
      </c>
      <c r="O114" s="8">
        <f>IFERROR(J114-H114,"")</f>
        <v/>
      </c>
      <c r="P114" s="8">
        <f>IFERROR(K114-F114,"")</f>
        <v/>
      </c>
      <c r="Q114" s="6" t="n">
        <v>0.4532258064516129</v>
      </c>
      <c r="R114" s="6" t="n">
        <v>0.08870967741935484</v>
      </c>
      <c r="S114" s="6" t="n">
        <v>0.9403225806451613</v>
      </c>
      <c r="T114" s="6" t="n">
        <v>0.2209677419354839</v>
      </c>
      <c r="U114" s="6" t="n">
        <v>0.2492625368731563</v>
      </c>
      <c r="V114" s="6" t="n">
        <v>0.028023598820059</v>
      </c>
      <c r="W114" s="6" t="n">
        <v>0.9215328467153284</v>
      </c>
      <c r="X114" s="6" t="n">
        <v>0.4145778269800224</v>
      </c>
      <c r="Y114" s="3">
        <f>IF(X114="","",IF(X114&gt;='Léeme'!$B$6,"barato",IF(X114&lt;'Léeme'!$B$7,"caro","medio")))</f>
        <v/>
      </c>
      <c r="Z114" s="10" t="n">
        <v>-0.05574046864330906</v>
      </c>
      <c r="AA114" s="10" t="n"/>
    </row>
    <row r="115">
      <c r="A115" s="3" t="inlineStr">
        <is>
          <t>2023-T1</t>
        </is>
      </c>
      <c r="B115" s="12" t="n">
        <v>45016</v>
      </c>
      <c r="C115" s="13" t="n">
        <v>63.32</v>
      </c>
      <c r="D115" s="13" t="n">
        <v>4.04</v>
      </c>
      <c r="E115" s="13" t="n">
        <v>3.06</v>
      </c>
      <c r="F115" s="14" t="n">
        <v>0.0348</v>
      </c>
      <c r="G115" s="14" t="n">
        <v>0.05957820738137087</v>
      </c>
      <c r="H115" s="14" t="n">
        <v>0.0566</v>
      </c>
      <c r="I115" s="15">
        <f>IFERROR(C115/D115,"")</f>
        <v/>
      </c>
      <c r="J115" s="8">
        <f>IFERROR(D115/C115,"")</f>
        <v/>
      </c>
      <c r="K115" s="8">
        <f>IFERROR(E115/C115,"")</f>
        <v/>
      </c>
      <c r="L115" s="8">
        <f>IFERROR(F115-G115,"")</f>
        <v/>
      </c>
      <c r="M115" s="8">
        <f>IFERROR(J115-F115,"")</f>
        <v/>
      </c>
      <c r="N115" s="8">
        <f>IFERROR(J115-L115,"")</f>
        <v/>
      </c>
      <c r="O115" s="8">
        <f>IFERROR(J115-H115,"")</f>
        <v/>
      </c>
      <c r="P115" s="8">
        <f>IFERROR(K115-F115,"")</f>
        <v/>
      </c>
      <c r="Q115" s="6" t="n">
        <v>0.5670926517571885</v>
      </c>
      <c r="R115" s="6" t="n">
        <v>0.5351437699680511</v>
      </c>
      <c r="S115" s="6" t="n">
        <v>0.9376996805111821</v>
      </c>
      <c r="T115" s="6" t="n">
        <v>0.6789137380191693</v>
      </c>
      <c r="U115" s="6" t="n">
        <v>0.2997076023391813</v>
      </c>
      <c r="V115" s="6" t="n">
        <v>0.1359649122807018</v>
      </c>
      <c r="W115" s="6" t="n">
        <v>0.9765342960288809</v>
      </c>
      <c r="X115" s="6" t="n">
        <v>0.5901509501291936</v>
      </c>
      <c r="Y115" s="3">
        <f>IF(X115="","",IF(X115&gt;='Léeme'!$B$6,"barato",IF(X115&lt;'Léeme'!$B$7,"caro","medio")))</f>
        <v/>
      </c>
      <c r="Z115" s="10" t="n">
        <v>-0.1068556339536108</v>
      </c>
      <c r="AA115" s="10" t="n"/>
    </row>
    <row r="116">
      <c r="A116" s="3" t="inlineStr">
        <is>
          <t>2023-T2</t>
        </is>
      </c>
      <c r="B116" s="12" t="n">
        <v>45107</v>
      </c>
      <c r="C116" s="13" t="n">
        <v>59.790001</v>
      </c>
      <c r="D116" s="13" t="n">
        <v>4.06</v>
      </c>
      <c r="E116" s="13" t="n">
        <v>3.072</v>
      </c>
      <c r="F116" s="14" t="n">
        <v>0.0381</v>
      </c>
      <c r="G116" s="14" t="n">
        <v>0.04131851231385042</v>
      </c>
      <c r="H116" s="14" t="n">
        <v>0.05769999999999999</v>
      </c>
      <c r="I116" s="15">
        <f>IFERROR(C116/D116,"")</f>
        <v/>
      </c>
      <c r="J116" s="8">
        <f>IFERROR(D116/C116,"")</f>
        <v/>
      </c>
      <c r="K116" s="8">
        <f>IFERROR(E116/C116,"")</f>
        <v/>
      </c>
      <c r="L116" s="8">
        <f>IFERROR(F116-G116,"")</f>
        <v/>
      </c>
      <c r="M116" s="8">
        <f>IFERROR(J116-F116,"")</f>
        <v/>
      </c>
      <c r="N116" s="8">
        <f>IFERROR(J116-L116,"")</f>
        <v/>
      </c>
      <c r="O116" s="8">
        <f>IFERROR(J116-H116,"")</f>
        <v/>
      </c>
      <c r="P116" s="8">
        <f>IFERROR(K116-F116,"")</f>
        <v/>
      </c>
      <c r="Q116" s="6" t="n">
        <v>0.6218354430379747</v>
      </c>
      <c r="R116" s="6" t="n">
        <v>0.555379746835443</v>
      </c>
      <c r="S116" s="6" t="n">
        <v>0.814873417721519</v>
      </c>
      <c r="T116" s="6" t="n">
        <v>0.7705696202531646</v>
      </c>
      <c r="U116" s="6" t="n">
        <v>0.3927536231884058</v>
      </c>
      <c r="V116" s="6" t="n">
        <v>0.1260869565217391</v>
      </c>
      <c r="W116" s="6" t="n">
        <v>0.9767857142857143</v>
      </c>
      <c r="X116" s="6" t="n">
        <v>0.6083263602634229</v>
      </c>
      <c r="Y116" s="3">
        <f>IF(X116="","",IF(X116&gt;='Léeme'!$B$6,"barato",IF(X116&lt;'Léeme'!$B$7,"caro","medio")))</f>
        <v/>
      </c>
      <c r="Z116" s="10" t="n">
        <v>-0.07863911315708993</v>
      </c>
      <c r="AA116" s="10" t="n"/>
    </row>
    <row r="117">
      <c r="A117" s="3" t="inlineStr">
        <is>
          <t>2023-T3</t>
        </is>
      </c>
      <c r="B117" s="12" t="n">
        <v>45198</v>
      </c>
      <c r="C117" s="13" t="n">
        <v>49.939999</v>
      </c>
      <c r="D117" s="13" t="n">
        <v>4.07</v>
      </c>
      <c r="E117" s="13" t="n">
        <v>3.072</v>
      </c>
      <c r="F117" s="14" t="n">
        <v>0.0459</v>
      </c>
      <c r="G117" s="14" t="n">
        <v>0.03722504803505289</v>
      </c>
      <c r="H117" s="14" t="n">
        <v>0.0639</v>
      </c>
      <c r="I117" s="15">
        <f>IFERROR(C117/D117,"")</f>
        <v/>
      </c>
      <c r="J117" s="8">
        <f>IFERROR(D117/C117,"")</f>
        <v/>
      </c>
      <c r="K117" s="8">
        <f>IFERROR(E117/C117,"")</f>
        <v/>
      </c>
      <c r="L117" s="8">
        <f>IFERROR(F117-G117,"")</f>
        <v/>
      </c>
      <c r="M117" s="8">
        <f>IFERROR(J117-F117,"")</f>
        <v/>
      </c>
      <c r="N117" s="8">
        <f>IFERROR(J117-L117,"")</f>
        <v/>
      </c>
      <c r="O117" s="8">
        <f>IFERROR(J117-H117,"")</f>
        <v/>
      </c>
      <c r="P117" s="8">
        <f>IFERROR(K117-F117,"")</f>
        <v/>
      </c>
      <c r="Q117" s="6" t="n">
        <v>0.8103448275862069</v>
      </c>
      <c r="R117" s="6" t="n">
        <v>0.7445141065830722</v>
      </c>
      <c r="S117" s="6" t="n">
        <v>0.829153605015674</v>
      </c>
      <c r="T117" s="6" t="n">
        <v>0.8793103448275862</v>
      </c>
      <c r="U117" s="6" t="n">
        <v>0.6048850574712644</v>
      </c>
      <c r="V117" s="6" t="n">
        <v>0.242816091954023</v>
      </c>
      <c r="W117" s="6" t="n">
        <v>0.9982332155477032</v>
      </c>
      <c r="X117" s="6" t="n">
        <v>0.7298938927122186</v>
      </c>
      <c r="Y117" s="3">
        <f>IF(X117="","",IF(X117&gt;='Léeme'!$B$6,"barato",IF(X117&lt;'Léeme'!$B$7,"caro","medio")))</f>
        <v/>
      </c>
      <c r="Z117" s="10" t="n">
        <v>0.309927859738778</v>
      </c>
      <c r="AA117" s="10" t="n"/>
    </row>
    <row r="118">
      <c r="A118" s="3" t="inlineStr">
        <is>
          <t>2023-T4</t>
        </is>
      </c>
      <c r="B118" s="12" t="n">
        <v>45289</v>
      </c>
      <c r="C118" s="13" t="n">
        <v>57.419998</v>
      </c>
      <c r="D118" s="13" t="n">
        <v>4.140000000000001</v>
      </c>
      <c r="E118" s="13" t="n">
        <v>3.084</v>
      </c>
      <c r="F118" s="14" t="n">
        <v>0.0388</v>
      </c>
      <c r="G118" s="14" t="n">
        <v>0.03133346274591187</v>
      </c>
      <c r="H118" s="14" t="n">
        <v>0.0546</v>
      </c>
      <c r="I118" s="15">
        <f>IFERROR(C118/D118,"")</f>
        <v/>
      </c>
      <c r="J118" s="8">
        <f>IFERROR(D118/C118,"")</f>
        <v/>
      </c>
      <c r="K118" s="8">
        <f>IFERROR(E118/C118,"")</f>
        <v/>
      </c>
      <c r="L118" s="8">
        <f>IFERROR(F118-G118,"")</f>
        <v/>
      </c>
      <c r="M118" s="8">
        <f>IFERROR(J118-F118,"")</f>
        <v/>
      </c>
      <c r="N118" s="8">
        <f>IFERROR(J118-L118,"")</f>
        <v/>
      </c>
      <c r="O118" s="8">
        <f>IFERROR(J118-H118,"")</f>
        <v/>
      </c>
      <c r="P118" s="8">
        <f>IFERROR(K118-F118,"")</f>
        <v/>
      </c>
      <c r="Q118" s="6" t="n">
        <v>0.6785714285714286</v>
      </c>
      <c r="R118" s="6" t="n">
        <v>0.6785714285714286</v>
      </c>
      <c r="S118" s="6" t="n">
        <v>0.7282608695652174</v>
      </c>
      <c r="T118" s="6" t="n">
        <v>0.8680124223602484</v>
      </c>
      <c r="U118" s="6" t="n">
        <v>0.443019943019943</v>
      </c>
      <c r="V118" s="6" t="n">
        <v>0.2094017094017094</v>
      </c>
      <c r="W118" s="6" t="n">
        <v>0.9737762237762237</v>
      </c>
      <c r="X118" s="6" t="n">
        <v>0.6542305750380285</v>
      </c>
      <c r="Y118" s="3">
        <f>IF(X118="","",IF(X118&gt;='Léeme'!$B$6,"barato",IF(X118&lt;'Léeme'!$B$7,"caro","medio")))</f>
        <v/>
      </c>
      <c r="Z118" s="10" t="n">
        <v>-0.04458710706554514</v>
      </c>
      <c r="AA118" s="10" t="n"/>
    </row>
    <row r="119">
      <c r="A119" s="3" t="inlineStr">
        <is>
          <t>2024-T1</t>
        </is>
      </c>
      <c r="B119" s="12" t="n">
        <v>45379</v>
      </c>
      <c r="C119" s="13" t="n">
        <v>54.099998</v>
      </c>
      <c r="D119" s="13" t="n">
        <v>4.07</v>
      </c>
      <c r="E119" s="13" t="n">
        <v>3.084</v>
      </c>
      <c r="F119" s="14" t="n">
        <v>0.042</v>
      </c>
      <c r="G119" s="14" t="n">
        <v>0.03157074141648697</v>
      </c>
      <c r="H119" s="14" t="n">
        <v>0.0574</v>
      </c>
      <c r="I119" s="15">
        <f>IFERROR(C119/D119,"")</f>
        <v/>
      </c>
      <c r="J119" s="8">
        <f>IFERROR(D119/C119,"")</f>
        <v/>
      </c>
      <c r="K119" s="8">
        <f>IFERROR(E119/C119,"")</f>
        <v/>
      </c>
      <c r="L119" s="8">
        <f>IFERROR(F119-G119,"")</f>
        <v/>
      </c>
      <c r="M119" s="8">
        <f>IFERROR(J119-F119,"")</f>
        <v/>
      </c>
      <c r="N119" s="8">
        <f>IFERROR(J119-L119,"")</f>
        <v/>
      </c>
      <c r="O119" s="8">
        <f>IFERROR(J119-H119,"")</f>
        <v/>
      </c>
      <c r="P119" s="8">
        <f>IFERROR(K119-F119,"")</f>
        <v/>
      </c>
      <c r="Q119" s="6" t="n">
        <v>0.7184615384615385</v>
      </c>
      <c r="R119" s="6" t="n">
        <v>0.6661538461538462</v>
      </c>
      <c r="S119" s="6" t="n">
        <v>0.7307692307692307</v>
      </c>
      <c r="T119" s="6" t="n">
        <v>0.8723076923076923</v>
      </c>
      <c r="U119" s="6" t="n">
        <v>0.5155367231638418</v>
      </c>
      <c r="V119" s="6" t="n">
        <v>0.2132768361581921</v>
      </c>
      <c r="W119" s="6" t="n">
        <v>0.9636678200692042</v>
      </c>
      <c r="X119" s="6" t="n">
        <v>0.668596241011935</v>
      </c>
      <c r="Y119" s="3">
        <f>IF(X119="","",IF(X119&gt;='Léeme'!$B$6,"barato",IF(X119&lt;'Léeme'!$B$7,"caro","medio")))</f>
        <v/>
      </c>
      <c r="Z119" s="10" t="n">
        <v>0.09020591127468758</v>
      </c>
      <c r="AA119" s="10" t="n"/>
    </row>
    <row r="120">
      <c r="A120" s="3" t="inlineStr">
        <is>
          <t>2024-T2</t>
        </is>
      </c>
      <c r="B120" s="12" t="n">
        <v>45471</v>
      </c>
      <c r="C120" s="13" t="n">
        <v>52.82</v>
      </c>
      <c r="D120" s="13" t="n">
        <v>3.98</v>
      </c>
      <c r="E120" s="13" t="n">
        <v>3.156</v>
      </c>
      <c r="F120" s="14" t="n">
        <v>0.0436</v>
      </c>
      <c r="G120" s="14" t="n">
        <v>0.03244278584003113</v>
      </c>
      <c r="H120" s="14" t="n">
        <v>0.0584</v>
      </c>
      <c r="I120" s="15">
        <f>IFERROR(C120/D120,"")</f>
        <v/>
      </c>
      <c r="J120" s="8">
        <f>IFERROR(D120/C120,"")</f>
        <v/>
      </c>
      <c r="K120" s="8">
        <f>IFERROR(E120/C120,"")</f>
        <v/>
      </c>
      <c r="L120" s="8">
        <f>IFERROR(F120-G120,"")</f>
        <v/>
      </c>
      <c r="M120" s="8">
        <f>IFERROR(J120-F120,"")</f>
        <v/>
      </c>
      <c r="N120" s="8">
        <f>IFERROR(J120-L120,"")</f>
        <v/>
      </c>
      <c r="O120" s="8">
        <f>IFERROR(J120-H120,"")</f>
        <v/>
      </c>
      <c r="P120" s="8">
        <f>IFERROR(K120-F120,"")</f>
        <v/>
      </c>
      <c r="Q120" s="6" t="n">
        <v>0.7179878048780488</v>
      </c>
      <c r="R120" s="6" t="n">
        <v>0.6234756097560976</v>
      </c>
      <c r="S120" s="6" t="n">
        <v>0.7149390243902439</v>
      </c>
      <c r="T120" s="6" t="n">
        <v>0.8582317073170732</v>
      </c>
      <c r="U120" s="6" t="n">
        <v>0.5644257703081232</v>
      </c>
      <c r="V120" s="6" t="n">
        <v>0.2675070028011204</v>
      </c>
      <c r="W120" s="6" t="n">
        <v>0.9434931506849316</v>
      </c>
      <c r="X120" s="6" t="n">
        <v>0.6700085814479484</v>
      </c>
      <c r="Y120" s="3">
        <f>IF(X120="","",IF(X120&gt;='Léeme'!$B$6,"barato",IF(X120&lt;'Léeme'!$B$7,"caro","medio")))</f>
        <v/>
      </c>
      <c r="Z120" s="10" t="n">
        <v>0.128898885055978</v>
      </c>
      <c r="AA120" s="10" t="n"/>
    </row>
    <row r="121">
      <c r="A121" s="3" t="inlineStr">
        <is>
          <t>2024-T3</t>
        </is>
      </c>
      <c r="B121" s="12" t="n">
        <v>45565</v>
      </c>
      <c r="C121" s="13" t="n">
        <v>63.419998</v>
      </c>
      <c r="D121" s="13" t="n">
        <v>4.03</v>
      </c>
      <c r="E121" s="13" t="n">
        <v>3.156</v>
      </c>
      <c r="F121" s="14" t="n">
        <v>0.0381</v>
      </c>
      <c r="G121" s="14" t="n">
        <v>0.02607144490692037</v>
      </c>
      <c r="H121" s="14" t="n">
        <v>0.0541</v>
      </c>
      <c r="I121" s="15">
        <f>IFERROR(C121/D121,"")</f>
        <v/>
      </c>
      <c r="J121" s="8">
        <f>IFERROR(D121/C121,"")</f>
        <v/>
      </c>
      <c r="K121" s="8">
        <f>IFERROR(E121/C121,"")</f>
        <v/>
      </c>
      <c r="L121" s="8">
        <f>IFERROR(F121-G121,"")</f>
        <v/>
      </c>
      <c r="M121" s="8">
        <f>IFERROR(J121-F121,"")</f>
        <v/>
      </c>
      <c r="N121" s="8">
        <f>IFERROR(J121-L121,"")</f>
        <v/>
      </c>
      <c r="O121" s="8">
        <f>IFERROR(J121-H121,"")</f>
        <v/>
      </c>
      <c r="P121" s="8">
        <f>IFERROR(K121-F121,"")</f>
        <v/>
      </c>
      <c r="Q121" s="6" t="n">
        <v>0.5332326283987915</v>
      </c>
      <c r="R121" s="6" t="n">
        <v>0.3640483383685801</v>
      </c>
      <c r="S121" s="6" t="n">
        <v>0.4939577039274924</v>
      </c>
      <c r="T121" s="6" t="n">
        <v>0.7175226586102719</v>
      </c>
      <c r="U121" s="6" t="n">
        <v>0.3263888888888889</v>
      </c>
      <c r="V121" s="6" t="n">
        <v>0.08472222222222223</v>
      </c>
      <c r="W121" s="6" t="n">
        <v>0.8355932203389831</v>
      </c>
      <c r="X121" s="6" t="n">
        <v>0.4793522372507471</v>
      </c>
      <c r="Y121" s="3">
        <f>IF(X121="","",IF(X121&gt;='Léeme'!$B$6,"barato",IF(X121&lt;'Léeme'!$B$7,"caro","medio")))</f>
        <v/>
      </c>
      <c r="Z121" s="10" t="n">
        <v>0.002434270030873709</v>
      </c>
      <c r="AA121" s="10" t="n"/>
    </row>
    <row r="122">
      <c r="A122" s="3" t="inlineStr">
        <is>
          <t>2024-T4</t>
        </is>
      </c>
      <c r="B122" s="12" t="n">
        <v>45657</v>
      </c>
      <c r="C122" s="13" t="n">
        <v>53.41</v>
      </c>
      <c r="D122" s="13" t="n">
        <v>3.97</v>
      </c>
      <c r="E122" s="13" t="n">
        <v>3.168</v>
      </c>
      <c r="F122" s="14" t="n">
        <v>0.0458</v>
      </c>
      <c r="G122" s="14" t="n">
        <v>0.02719472461284833</v>
      </c>
      <c r="H122" s="14" t="n">
        <v>0.05980000000000001</v>
      </c>
      <c r="I122" s="15">
        <f>IFERROR(C122/D122,"")</f>
        <v/>
      </c>
      <c r="J122" s="8">
        <f>IFERROR(D122/C122,"")</f>
        <v/>
      </c>
      <c r="K122" s="8">
        <f>IFERROR(E122/C122,"")</f>
        <v/>
      </c>
      <c r="L122" s="8">
        <f>IFERROR(F122-G122,"")</f>
        <v/>
      </c>
      <c r="M122" s="8">
        <f>IFERROR(J122-F122,"")</f>
        <v/>
      </c>
      <c r="N122" s="8">
        <f>IFERROR(J122-L122,"")</f>
        <v/>
      </c>
      <c r="O122" s="8">
        <f>IFERROR(J122-H122,"")</f>
        <v/>
      </c>
      <c r="P122" s="8">
        <f>IFERROR(K122-F122,"")</f>
        <v/>
      </c>
      <c r="Q122" s="6" t="n">
        <v>0.7080838323353293</v>
      </c>
      <c r="R122" s="6" t="n">
        <v>0.4985029940119761</v>
      </c>
      <c r="S122" s="6" t="n">
        <v>0.5793413173652695</v>
      </c>
      <c r="T122" s="6" t="n">
        <v>0.8248502994011976</v>
      </c>
      <c r="U122" s="6" t="n">
        <v>0.5661157024793388</v>
      </c>
      <c r="V122" s="6" t="n">
        <v>0.1501377410468319</v>
      </c>
      <c r="W122" s="6" t="n">
        <v>0.9278523489932886</v>
      </c>
      <c r="X122" s="6" t="n">
        <v>0.6078406050904618</v>
      </c>
      <c r="Y122" s="3">
        <f>IF(X122="","",IF(X122&gt;='Léeme'!$B$6,"barato",IF(X122&lt;'Léeme'!$B$7,"caro","medio")))</f>
        <v/>
      </c>
      <c r="Z122" s="10" t="n">
        <v>0.1084138067999936</v>
      </c>
      <c r="AA122" s="10" t="n"/>
    </row>
    <row r="123">
      <c r="A123" s="3" t="inlineStr">
        <is>
          <t>2025-T1</t>
        </is>
      </c>
      <c r="B123" s="12" t="n">
        <v>45747</v>
      </c>
      <c r="C123" s="13" t="n">
        <v>58.009998</v>
      </c>
      <c r="D123" s="13" t="n">
        <v>4.01</v>
      </c>
      <c r="E123" s="13" t="n">
        <v>3.216</v>
      </c>
      <c r="F123" s="14" t="n">
        <v>0.0423</v>
      </c>
      <c r="G123" s="14" t="n">
        <v>0.02801583447761335</v>
      </c>
      <c r="H123" s="14" t="n">
        <v>0.06</v>
      </c>
      <c r="I123" s="15">
        <f>IFERROR(C123/D123,"")</f>
        <v/>
      </c>
      <c r="J123" s="8">
        <f>IFERROR(D123/C123,"")</f>
        <v/>
      </c>
      <c r="K123" s="8">
        <f>IFERROR(E123/C123,"")</f>
        <v/>
      </c>
      <c r="L123" s="8">
        <f>IFERROR(F123-G123,"")</f>
        <v/>
      </c>
      <c r="M123" s="8">
        <f>IFERROR(J123-F123,"")</f>
        <v/>
      </c>
      <c r="N123" s="8">
        <f>IFERROR(J123-L123,"")</f>
        <v/>
      </c>
      <c r="O123" s="8">
        <f>IFERROR(J123-H123,"")</f>
        <v/>
      </c>
      <c r="P123" s="8">
        <f>IFERROR(K123-F123,"")</f>
        <v/>
      </c>
      <c r="Q123" s="6" t="n">
        <v>0.612759643916914</v>
      </c>
      <c r="R123" s="6" t="n">
        <v>0.4198813056379822</v>
      </c>
      <c r="S123" s="6" t="n">
        <v>0.5623145400593472</v>
      </c>
      <c r="T123" s="6" t="n">
        <v>0.6988130563798219</v>
      </c>
      <c r="U123" s="6" t="n">
        <v>0.4904371584699453</v>
      </c>
      <c r="V123" s="6" t="n">
        <v>0.1270491803278689</v>
      </c>
      <c r="W123" s="6" t="n">
        <v>0.8687707641196013</v>
      </c>
      <c r="X123" s="6" t="n">
        <v>0.5400036641302116</v>
      </c>
      <c r="Y123" s="3">
        <f>IF(X123="","",IF(X123&gt;='Léeme'!$B$6,"barato",IF(X123&lt;'Léeme'!$B$7,"caro","medio")))</f>
        <v/>
      </c>
      <c r="Z123" s="10" t="n">
        <v>0.1061475282405171</v>
      </c>
      <c r="AA123" s="10" t="n"/>
    </row>
    <row r="124">
      <c r="A124" s="3" t="inlineStr">
        <is>
          <t>2025-T2</t>
        </is>
      </c>
      <c r="B124" s="12" t="n">
        <v>45838</v>
      </c>
      <c r="C124" s="13" t="n">
        <v>57.610001</v>
      </c>
      <c r="D124" s="13" t="n">
        <v>4.12</v>
      </c>
      <c r="E124" s="13" t="n">
        <v>3.228</v>
      </c>
      <c r="F124" s="14" t="n">
        <v>0.0424</v>
      </c>
      <c r="G124" s="14" t="n">
        <v>0.02377265107368087</v>
      </c>
      <c r="H124" s="14" t="n">
        <v>0.0608</v>
      </c>
      <c r="I124" s="15">
        <f>IFERROR(C124/D124,"")</f>
        <v/>
      </c>
      <c r="J124" s="8">
        <f>IFERROR(D124/C124,"")</f>
        <v/>
      </c>
      <c r="K124" s="8">
        <f>IFERROR(E124/C124,"")</f>
        <v/>
      </c>
      <c r="L124" s="8">
        <f>IFERROR(F124-G124,"")</f>
        <v/>
      </c>
      <c r="M124" s="8">
        <f>IFERROR(J124-F124,"")</f>
        <v/>
      </c>
      <c r="N124" s="8">
        <f>IFERROR(J124-L124,"")</f>
        <v/>
      </c>
      <c r="O124" s="8">
        <f>IFERROR(J124-H124,"")</f>
        <v/>
      </c>
      <c r="P124" s="8">
        <f>IFERROR(K124-F124,"")</f>
        <v/>
      </c>
      <c r="Q124" s="6" t="n">
        <v>0.6544117647058824</v>
      </c>
      <c r="R124" s="6" t="n">
        <v>0.5338235294117647</v>
      </c>
      <c r="S124" s="6" t="n">
        <v>0.5338235294117647</v>
      </c>
      <c r="T124" s="6" t="n">
        <v>0.7485294117647059</v>
      </c>
      <c r="U124" s="6" t="n">
        <v>0.5</v>
      </c>
      <c r="V124" s="6" t="n">
        <v>0.1720867208672087</v>
      </c>
      <c r="W124" s="6" t="n">
        <v>0.899671052631579</v>
      </c>
      <c r="X124" s="6" t="n">
        <v>0.5774780012561294</v>
      </c>
      <c r="Y124" s="3">
        <f>IF(X124="","",IF(X124&gt;='Léeme'!$B$6,"barato",IF(X124&lt;'Léeme'!$B$7,"caro","medio")))</f>
        <v/>
      </c>
      <c r="Z124" s="10" t="n">
        <v>0.1269929601207764</v>
      </c>
      <c r="AA124" s="10" t="n"/>
    </row>
    <row r="125">
      <c r="A125" s="3" t="inlineStr">
        <is>
          <t>2025-T3</t>
        </is>
      </c>
      <c r="B125" s="12" t="n">
        <v>45930</v>
      </c>
      <c r="C125" s="13" t="n">
        <v>60.790001</v>
      </c>
      <c r="D125" s="13" t="n">
        <v>4.109999999999999</v>
      </c>
      <c r="E125" s="13" t="n">
        <v>3.228</v>
      </c>
      <c r="F125" s="14" t="n">
        <v>0.0416</v>
      </c>
      <c r="G125" s="14" t="n">
        <v>0.02938591743031616</v>
      </c>
      <c r="H125" s="14" t="n">
        <v>0.0579</v>
      </c>
      <c r="I125" s="15">
        <f>IFERROR(C125/D125,"")</f>
        <v/>
      </c>
      <c r="J125" s="8">
        <f>IFERROR(D125/C125,"")</f>
        <v/>
      </c>
      <c r="K125" s="8">
        <f>IFERROR(E125/C125,"")</f>
        <v/>
      </c>
      <c r="L125" s="8">
        <f>IFERROR(F125-G125,"")</f>
        <v/>
      </c>
      <c r="M125" s="8">
        <f>IFERROR(J125-F125,"")</f>
        <v/>
      </c>
      <c r="N125" s="8">
        <f>IFERROR(J125-L125,"")</f>
        <v/>
      </c>
      <c r="O125" s="8">
        <f>IFERROR(J125-H125,"")</f>
        <v/>
      </c>
      <c r="P125" s="8">
        <f>IFERROR(K125-F125,"")</f>
        <v/>
      </c>
      <c r="Q125" s="6" t="n">
        <v>0.5816326530612245</v>
      </c>
      <c r="R125" s="6" t="n">
        <v>0.3717201166180758</v>
      </c>
      <c r="S125" s="6" t="n">
        <v>0.5787172011661808</v>
      </c>
      <c r="T125" s="6" t="n">
        <v>0.7069970845481049</v>
      </c>
      <c r="U125" s="6" t="n">
        <v>0.4072580645161291</v>
      </c>
      <c r="V125" s="6" t="n">
        <v>0.0846774193548387</v>
      </c>
      <c r="W125" s="6" t="n">
        <v>0.7345276872964169</v>
      </c>
      <c r="X125" s="6" t="n">
        <v>0.4950757466515672</v>
      </c>
      <c r="Y125" s="3">
        <f>IF(X125="","",IF(X125&gt;='Léeme'!$B$6,"barato",IF(X125&lt;'Léeme'!$B$7,"caro","medio")))</f>
        <v/>
      </c>
      <c r="Z125" s="10" t="n"/>
      <c r="AA125" s="10" t="n"/>
    </row>
    <row r="126">
      <c r="A126" s="3" t="inlineStr">
        <is>
          <t>2025-T4</t>
        </is>
      </c>
      <c r="B126" s="12" t="n">
        <v>46022</v>
      </c>
      <c r="C126" s="13" t="n">
        <v>56.369999</v>
      </c>
      <c r="D126" s="13" t="n">
        <v>4.2</v>
      </c>
      <c r="E126" s="13" t="n">
        <v>3.24</v>
      </c>
      <c r="F126" s="14" t="n">
        <v>0.0418</v>
      </c>
      <c r="G126" s="14" t="n">
        <v>0.02696443916493951</v>
      </c>
      <c r="H126" s="14" t="n">
        <v>0.05889999999999999</v>
      </c>
      <c r="I126" s="15">
        <f>IFERROR(C126/D126,"")</f>
        <v/>
      </c>
      <c r="J126" s="8">
        <f>IFERROR(D126/C126,"")</f>
        <v/>
      </c>
      <c r="K126" s="8">
        <f>IFERROR(E126/C126,"")</f>
        <v/>
      </c>
      <c r="L126" s="8">
        <f>IFERROR(F126-G126,"")</f>
        <v/>
      </c>
      <c r="M126" s="8">
        <f>IFERROR(J126-F126,"")</f>
        <v/>
      </c>
      <c r="N126" s="8">
        <f>IFERROR(J126-L126,"")</f>
        <v/>
      </c>
      <c r="O126" s="8">
        <f>IFERROR(J126-H126,"")</f>
        <v/>
      </c>
      <c r="P126" s="8">
        <f>IFERROR(K126-F126,"")</f>
        <v/>
      </c>
      <c r="Q126" s="6" t="n">
        <v>0.7182080924855492</v>
      </c>
      <c r="R126" s="6" t="n">
        <v>0.6719653179190751</v>
      </c>
      <c r="S126" s="6" t="n">
        <v>0.6690751445086706</v>
      </c>
      <c r="T126" s="6" t="n">
        <v>0.8511560693641619</v>
      </c>
      <c r="U126" s="6" t="n">
        <v>0.5346666666666666</v>
      </c>
      <c r="V126" s="6" t="n">
        <v>0.284</v>
      </c>
      <c r="W126" s="6" t="n">
        <v>0.8112903225806452</v>
      </c>
      <c r="X126" s="6" t="n">
        <v>0.6486230876463955</v>
      </c>
      <c r="Y126" s="3">
        <f>IF(X126="","",IF(X126&gt;='Léeme'!$B$6,"barato",IF(X126&lt;'Léeme'!$B$7,"caro","medio")))</f>
        <v/>
      </c>
      <c r="Z126" s="10" t="n"/>
      <c r="AA126" s="10" t="n"/>
    </row>
    <row r="127">
      <c r="A127" s="3" t="inlineStr">
        <is>
          <t>2026-T1</t>
        </is>
      </c>
      <c r="B127" s="12" t="n">
        <v>46112</v>
      </c>
      <c r="C127" s="13" t="n">
        <v>61.18</v>
      </c>
      <c r="D127" s="13" t="n">
        <v>4.250000000000001</v>
      </c>
      <c r="E127" s="13" t="n">
        <v>3.252</v>
      </c>
      <c r="F127" s="14" t="n">
        <v>0.043</v>
      </c>
      <c r="G127" s="14" t="n">
        <v>0.02434004110373222</v>
      </c>
      <c r="H127" s="14" t="n">
        <v>0.0614</v>
      </c>
      <c r="I127" s="15">
        <f>IFERROR(C127/D127,"")</f>
        <v/>
      </c>
      <c r="J127" s="8">
        <f>IFERROR(D127/C127,"")</f>
        <v/>
      </c>
      <c r="K127" s="8">
        <f>IFERROR(E127/C127,"")</f>
        <v/>
      </c>
      <c r="L127" s="8">
        <f>IFERROR(F127-G127,"")</f>
        <v/>
      </c>
      <c r="M127" s="8">
        <f>IFERROR(J127-F127,"")</f>
        <v/>
      </c>
      <c r="N127" s="8">
        <f>IFERROR(J127-L127,"")</f>
        <v/>
      </c>
      <c r="O127" s="8">
        <f>IFERROR(J127-H127,"")</f>
        <v/>
      </c>
      <c r="P127" s="8">
        <f>IFERROR(K127-F127,"")</f>
        <v/>
      </c>
      <c r="Q127" s="6" t="n">
        <v>0.6117478510028653</v>
      </c>
      <c r="R127" s="6" t="n">
        <v>0.3939828080229226</v>
      </c>
      <c r="S127" s="6" t="n">
        <v>0.4570200573065902</v>
      </c>
      <c r="T127" s="6" t="n">
        <v>0.6461318051575932</v>
      </c>
      <c r="U127" s="6" t="n">
        <v>0.4087301587301587</v>
      </c>
      <c r="V127" s="6" t="n">
        <v>0.05423280423280423</v>
      </c>
      <c r="W127" s="6" t="n">
        <v>0.6501597444089456</v>
      </c>
      <c r="X127" s="6" t="n">
        <v>0.4602864612659828</v>
      </c>
      <c r="Y127" s="3">
        <f>IF(X127="","",IF(X127&gt;='Léeme'!$B$6,"barato",IF(X127&lt;'Léeme'!$B$7,"caro","medio")))</f>
        <v/>
      </c>
      <c r="Z127" s="10" t="n"/>
      <c r="AA127" s="10" t="n"/>
    </row>
    <row r="128">
      <c r="A128" s="3" t="inlineStr">
        <is>
          <t>2026-T2</t>
        </is>
      </c>
      <c r="B128" s="12" t="n">
        <v>46203</v>
      </c>
      <c r="C128" s="13" t="n">
        <v>61.959999</v>
      </c>
      <c r="D128" s="13" t="n">
        <v>4.26</v>
      </c>
      <c r="E128" s="13" t="n">
        <v>3.252</v>
      </c>
      <c r="F128" s="14" t="n">
        <v>0.0444</v>
      </c>
      <c r="G128" s="14" t="n">
        <v>0.04166614684049641</v>
      </c>
      <c r="H128" s="14" t="n">
        <v>0.0593</v>
      </c>
      <c r="I128" s="15">
        <f>IFERROR(C128/D128,"")</f>
        <v/>
      </c>
      <c r="J128" s="8">
        <f>IFERROR(D128/C128,"")</f>
        <v/>
      </c>
      <c r="K128" s="8">
        <f>IFERROR(E128/C128,"")</f>
        <v/>
      </c>
      <c r="L128" s="8">
        <f>IFERROR(F128-G128,"")</f>
        <v/>
      </c>
      <c r="M128" s="8">
        <f>IFERROR(J128-F128,"")</f>
        <v/>
      </c>
      <c r="N128" s="8">
        <f>IFERROR(J128-L128,"")</f>
        <v/>
      </c>
      <c r="O128" s="8">
        <f>IFERROR(J128-H128,"")</f>
        <v/>
      </c>
      <c r="P128" s="8">
        <f>IFERROR(K128-F128,"")</f>
        <v/>
      </c>
      <c r="Q128" s="6" t="n">
        <v>0.5951704545454546</v>
      </c>
      <c r="R128" s="6" t="n">
        <v>0.3025568181818182</v>
      </c>
      <c r="S128" s="6" t="n">
        <v>0.7684659090909091</v>
      </c>
      <c r="T128" s="6" t="n">
        <v>0.6946022727272727</v>
      </c>
      <c r="U128" s="6" t="n">
        <v>0.3950131233595801</v>
      </c>
      <c r="V128" s="6" t="n">
        <v>0.02755905511811024</v>
      </c>
      <c r="W128" s="6" t="n">
        <v>0.6186708860759493</v>
      </c>
      <c r="X128" s="6" t="n">
        <v>0.486005502728442</v>
      </c>
      <c r="Y128" s="3">
        <f>IF(X128="","",IF(X128&gt;='Léeme'!$B$6,"barato",IF(X128&lt;'Léeme'!$B$7,"caro","medio")))</f>
        <v/>
      </c>
      <c r="Z128" s="10" t="n"/>
      <c r="AA128" s="10" t="n"/>
    </row>
    <row r="129">
      <c r="A129" s="3" t="inlineStr">
        <is>
          <t>2026-T3</t>
        </is>
      </c>
      <c r="B129" s="12" t="n">
        <v>46293</v>
      </c>
      <c r="C129" s="13" t="n">
        <v>55.330002</v>
      </c>
      <c r="D129" s="13" t="n">
        <v>4.27</v>
      </c>
      <c r="E129" s="13" t="n">
        <v>3.252</v>
      </c>
      <c r="F129" s="14" t="n">
        <v>0.0517</v>
      </c>
      <c r="G129" s="14" t="n">
        <v>0.03353016322755642</v>
      </c>
      <c r="H129" s="14" t="n">
        <v>0.0663</v>
      </c>
      <c r="I129" s="15">
        <f>IFERROR(C129/D129,"")</f>
        <v/>
      </c>
      <c r="J129" s="8">
        <f>IFERROR(D129/C129,"")</f>
        <v/>
      </c>
      <c r="K129" s="8">
        <f>IFERROR(E129/C129,"")</f>
        <v/>
      </c>
      <c r="L129" s="8">
        <f>IFERROR(F129-G129,"")</f>
        <v/>
      </c>
      <c r="M129" s="8">
        <f>IFERROR(J129-F129,"")</f>
        <v/>
      </c>
      <c r="N129" s="8">
        <f>IFERROR(J129-L129,"")</f>
        <v/>
      </c>
      <c r="O129" s="8">
        <f>IFERROR(J129-H129,"")</f>
        <v/>
      </c>
      <c r="P129" s="8">
        <f>IFERROR(K129-F129,"")</f>
        <v/>
      </c>
      <c r="Q129" s="6" t="n">
        <v>0.7647887323943662</v>
      </c>
      <c r="R129" s="6" t="n">
        <v>0.3619718309859155</v>
      </c>
      <c r="S129" s="6" t="n">
        <v>0.6605633802816901</v>
      </c>
      <c r="T129" s="6" t="n">
        <v>0.7507042253521127</v>
      </c>
      <c r="U129" s="6" t="n">
        <v>0.5794270833333334</v>
      </c>
      <c r="V129" s="6" t="n">
        <v>0.02213541666666667</v>
      </c>
      <c r="W129" s="6" t="n">
        <v>0.7821316614420063</v>
      </c>
      <c r="X129" s="6" t="n">
        <v>0.560246047208013</v>
      </c>
      <c r="Y129" s="3">
        <f>IF(X129="","",IF(X129&gt;='Léeme'!$B$6,"barato",IF(X129&lt;'Léeme'!$B$7,"caro","medio")))</f>
        <v/>
      </c>
      <c r="Z129" s="10" t="n"/>
      <c r="AA129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1">
      <c r="A1" s="2" t="inlineStr">
        <is>
          <t>Trimestre</t>
        </is>
      </c>
      <c r="B1" s="2" t="inlineStr">
        <is>
          <t>Fecha</t>
        </is>
      </c>
      <c r="C1" s="2" t="inlineStr">
        <is>
          <t>Precio</t>
        </is>
      </c>
      <c r="D1" s="2" t="inlineStr">
        <is>
          <t>Flujo por acción, 12 meses</t>
        </is>
      </c>
      <c r="E1" s="2" t="inlineStr">
        <is>
          <t>Dividendo anualizado</t>
        </is>
      </c>
      <c r="F1" s="2" t="inlineStr">
        <is>
          <t>Treasury 10 años</t>
        </is>
      </c>
      <c r="G1" s="2" t="inlineStr">
        <is>
          <t>Inflación 12 meses</t>
        </is>
      </c>
      <c r="H1" s="2" t="inlineStr">
        <is>
          <t>Bonos Baa</t>
        </is>
      </c>
      <c r="I1" s="2" t="inlineStr">
        <is>
          <t>Múltiplo precio/flujo</t>
        </is>
      </c>
      <c r="J1" s="2" t="inlineStr">
        <is>
          <t>Yield de flujo</t>
        </is>
      </c>
      <c r="K1" s="2" t="inlineStr">
        <is>
          <t>Yield de dividendo</t>
        </is>
      </c>
      <c r="L1" s="2" t="inlineStr">
        <is>
          <t>Tasa real</t>
        </is>
      </c>
      <c r="M1" s="2" t="inlineStr">
        <is>
          <t>Prima sobre el Treasury</t>
        </is>
      </c>
      <c r="N1" s="2" t="inlineStr">
        <is>
          <t>Prima sobre la tasa real</t>
        </is>
      </c>
      <c r="O1" s="2" t="inlineStr">
        <is>
          <t>Prima sobre bonos Baa</t>
        </is>
      </c>
      <c r="P1" s="2" t="inlineStr">
        <is>
          <t>Dividendo sobre el Treasury</t>
        </is>
      </c>
      <c r="Q1" s="2" t="inlineStr">
        <is>
          <t>Percentil: Múltiplo P/FFO</t>
        </is>
      </c>
      <c r="R1" s="2" t="inlineStr">
        <is>
          <t>Percentil: Prima sobre el Treasury</t>
        </is>
      </c>
      <c r="S1" s="2" t="inlineStr">
        <is>
          <t>Percentil: Prima sobre la tasa real</t>
        </is>
      </c>
      <c r="T1" s="2" t="inlineStr">
        <is>
          <t>Percentil: Prima sobre bonos Baa</t>
        </is>
      </c>
      <c r="U1" s="2" t="inlineStr">
        <is>
          <t>Percentil: Yield de dividendo</t>
        </is>
      </c>
      <c r="V1" s="2" t="inlineStr">
        <is>
          <t>Percentil: Dividendo sobre el Treasury</t>
        </is>
      </c>
      <c r="W1" s="2" t="inlineStr">
        <is>
          <t>Percentil: Múltiplo contra sus últimos 5 años</t>
        </is>
      </c>
      <c r="X1" s="2" t="inlineStr">
        <is>
          <t>Percentil: Consenso de los siete</t>
        </is>
      </c>
      <c r="Y1" s="2" t="inlineStr">
        <is>
          <t>Señal del consenso</t>
        </is>
      </c>
      <c r="Z1" s="2" t="inlineStr">
        <is>
          <t>Retorno anual, 1 año después</t>
        </is>
      </c>
      <c r="AA1" s="2" t="inlineStr">
        <is>
          <t>Retorno anual, 5 años después</t>
        </is>
      </c>
    </row>
    <row r="2">
      <c r="A2" s="3" t="inlineStr">
        <is>
          <t>1998-T1</t>
        </is>
      </c>
      <c r="B2" s="12" t="n">
        <v>35885</v>
      </c>
      <c r="C2" s="13" t="n">
        <v>20.125</v>
      </c>
      <c r="E2" s="13" t="n">
        <v>1.648</v>
      </c>
      <c r="F2" s="14" t="n">
        <v>0.0567</v>
      </c>
      <c r="G2" s="14" t="n">
        <v>0.01440200375704448</v>
      </c>
      <c r="H2" s="14" t="n">
        <v>0.0736</v>
      </c>
      <c r="I2" s="15">
        <f>IFERROR(C2/D2,"")</f>
        <v/>
      </c>
      <c r="J2" s="8">
        <f>IFERROR(D2/C2,"")</f>
        <v/>
      </c>
      <c r="K2" s="8">
        <f>IFERROR(E2/C2,"")</f>
        <v/>
      </c>
      <c r="L2" s="8">
        <f>IFERROR(F2-G2,"")</f>
        <v/>
      </c>
      <c r="M2" s="8">
        <f>IFERROR(J2-F2,"")</f>
        <v/>
      </c>
      <c r="N2" s="8">
        <f>IFERROR(J2-L2,"")</f>
        <v/>
      </c>
      <c r="O2" s="8">
        <f>IFERROR(J2-H2,"")</f>
        <v/>
      </c>
      <c r="P2" s="8">
        <f>IFERROR(K2-F2,"")</f>
        <v/>
      </c>
      <c r="Q2" s="6" t="n"/>
      <c r="R2" s="6" t="n"/>
      <c r="S2" s="6" t="n"/>
      <c r="T2" s="6" t="n"/>
      <c r="U2" s="6" t="n"/>
      <c r="V2" s="6" t="n"/>
      <c r="W2" s="6" t="n"/>
      <c r="X2" s="6" t="n"/>
      <c r="Y2" s="3">
        <f>IF(X2="","",IF(X2&gt;='Léeme'!$B$6,"barato",IF(X2&lt;'Léeme'!$B$7,"caro","medio")))</f>
        <v/>
      </c>
      <c r="Z2" s="10" t="n">
        <v>-0.05940535655044743</v>
      </c>
      <c r="AA2" s="10" t="n">
        <v>0.1180310649105241</v>
      </c>
    </row>
    <row r="3">
      <c r="A3" s="3" t="inlineStr">
        <is>
          <t>1998-T2</t>
        </is>
      </c>
      <c r="B3" s="12" t="n">
        <v>35976</v>
      </c>
      <c r="C3" s="13" t="n">
        <v>19.75</v>
      </c>
      <c r="E3" s="13" t="n">
        <v>1.648</v>
      </c>
      <c r="F3" s="14" t="n">
        <v>0.0544</v>
      </c>
      <c r="G3" s="14" t="n">
        <v>0.01688555347091936</v>
      </c>
      <c r="H3" s="14" t="n">
        <v>0.0713</v>
      </c>
      <c r="I3" s="15">
        <f>IFERROR(C3/D3,"")</f>
        <v/>
      </c>
      <c r="J3" s="8">
        <f>IFERROR(D3/C3,"")</f>
        <v/>
      </c>
      <c r="K3" s="8">
        <f>IFERROR(E3/C3,"")</f>
        <v/>
      </c>
      <c r="L3" s="8">
        <f>IFERROR(F3-G3,"")</f>
        <v/>
      </c>
      <c r="M3" s="8">
        <f>IFERROR(J3-F3,"")</f>
        <v/>
      </c>
      <c r="N3" s="8">
        <f>IFERROR(J3-L3,"")</f>
        <v/>
      </c>
      <c r="O3" s="8">
        <f>IFERROR(J3-H3,"")</f>
        <v/>
      </c>
      <c r="P3" s="8">
        <f>IFERROR(K3-F3,"")</f>
        <v/>
      </c>
      <c r="Q3" s="6" t="n"/>
      <c r="R3" s="6" t="n"/>
      <c r="S3" s="6" t="n"/>
      <c r="T3" s="6" t="n"/>
      <c r="U3" s="6" t="n"/>
      <c r="V3" s="6" t="n"/>
      <c r="W3" s="6" t="n"/>
      <c r="X3" s="6" t="n"/>
      <c r="Y3" s="3">
        <f>IF(X3="","",IF(X3&gt;='Léeme'!$B$6,"barato",IF(X3&lt;'Léeme'!$B$7,"caro","medio")))</f>
        <v/>
      </c>
      <c r="Z3" s="10" t="n">
        <v>-0.06208041878825998</v>
      </c>
      <c r="AA3" s="10" t="n">
        <v>0.16246145149978</v>
      </c>
    </row>
    <row r="4">
      <c r="A4" s="3" t="inlineStr">
        <is>
          <t>1998-T3</t>
        </is>
      </c>
      <c r="B4" s="12" t="n">
        <v>36068</v>
      </c>
      <c r="C4" s="13" t="n">
        <v>19.75</v>
      </c>
      <c r="E4" s="13" t="n">
        <v>1.648</v>
      </c>
      <c r="F4" s="14" t="n">
        <v>0.0444</v>
      </c>
      <c r="G4" s="14" t="n">
        <v>0.01616915422885579</v>
      </c>
      <c r="H4" s="14" t="n">
        <v>0.0709</v>
      </c>
      <c r="I4" s="15">
        <f>IFERROR(C4/D4,"")</f>
        <v/>
      </c>
      <c r="J4" s="8">
        <f>IFERROR(D4/C4,"")</f>
        <v/>
      </c>
      <c r="K4" s="8">
        <f>IFERROR(E4/C4,"")</f>
        <v/>
      </c>
      <c r="L4" s="8">
        <f>IFERROR(F4-G4,"")</f>
        <v/>
      </c>
      <c r="M4" s="8">
        <f>IFERROR(J4-F4,"")</f>
        <v/>
      </c>
      <c r="N4" s="8">
        <f>IFERROR(J4-L4,"")</f>
        <v/>
      </c>
      <c r="O4" s="8">
        <f>IFERROR(J4-H4,"")</f>
        <v/>
      </c>
      <c r="P4" s="8">
        <f>IFERROR(K4-F4,"")</f>
        <v/>
      </c>
      <c r="Q4" s="6" t="n"/>
      <c r="R4" s="6" t="n"/>
      <c r="S4" s="6" t="n"/>
      <c r="T4" s="6" t="n"/>
      <c r="U4" s="6" t="n"/>
      <c r="V4" s="6" t="n"/>
      <c r="W4" s="6" t="n"/>
      <c r="X4" s="6" t="n"/>
      <c r="Y4" s="3">
        <f>IF(X4="","",IF(X4&gt;='Léeme'!$B$6,"barato",IF(X4&lt;'Léeme'!$B$7,"caro","medio")))</f>
        <v/>
      </c>
      <c r="Z4" s="10" t="n">
        <v>0.09151922144593572</v>
      </c>
      <c r="AA4" s="10" t="n">
        <v>0.1748224329002588</v>
      </c>
    </row>
    <row r="5">
      <c r="A5" s="3" t="inlineStr">
        <is>
          <t>1998-T4</t>
        </is>
      </c>
      <c r="B5" s="12" t="n">
        <v>36160</v>
      </c>
      <c r="C5" s="13" t="n">
        <v>19.6875</v>
      </c>
      <c r="E5" s="13" t="n">
        <v>1.648</v>
      </c>
      <c r="F5" s="14" t="n">
        <v>0.04650000000000001</v>
      </c>
      <c r="G5" s="14" t="n">
        <v>0.01484230055658631</v>
      </c>
      <c r="H5" s="14" t="n">
        <v>0.0726</v>
      </c>
      <c r="I5" s="15">
        <f>IFERROR(C5/D5,"")</f>
        <v/>
      </c>
      <c r="J5" s="8">
        <f>IFERROR(D5/C5,"")</f>
        <v/>
      </c>
      <c r="K5" s="8">
        <f>IFERROR(E5/C5,"")</f>
        <v/>
      </c>
      <c r="L5" s="8">
        <f>IFERROR(F5-G5,"")</f>
        <v/>
      </c>
      <c r="M5" s="8">
        <f>IFERROR(J5-F5,"")</f>
        <v/>
      </c>
      <c r="N5" s="8">
        <f>IFERROR(J5-L5,"")</f>
        <v/>
      </c>
      <c r="O5" s="8">
        <f>IFERROR(J5-H5,"")</f>
        <v/>
      </c>
      <c r="P5" s="8">
        <f>IFERROR(K5-F5,"")</f>
        <v/>
      </c>
      <c r="Q5" s="6" t="n"/>
      <c r="R5" s="6" t="n"/>
      <c r="S5" s="6" t="n"/>
      <c r="T5" s="6" t="n"/>
      <c r="U5" s="6" t="n"/>
      <c r="V5" s="6" t="n"/>
      <c r="W5" s="6" t="n"/>
      <c r="X5" s="6" t="n"/>
      <c r="Y5" s="3">
        <f>IF(X5="","",IF(X5&gt;='Léeme'!$B$6,"barato",IF(X5&lt;'Léeme'!$B$7,"caro","medio")))</f>
        <v/>
      </c>
      <c r="Z5" s="10" t="n">
        <v>-0.07269507144335396</v>
      </c>
      <c r="AA5" s="10" t="n">
        <v>0.1649863107285385</v>
      </c>
    </row>
    <row r="6">
      <c r="A6" s="3" t="inlineStr">
        <is>
          <t>1999-T1</t>
        </is>
      </c>
      <c r="B6" s="12" t="n">
        <v>36250</v>
      </c>
      <c r="C6" s="13" t="n">
        <v>17.6875</v>
      </c>
      <c r="E6" s="13" t="n">
        <v>1.672</v>
      </c>
      <c r="F6" s="14" t="n">
        <v>0.0525</v>
      </c>
      <c r="G6" s="14" t="n">
        <v>0.01666666666666661</v>
      </c>
      <c r="H6" s="14" t="n">
        <v>0.07530000000000001</v>
      </c>
      <c r="I6" s="15">
        <f>IFERROR(C6/D6,"")</f>
        <v/>
      </c>
      <c r="J6" s="8">
        <f>IFERROR(D6/C6,"")</f>
        <v/>
      </c>
      <c r="K6" s="8">
        <f>IFERROR(E6/C6,"")</f>
        <v/>
      </c>
      <c r="L6" s="8">
        <f>IFERROR(F6-G6,"")</f>
        <v/>
      </c>
      <c r="M6" s="8">
        <f>IFERROR(J6-F6,"")</f>
        <v/>
      </c>
      <c r="N6" s="8">
        <f>IFERROR(J6-L6,"")</f>
        <v/>
      </c>
      <c r="O6" s="8">
        <f>IFERROR(J6-H6,"")</f>
        <v/>
      </c>
      <c r="P6" s="8">
        <f>IFERROR(K6-F6,"")</f>
        <v/>
      </c>
      <c r="Q6" s="6" t="n"/>
      <c r="R6" s="6" t="n"/>
      <c r="S6" s="6" t="n"/>
      <c r="T6" s="6" t="n"/>
      <c r="U6" s="6" t="n"/>
      <c r="V6" s="6" t="n"/>
      <c r="W6" s="6" t="n"/>
      <c r="X6" s="6" t="n"/>
      <c r="Y6" s="3">
        <f>IF(X6="","",IF(X6&gt;='Léeme'!$B$6,"barato",IF(X6&lt;'Léeme'!$B$7,"caro","medio")))</f>
        <v/>
      </c>
      <c r="Z6" s="10" t="n">
        <v>0.0177104270461077</v>
      </c>
      <c r="AA6" s="10" t="n">
        <v>0.1918159348571538</v>
      </c>
    </row>
    <row r="7">
      <c r="A7" s="3" t="inlineStr">
        <is>
          <t>1999-T2</t>
        </is>
      </c>
      <c r="B7" s="12" t="n">
        <v>36341</v>
      </c>
      <c r="C7" s="13" t="n">
        <v>17.25</v>
      </c>
      <c r="E7" s="13" t="n">
        <v>1.672</v>
      </c>
      <c r="F7" s="14" t="n">
        <v>0.0581</v>
      </c>
      <c r="G7" s="14" t="n">
        <v>0.02091020910209096</v>
      </c>
      <c r="H7" s="14" t="n">
        <v>0.0805</v>
      </c>
      <c r="I7" s="15">
        <f>IFERROR(C7/D7,"")</f>
        <v/>
      </c>
      <c r="J7" s="8">
        <f>IFERROR(D7/C7,"")</f>
        <v/>
      </c>
      <c r="K7" s="8">
        <f>IFERROR(E7/C7,"")</f>
        <v/>
      </c>
      <c r="L7" s="8">
        <f>IFERROR(F7-G7,"")</f>
        <v/>
      </c>
      <c r="M7" s="8">
        <f>IFERROR(J7-F7,"")</f>
        <v/>
      </c>
      <c r="N7" s="8">
        <f>IFERROR(J7-L7,"")</f>
        <v/>
      </c>
      <c r="O7" s="8">
        <f>IFERROR(J7-H7,"")</f>
        <v/>
      </c>
      <c r="P7" s="8">
        <f>IFERROR(K7-F7,"")</f>
        <v/>
      </c>
      <c r="Q7" s="6" t="n"/>
      <c r="R7" s="6" t="n"/>
      <c r="S7" s="6" t="n"/>
      <c r="T7" s="6" t="n"/>
      <c r="U7" s="6" t="n"/>
      <c r="V7" s="6" t="n"/>
      <c r="W7" s="6" t="n"/>
      <c r="X7" s="6" t="n"/>
      <c r="Y7" s="3">
        <f>IF(X7="","",IF(X7&gt;='Léeme'!$B$6,"barato",IF(X7&lt;'Léeme'!$B$7,"caro","medio")))</f>
        <v/>
      </c>
      <c r="Z7" s="10" t="n">
        <v>0.0283605395316926</v>
      </c>
      <c r="AA7" s="10" t="n">
        <v>0.1867832119173862</v>
      </c>
    </row>
    <row r="8">
      <c r="A8" s="3" t="inlineStr">
        <is>
          <t>1999-T3</t>
        </is>
      </c>
      <c r="B8" s="12" t="n">
        <v>36433</v>
      </c>
      <c r="C8" s="13" t="n">
        <v>20</v>
      </c>
      <c r="E8" s="13" t="n">
        <v>1.672</v>
      </c>
      <c r="F8" s="14" t="n">
        <v>0.059</v>
      </c>
      <c r="G8" s="14" t="n">
        <v>0.0226438188494491</v>
      </c>
      <c r="H8" s="14" t="n">
        <v>0.0828</v>
      </c>
      <c r="I8" s="15">
        <f>IFERROR(C8/D8,"")</f>
        <v/>
      </c>
      <c r="J8" s="8">
        <f>IFERROR(D8/C8,"")</f>
        <v/>
      </c>
      <c r="K8" s="8">
        <f>IFERROR(E8/C8,"")</f>
        <v/>
      </c>
      <c r="L8" s="8">
        <f>IFERROR(F8-G8,"")</f>
        <v/>
      </c>
      <c r="M8" s="8">
        <f>IFERROR(J8-F8,"")</f>
        <v/>
      </c>
      <c r="N8" s="8">
        <f>IFERROR(J8-L8,"")</f>
        <v/>
      </c>
      <c r="O8" s="8">
        <f>IFERROR(J8-H8,"")</f>
        <v/>
      </c>
      <c r="P8" s="8">
        <f>IFERROR(K8-F8,"")</f>
        <v/>
      </c>
      <c r="Q8" s="6" t="n"/>
      <c r="R8" s="6" t="n"/>
      <c r="S8" s="6" t="n"/>
      <c r="T8" s="6" t="n"/>
      <c r="U8" s="6" t="n"/>
      <c r="V8" s="6" t="n"/>
      <c r="W8" s="6" t="n"/>
      <c r="X8" s="6" t="n"/>
      <c r="Y8" s="3">
        <f>IF(X8="","",IF(X8&gt;='Léeme'!$B$6,"barato",IF(X8&lt;'Léeme'!$B$7,"caro","medio")))</f>
        <v/>
      </c>
      <c r="Z8" s="10" t="n">
        <v>-0.0498011232593577</v>
      </c>
      <c r="AA8" s="10" t="n">
        <v>0.1508186108505392</v>
      </c>
    </row>
    <row r="9">
      <c r="A9" s="3" t="inlineStr">
        <is>
          <t>1999-T4</t>
        </is>
      </c>
      <c r="B9" s="12" t="n">
        <v>36525</v>
      </c>
      <c r="C9" s="13" t="n">
        <v>16.875</v>
      </c>
      <c r="E9" s="13" t="n">
        <v>1.672</v>
      </c>
      <c r="F9" s="14" t="n">
        <v>0.0645</v>
      </c>
      <c r="G9" s="14" t="n">
        <v>0.02620353443022561</v>
      </c>
      <c r="H9" s="14" t="n">
        <v>0.0823</v>
      </c>
      <c r="I9" s="15">
        <f>IFERROR(C9/D9,"")</f>
        <v/>
      </c>
      <c r="J9" s="8">
        <f>IFERROR(D9/C9,"")</f>
        <v/>
      </c>
      <c r="K9" s="8">
        <f>IFERROR(E9/C9,"")</f>
        <v/>
      </c>
      <c r="L9" s="8">
        <f>IFERROR(F9-G9,"")</f>
        <v/>
      </c>
      <c r="M9" s="8">
        <f>IFERROR(J9-F9,"")</f>
        <v/>
      </c>
      <c r="N9" s="8">
        <f>IFERROR(J9-L9,"")</f>
        <v/>
      </c>
      <c r="O9" s="8">
        <f>IFERROR(J9-H9,"")</f>
        <v/>
      </c>
      <c r="P9" s="8">
        <f>IFERROR(K9-F9,"")</f>
        <v/>
      </c>
      <c r="Q9" s="6" t="n"/>
      <c r="R9" s="6" t="n"/>
      <c r="S9" s="6" t="n"/>
      <c r="T9" s="6" t="n"/>
      <c r="U9" s="6" t="n"/>
      <c r="V9" s="6" t="n"/>
      <c r="W9" s="6" t="n"/>
      <c r="X9" s="6" t="n"/>
      <c r="Y9" s="3">
        <f>IF(X9="","",IF(X9&gt;='Léeme'!$B$6,"barato",IF(X9&lt;'Léeme'!$B$7,"caro","medio")))</f>
        <v/>
      </c>
      <c r="Z9" s="10" t="n">
        <v>0.1593800974204411</v>
      </c>
      <c r="AA9" s="10" t="n">
        <v>0.2275897865498364</v>
      </c>
    </row>
    <row r="10">
      <c r="A10" s="3" t="inlineStr">
        <is>
          <t>2000-T1</t>
        </is>
      </c>
      <c r="B10" s="12" t="n">
        <v>36616</v>
      </c>
      <c r="C10" s="13" t="n">
        <v>16.625</v>
      </c>
      <c r="E10" s="13" t="n">
        <v>1.692</v>
      </c>
      <c r="F10" s="14" t="n">
        <v>0.0603</v>
      </c>
      <c r="G10" s="14" t="n">
        <v>0.03217972070431085</v>
      </c>
      <c r="H10" s="14" t="n">
        <v>0.08359999999999999</v>
      </c>
      <c r="I10" s="15">
        <f>IFERROR(C10/D10,"")</f>
        <v/>
      </c>
      <c r="J10" s="8">
        <f>IFERROR(D10/C10,"")</f>
        <v/>
      </c>
      <c r="K10" s="8">
        <f>IFERROR(E10/C10,"")</f>
        <v/>
      </c>
      <c r="L10" s="8">
        <f>IFERROR(F10-G10,"")</f>
        <v/>
      </c>
      <c r="M10" s="8">
        <f>IFERROR(J10-F10,"")</f>
        <v/>
      </c>
      <c r="N10" s="8">
        <f>IFERROR(J10-L10,"")</f>
        <v/>
      </c>
      <c r="O10" s="8">
        <f>IFERROR(J10-H10,"")</f>
        <v/>
      </c>
      <c r="P10" s="8">
        <f>IFERROR(K10-F10,"")</f>
        <v/>
      </c>
      <c r="Q10" s="6" t="n"/>
      <c r="R10" s="6" t="n"/>
      <c r="S10" s="6" t="n"/>
      <c r="T10" s="6" t="n"/>
      <c r="U10" s="6" t="n"/>
      <c r="V10" s="6" t="n"/>
      <c r="W10" s="6" t="n"/>
      <c r="X10" s="6" t="n"/>
      <c r="Y10" s="3">
        <f>IF(X10="","",IF(X10&gt;='Léeme'!$B$6,"barato",IF(X10&lt;'Léeme'!$B$7,"caro","medio")))</f>
        <v/>
      </c>
      <c r="Z10" s="10" t="n">
        <v>0.2559728523504019</v>
      </c>
      <c r="AA10" s="10" t="n">
        <v>0.1939436472142291</v>
      </c>
    </row>
    <row r="11">
      <c r="A11" s="3" t="inlineStr">
        <is>
          <t>2000-T2</t>
        </is>
      </c>
      <c r="B11" s="12" t="n">
        <v>36707</v>
      </c>
      <c r="C11" s="13" t="n">
        <v>16.375001</v>
      </c>
      <c r="D11" s="13" t="n">
        <v>1.98</v>
      </c>
      <c r="E11" s="13" t="n">
        <v>1.692</v>
      </c>
      <c r="F11" s="14" t="n">
        <v>0.0603</v>
      </c>
      <c r="G11" s="14" t="n">
        <v>0.03132530120481913</v>
      </c>
      <c r="H11" s="14" t="n">
        <v>0.08439999999999999</v>
      </c>
      <c r="I11" s="15">
        <f>IFERROR(C11/D11,"")</f>
        <v/>
      </c>
      <c r="J11" s="8">
        <f>IFERROR(D11/C11,"")</f>
        <v/>
      </c>
      <c r="K11" s="8">
        <f>IFERROR(E11/C11,"")</f>
        <v/>
      </c>
      <c r="L11" s="8">
        <f>IFERROR(F11-G11,"")</f>
        <v/>
      </c>
      <c r="M11" s="8">
        <f>IFERROR(J11-F11,"")</f>
        <v/>
      </c>
      <c r="N11" s="8">
        <f>IFERROR(J11-L11,"")</f>
        <v/>
      </c>
      <c r="O11" s="8">
        <f>IFERROR(J11-H11,"")</f>
        <v/>
      </c>
      <c r="P11" s="8">
        <f>IFERROR(K11-F11,"")</f>
        <v/>
      </c>
      <c r="Q11" s="6" t="n"/>
      <c r="R11" s="6" t="n"/>
      <c r="S11" s="6" t="n"/>
      <c r="T11" s="6" t="n"/>
      <c r="U11" s="6" t="n"/>
      <c r="V11" s="6" t="n"/>
      <c r="W11" s="6" t="n"/>
      <c r="X11" s="6" t="n"/>
      <c r="Y11" s="3">
        <f>IF(X11="","",IF(X11&gt;='Léeme'!$B$6,"barato",IF(X11&lt;'Léeme'!$B$7,"caro","medio")))</f>
        <v/>
      </c>
      <c r="Z11" s="10" t="n">
        <v>0.214845024311799</v>
      </c>
      <c r="AA11" s="10" t="n">
        <v>0.1869983805528121</v>
      </c>
    </row>
    <row r="12">
      <c r="A12" s="3" t="inlineStr">
        <is>
          <t>2000-T3</t>
        </is>
      </c>
      <c r="B12" s="12" t="n">
        <v>36798</v>
      </c>
      <c r="C12" s="13" t="n">
        <v>17.5625</v>
      </c>
      <c r="D12" s="13" t="n">
        <v>1.98</v>
      </c>
      <c r="E12" s="13" t="n">
        <v>1.692</v>
      </c>
      <c r="F12" s="14" t="n">
        <v>0.058</v>
      </c>
      <c r="G12" s="14" t="n">
        <v>0.03351286654697772</v>
      </c>
      <c r="H12" s="14" t="n">
        <v>0.0832</v>
      </c>
      <c r="I12" s="15">
        <f>IFERROR(C12/D12,"")</f>
        <v/>
      </c>
      <c r="J12" s="8">
        <f>IFERROR(D12/C12,"")</f>
        <v/>
      </c>
      <c r="K12" s="8">
        <f>IFERROR(E12/C12,"")</f>
        <v/>
      </c>
      <c r="L12" s="8">
        <f>IFERROR(F12-G12,"")</f>
        <v/>
      </c>
      <c r="M12" s="8">
        <f>IFERROR(J12-F12,"")</f>
        <v/>
      </c>
      <c r="N12" s="8">
        <f>IFERROR(J12-L12,"")</f>
        <v/>
      </c>
      <c r="O12" s="8">
        <f>IFERROR(J12-H12,"")</f>
        <v/>
      </c>
      <c r="P12" s="8">
        <f>IFERROR(K12-F12,"")</f>
        <v/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3">
        <f>IF(X12="","",IF(X12&gt;='Léeme'!$B$6,"barato",IF(X12&lt;'Léeme'!$B$7,"caro","medio")))</f>
        <v/>
      </c>
      <c r="Z12" s="10" t="n">
        <v>0.3037210559896764</v>
      </c>
      <c r="AA12" s="10" t="n">
        <v>0.148279466045691</v>
      </c>
    </row>
    <row r="13">
      <c r="A13" s="3" t="inlineStr">
        <is>
          <t>2000-T4</t>
        </is>
      </c>
      <c r="B13" s="12" t="n">
        <v>36889</v>
      </c>
      <c r="C13" s="13" t="n">
        <v>18.1</v>
      </c>
      <c r="D13" s="13" t="n">
        <v>1.98</v>
      </c>
      <c r="E13" s="13" t="n">
        <v>1.692</v>
      </c>
      <c r="F13" s="14" t="n">
        <v>0.0512</v>
      </c>
      <c r="G13" s="14" t="n">
        <v>0.03444180522565321</v>
      </c>
      <c r="H13" s="14" t="n">
        <v>0.0796</v>
      </c>
      <c r="I13" s="15">
        <f>IFERROR(C13/D13,"")</f>
        <v/>
      </c>
      <c r="J13" s="8">
        <f>IFERROR(D13/C13,"")</f>
        <v/>
      </c>
      <c r="K13" s="8">
        <f>IFERROR(E13/C13,"")</f>
        <v/>
      </c>
      <c r="L13" s="8">
        <f>IFERROR(F13-G13,"")</f>
        <v/>
      </c>
      <c r="M13" s="8">
        <f>IFERROR(J13-F13,"")</f>
        <v/>
      </c>
      <c r="N13" s="8">
        <f>IFERROR(J13-L13,"")</f>
        <v/>
      </c>
      <c r="O13" s="8">
        <f>IFERROR(J13-H13,"")</f>
        <v/>
      </c>
      <c r="P13" s="8">
        <f>IFERROR(K13-F13,"")</f>
        <v/>
      </c>
      <c r="Q13" s="6" t="n"/>
      <c r="R13" s="6" t="n"/>
      <c r="S13" s="6" t="n"/>
      <c r="T13" s="6" t="n"/>
      <c r="U13" s="6" t="n"/>
      <c r="V13" s="6" t="n"/>
      <c r="W13" s="6" t="n"/>
      <c r="X13" s="6" t="n"/>
      <c r="Y13" s="3">
        <f>IF(X13="","",IF(X13&gt;='Léeme'!$B$6,"barato",IF(X13&lt;'Léeme'!$B$7,"caro","medio")))</f>
        <v/>
      </c>
      <c r="Z13" s="10" t="n">
        <v>0.3915569615314494</v>
      </c>
      <c r="AA13" s="10" t="n">
        <v>0.1276838467521093</v>
      </c>
    </row>
    <row r="14">
      <c r="A14" s="3" t="inlineStr">
        <is>
          <t>2001-T1</t>
        </is>
      </c>
      <c r="B14" s="12" t="n">
        <v>36980</v>
      </c>
      <c r="C14" s="13" t="n">
        <v>19.349999</v>
      </c>
      <c r="D14" s="13" t="n">
        <v>2.28</v>
      </c>
      <c r="E14" s="13" t="n">
        <v>1.692</v>
      </c>
      <c r="F14" s="14" t="n">
        <v>0.0493</v>
      </c>
      <c r="G14" s="14" t="n">
        <v>0.03529411764705892</v>
      </c>
      <c r="H14" s="14" t="n">
        <v>0.08</v>
      </c>
      <c r="I14" s="15">
        <f>IFERROR(C14/D14,"")</f>
        <v/>
      </c>
      <c r="J14" s="8">
        <f>IFERROR(D14/C14,"")</f>
        <v/>
      </c>
      <c r="K14" s="8">
        <f>IFERROR(E14/C14,"")</f>
        <v/>
      </c>
      <c r="L14" s="8">
        <f>IFERROR(F14-G14,"")</f>
        <v/>
      </c>
      <c r="M14" s="8">
        <f>IFERROR(J14-F14,"")</f>
        <v/>
      </c>
      <c r="N14" s="8">
        <f>IFERROR(J14-L14,"")</f>
        <v/>
      </c>
      <c r="O14" s="8">
        <f>IFERROR(J14-H14,"")</f>
        <v/>
      </c>
      <c r="P14" s="8">
        <f>IFERROR(K14-F14,"")</f>
        <v/>
      </c>
      <c r="Q14" s="6" t="n"/>
      <c r="R14" s="6" t="n"/>
      <c r="S14" s="6" t="n"/>
      <c r="T14" s="6" t="n"/>
      <c r="U14" s="6" t="n">
        <v>0.3648648648648649</v>
      </c>
      <c r="V14" s="6" t="n">
        <v>0.527027027027027</v>
      </c>
      <c r="W14" s="6" t="n"/>
      <c r="X14" s="6" t="n"/>
      <c r="Y14" s="3">
        <f>IF(X14="","",IF(X14&gt;='Léeme'!$B$6,"barato",IF(X14&lt;'Léeme'!$B$7,"caro","medio")))</f>
        <v/>
      </c>
      <c r="Z14" s="10" t="n">
        <v>0.2776003621336389</v>
      </c>
      <c r="AA14" s="10" t="n">
        <v>0.124316360651443</v>
      </c>
    </row>
    <row r="15">
      <c r="A15" s="3" t="inlineStr">
        <is>
          <t>2001-T2</t>
        </is>
      </c>
      <c r="B15" s="12" t="n">
        <v>37071</v>
      </c>
      <c r="C15" s="13" t="n">
        <v>18.500001</v>
      </c>
      <c r="D15" s="13" t="n">
        <v>2.28</v>
      </c>
      <c r="E15" s="13" t="n">
        <v>1.7</v>
      </c>
      <c r="F15" s="14" t="n">
        <v>0.0542</v>
      </c>
      <c r="G15" s="14" t="n">
        <v>0.03563084112149539</v>
      </c>
      <c r="H15" s="14" t="n">
        <v>0.0801</v>
      </c>
      <c r="I15" s="15">
        <f>IFERROR(C15/D15,"")</f>
        <v/>
      </c>
      <c r="J15" s="8">
        <f>IFERROR(D15/C15,"")</f>
        <v/>
      </c>
      <c r="K15" s="8">
        <f>IFERROR(E15/C15,"")</f>
        <v/>
      </c>
      <c r="L15" s="8">
        <f>IFERROR(F15-G15,"")</f>
        <v/>
      </c>
      <c r="M15" s="8">
        <f>IFERROR(J15-F15,"")</f>
        <v/>
      </c>
      <c r="N15" s="8">
        <f>IFERROR(J15-L15,"")</f>
        <v/>
      </c>
      <c r="O15" s="8">
        <f>IFERROR(J15-H15,"")</f>
        <v/>
      </c>
      <c r="P15" s="8">
        <f>IFERROR(K15-F15,"")</f>
        <v/>
      </c>
      <c r="Q15" s="6" t="n"/>
      <c r="R15" s="6" t="n"/>
      <c r="S15" s="6" t="n"/>
      <c r="T15" s="6" t="n"/>
      <c r="U15" s="6" t="n">
        <v>0.4625</v>
      </c>
      <c r="V15" s="6" t="n">
        <v>0.4875</v>
      </c>
      <c r="W15" s="6" t="n"/>
      <c r="X15" s="6" t="n"/>
      <c r="Y15" s="3">
        <f>IF(X15="","",IF(X15&gt;='Léeme'!$B$6,"barato",IF(X15&lt;'Léeme'!$B$7,"caro","medio")))</f>
        <v/>
      </c>
      <c r="Z15" s="10" t="n">
        <v>0.2917013198676786</v>
      </c>
      <c r="AA15" s="10" t="n">
        <v>0.1185577026327886</v>
      </c>
    </row>
    <row r="16">
      <c r="A16" s="3" t="inlineStr">
        <is>
          <t>2001-T3</t>
        </is>
      </c>
      <c r="B16" s="12" t="n">
        <v>37162</v>
      </c>
      <c r="C16" s="13" t="n">
        <v>21.35</v>
      </c>
      <c r="D16" s="13" t="n">
        <v>2.28</v>
      </c>
      <c r="E16" s="13" t="n">
        <v>1.704</v>
      </c>
      <c r="F16" s="14" t="n">
        <v>0.046</v>
      </c>
      <c r="G16" s="14" t="n">
        <v>0.0272148233931675</v>
      </c>
      <c r="H16" s="14" t="n">
        <v>0.0805</v>
      </c>
      <c r="I16" s="15">
        <f>IFERROR(C16/D16,"")</f>
        <v/>
      </c>
      <c r="J16" s="8">
        <f>IFERROR(D16/C16,"")</f>
        <v/>
      </c>
      <c r="K16" s="8">
        <f>IFERROR(E16/C16,"")</f>
        <v/>
      </c>
      <c r="L16" s="8">
        <f>IFERROR(F16-G16,"")</f>
        <v/>
      </c>
      <c r="M16" s="8">
        <f>IFERROR(J16-F16,"")</f>
        <v/>
      </c>
      <c r="N16" s="8">
        <f>IFERROR(J16-L16,"")</f>
        <v/>
      </c>
      <c r="O16" s="8">
        <f>IFERROR(J16-H16,"")</f>
        <v/>
      </c>
      <c r="P16" s="8">
        <f>IFERROR(K16-F16,"")</f>
        <v/>
      </c>
      <c r="Q16" s="6" t="n"/>
      <c r="R16" s="6" t="n"/>
      <c r="S16" s="6" t="n"/>
      <c r="T16" s="6" t="n"/>
      <c r="U16" s="6" t="n">
        <v>0.1046511627906977</v>
      </c>
      <c r="V16" s="6" t="n">
        <v>0.313953488372093</v>
      </c>
      <c r="W16" s="6" t="n"/>
      <c r="X16" s="6" t="n"/>
      <c r="Y16" s="3">
        <f>IF(X16="","",IF(X16&gt;='Léeme'!$B$6,"barato",IF(X16&lt;'Léeme'!$B$7,"caro","medio")))</f>
        <v/>
      </c>
      <c r="Z16" s="10" t="n">
        <v>0.2494639754284946</v>
      </c>
      <c r="AA16" s="10" t="n">
        <v>0.107484679223373</v>
      </c>
    </row>
    <row r="17">
      <c r="A17" s="3" t="inlineStr">
        <is>
          <t>2001-T4</t>
        </is>
      </c>
      <c r="B17" s="12" t="n">
        <v>37256</v>
      </c>
      <c r="C17" s="13" t="n">
        <v>23.2</v>
      </c>
      <c r="D17" s="13" t="n">
        <v>2.28</v>
      </c>
      <c r="E17" s="13" t="n">
        <v>1.708</v>
      </c>
      <c r="F17" s="14" t="n">
        <v>0.0507</v>
      </c>
      <c r="G17" s="14" t="n">
        <v>0.01894374282433997</v>
      </c>
      <c r="H17" s="14" t="n">
        <v>0.08019999999999999</v>
      </c>
      <c r="I17" s="15">
        <f>IFERROR(C17/D17,"")</f>
        <v/>
      </c>
      <c r="J17" s="8">
        <f>IFERROR(D17/C17,"")</f>
        <v/>
      </c>
      <c r="K17" s="8">
        <f>IFERROR(E17/C17,"")</f>
        <v/>
      </c>
      <c r="L17" s="8">
        <f>IFERROR(F17-G17,"")</f>
        <v/>
      </c>
      <c r="M17" s="8">
        <f>IFERROR(J17-F17,"")</f>
        <v/>
      </c>
      <c r="N17" s="8">
        <f>IFERROR(J17-L17,"")</f>
        <v/>
      </c>
      <c r="O17" s="8">
        <f>IFERROR(J17-H17,"")</f>
        <v/>
      </c>
      <c r="P17" s="8">
        <f>IFERROR(K17-F17,"")</f>
        <v/>
      </c>
      <c r="Q17" s="6" t="n"/>
      <c r="R17" s="6" t="n"/>
      <c r="S17" s="6" t="n"/>
      <c r="T17" s="6" t="n"/>
      <c r="U17" s="6" t="n">
        <v>0.0108695652173913</v>
      </c>
      <c r="V17" s="6" t="n">
        <v>0.05434782608695652</v>
      </c>
      <c r="W17" s="6" t="n"/>
      <c r="X17" s="6" t="n"/>
      <c r="Y17" s="3">
        <f>IF(X17="","",IF(X17&gt;='Léeme'!$B$6,"barato",IF(X17&lt;'Léeme'!$B$7,"caro","medio")))</f>
        <v/>
      </c>
      <c r="Z17" s="10" t="n">
        <v>0.1284530034299831</v>
      </c>
      <c r="AA17" s="10" t="n">
        <v>0.1079287685205337</v>
      </c>
    </row>
    <row r="18">
      <c r="A18" s="3" t="inlineStr">
        <is>
          <t>2002-T1</t>
        </is>
      </c>
      <c r="B18" s="12" t="n">
        <v>37343</v>
      </c>
      <c r="C18" s="13" t="n">
        <v>23.239999</v>
      </c>
      <c r="D18" s="13" t="n">
        <v>2.41</v>
      </c>
      <c r="E18" s="13" t="n">
        <v>1.712</v>
      </c>
      <c r="F18" s="14" t="n">
        <v>0.0542</v>
      </c>
      <c r="G18" s="14" t="n">
        <v>0.01136363636363646</v>
      </c>
      <c r="H18" s="14" t="n">
        <v>0.08160000000000001</v>
      </c>
      <c r="I18" s="15">
        <f>IFERROR(C18/D18,"")</f>
        <v/>
      </c>
      <c r="J18" s="8">
        <f>IFERROR(D18/C18,"")</f>
        <v/>
      </c>
      <c r="K18" s="8">
        <f>IFERROR(E18/C18,"")</f>
        <v/>
      </c>
      <c r="L18" s="8">
        <f>IFERROR(F18-G18,"")</f>
        <v/>
      </c>
      <c r="M18" s="8">
        <f>IFERROR(J18-F18,"")</f>
        <v/>
      </c>
      <c r="N18" s="8">
        <f>IFERROR(J18-L18,"")</f>
        <v/>
      </c>
      <c r="O18" s="8">
        <f>IFERROR(J18-H18,"")</f>
        <v/>
      </c>
      <c r="P18" s="8">
        <f>IFERROR(K18-F18,"")</f>
        <v/>
      </c>
      <c r="Q18" s="6" t="n"/>
      <c r="R18" s="6" t="n"/>
      <c r="S18" s="6" t="n"/>
      <c r="T18" s="6" t="n"/>
      <c r="U18" s="6" t="n">
        <v>0.05102040816326531</v>
      </c>
      <c r="V18" s="6" t="n">
        <v>0.03061224489795918</v>
      </c>
      <c r="W18" s="6" t="n"/>
      <c r="X18" s="6" t="n"/>
      <c r="Y18" s="3">
        <f>IF(X18="","",IF(X18&gt;='Léeme'!$B$6,"barato",IF(X18&lt;'Léeme'!$B$7,"caro","medio")))</f>
        <v/>
      </c>
      <c r="Z18" s="10" t="n">
        <v>0.1336405685959796</v>
      </c>
      <c r="AA18" s="10" t="n">
        <v>0.130678194930713</v>
      </c>
    </row>
    <row r="19">
      <c r="A19" s="3" t="inlineStr">
        <is>
          <t>2002-T2</t>
        </is>
      </c>
      <c r="B19" s="12" t="n">
        <v>37435</v>
      </c>
      <c r="C19" s="13" t="n">
        <v>22.5</v>
      </c>
      <c r="D19" s="13" t="n">
        <v>2.41</v>
      </c>
      <c r="E19" s="13" t="n">
        <v>1.712</v>
      </c>
      <c r="F19" s="14" t="n">
        <v>0.0486</v>
      </c>
      <c r="G19" s="14" t="n">
        <v>0.01240834743372798</v>
      </c>
      <c r="H19" s="14" t="n">
        <v>0.07980000000000001</v>
      </c>
      <c r="I19" s="15">
        <f>IFERROR(C19/D19,"")</f>
        <v/>
      </c>
      <c r="J19" s="8">
        <f>IFERROR(D19/C19,"")</f>
        <v/>
      </c>
      <c r="K19" s="8">
        <f>IFERROR(E19/C19,"")</f>
        <v/>
      </c>
      <c r="L19" s="8">
        <f>IFERROR(F19-G19,"")</f>
        <v/>
      </c>
      <c r="M19" s="8">
        <f>IFERROR(J19-F19,"")</f>
        <v/>
      </c>
      <c r="N19" s="8">
        <f>IFERROR(J19-L19,"")</f>
        <v/>
      </c>
      <c r="O19" s="8">
        <f>IFERROR(J19-H19,"")</f>
        <v/>
      </c>
      <c r="P19" s="8">
        <f>IFERROR(K19-F19,"")</f>
        <v/>
      </c>
      <c r="Q19" s="6" t="n"/>
      <c r="R19" s="6" t="n"/>
      <c r="S19" s="6" t="n"/>
      <c r="T19" s="6" t="n"/>
      <c r="U19" s="6" t="n">
        <v>0.1634615384615385</v>
      </c>
      <c r="V19" s="6" t="n">
        <v>0.2403846153846154</v>
      </c>
      <c r="W19" s="6" t="n"/>
      <c r="X19" s="6" t="n"/>
      <c r="Y19" s="3">
        <f>IF(X19="","",IF(X19&gt;='Léeme'!$B$6,"barato",IF(X19&lt;'Léeme'!$B$7,"caro","medio")))</f>
        <v/>
      </c>
      <c r="Z19" s="10" t="n">
        <v>0.3879655339264509</v>
      </c>
      <c r="AA19" s="10" t="n">
        <v>0.1183769921652</v>
      </c>
    </row>
    <row r="20">
      <c r="A20" s="3" t="inlineStr">
        <is>
          <t>2002-T3</t>
        </is>
      </c>
      <c r="B20" s="12" t="n">
        <v>37529</v>
      </c>
      <c r="C20" s="13" t="n">
        <v>24.799999</v>
      </c>
      <c r="D20" s="13" t="n">
        <v>2.41</v>
      </c>
      <c r="E20" s="13" t="n">
        <v>1.72</v>
      </c>
      <c r="F20" s="14" t="n">
        <v>0.0363</v>
      </c>
      <c r="G20" s="14" t="n">
        <v>0.01747463359639223</v>
      </c>
      <c r="H20" s="14" t="n">
        <v>0.07400000000000001</v>
      </c>
      <c r="I20" s="15">
        <f>IFERROR(C20/D20,"")</f>
        <v/>
      </c>
      <c r="J20" s="8">
        <f>IFERROR(D20/C20,"")</f>
        <v/>
      </c>
      <c r="K20" s="8">
        <f>IFERROR(E20/C20,"")</f>
        <v/>
      </c>
      <c r="L20" s="8">
        <f>IFERROR(F20-G20,"")</f>
        <v/>
      </c>
      <c r="M20" s="8">
        <f>IFERROR(J20-F20,"")</f>
        <v/>
      </c>
      <c r="N20" s="8">
        <f>IFERROR(J20-L20,"")</f>
        <v/>
      </c>
      <c r="O20" s="8">
        <f>IFERROR(J20-H20,"")</f>
        <v/>
      </c>
      <c r="P20" s="8">
        <f>IFERROR(K20-F20,"")</f>
        <v/>
      </c>
      <c r="Q20" s="6" t="n"/>
      <c r="R20" s="6" t="n"/>
      <c r="S20" s="6" t="n"/>
      <c r="T20" s="6" t="n"/>
      <c r="U20" s="6" t="n">
        <v>0.00909090909090909</v>
      </c>
      <c r="V20" s="6" t="n">
        <v>0.4090909090909091</v>
      </c>
      <c r="W20" s="6" t="n"/>
      <c r="X20" s="6" t="n"/>
      <c r="Y20" s="3">
        <f>IF(X20="","",IF(X20&gt;='Léeme'!$B$6,"barato",IF(X20&lt;'Léeme'!$B$7,"caro","medio")))</f>
        <v/>
      </c>
      <c r="Z20" s="10" t="n">
        <v>0.3460330121903292</v>
      </c>
      <c r="AA20" s="10" t="n">
        <v>0.1018429950731368</v>
      </c>
    </row>
    <row r="21">
      <c r="A21" s="3" t="inlineStr">
        <is>
          <t>2002-T4</t>
        </is>
      </c>
      <c r="B21" s="12" t="n">
        <v>37621</v>
      </c>
      <c r="C21" s="13" t="n">
        <v>24.75</v>
      </c>
      <c r="D21" s="13" t="n">
        <v>2.41</v>
      </c>
      <c r="E21" s="13" t="n">
        <v>1.72</v>
      </c>
      <c r="F21" s="14" t="n">
        <v>0.0383</v>
      </c>
      <c r="G21" s="14" t="n">
        <v>0.0225352112676056</v>
      </c>
      <c r="H21" s="14" t="n">
        <v>0.073</v>
      </c>
      <c r="I21" s="15">
        <f>IFERROR(C21/D21,"")</f>
        <v/>
      </c>
      <c r="J21" s="8">
        <f>IFERROR(D21/C21,"")</f>
        <v/>
      </c>
      <c r="K21" s="8">
        <f>IFERROR(E21/C21,"")</f>
        <v/>
      </c>
      <c r="L21" s="8">
        <f>IFERROR(F21-G21,"")</f>
        <v/>
      </c>
      <c r="M21" s="8">
        <f>IFERROR(J21-F21,"")</f>
        <v/>
      </c>
      <c r="N21" s="8">
        <f>IFERROR(J21-L21,"")</f>
        <v/>
      </c>
      <c r="O21" s="8">
        <f>IFERROR(J21-H21,"")</f>
        <v/>
      </c>
      <c r="P21" s="8">
        <f>IFERROR(K21-F21,"")</f>
        <v/>
      </c>
      <c r="Q21" s="6" t="n"/>
      <c r="R21" s="6" t="n"/>
      <c r="S21" s="6" t="n"/>
      <c r="T21" s="6" t="n"/>
      <c r="U21" s="6" t="n">
        <v>0.02586206896551724</v>
      </c>
      <c r="V21" s="6" t="n">
        <v>0.353448275862069</v>
      </c>
      <c r="W21" s="6" t="n"/>
      <c r="X21" s="6" t="n"/>
      <c r="Y21" s="3">
        <f>IF(X21="","",IF(X21&gt;='Léeme'!$B$6,"barato",IF(X21&lt;'Léeme'!$B$7,"caro","medio")))</f>
        <v/>
      </c>
      <c r="Z21" s="10" t="n">
        <v>0.2929902651402694</v>
      </c>
      <c r="AA21" s="10" t="n">
        <v>0.1148342355300664</v>
      </c>
    </row>
    <row r="22">
      <c r="A22" s="3" t="inlineStr">
        <is>
          <t>2003-T1</t>
        </is>
      </c>
      <c r="B22" s="12" t="n">
        <v>37711</v>
      </c>
      <c r="C22" s="13" t="n">
        <v>25</v>
      </c>
      <c r="D22" s="13" t="n">
        <v>2.81</v>
      </c>
      <c r="E22" s="13" t="n">
        <v>1.728</v>
      </c>
      <c r="F22" s="14" t="n">
        <v>0.0383</v>
      </c>
      <c r="G22" s="14" t="n">
        <v>0.03146067415730336</v>
      </c>
      <c r="H22" s="14" t="n">
        <v>0.0693</v>
      </c>
      <c r="I22" s="15">
        <f>IFERROR(C22/D22,"")</f>
        <v/>
      </c>
      <c r="J22" s="8">
        <f>IFERROR(D22/C22,"")</f>
        <v/>
      </c>
      <c r="K22" s="8">
        <f>IFERROR(E22/C22,"")</f>
        <v/>
      </c>
      <c r="L22" s="8">
        <f>IFERROR(F22-G22,"")</f>
        <v/>
      </c>
      <c r="M22" s="8">
        <f>IFERROR(J22-F22,"")</f>
        <v/>
      </c>
      <c r="N22" s="8">
        <f>IFERROR(J22-L22,"")</f>
        <v/>
      </c>
      <c r="O22" s="8">
        <f>IFERROR(J22-H22,"")</f>
        <v/>
      </c>
      <c r="P22" s="8">
        <f>IFERROR(K22-F22,"")</f>
        <v/>
      </c>
      <c r="Q22" s="6" t="n"/>
      <c r="R22" s="6" t="n"/>
      <c r="S22" s="6" t="n"/>
      <c r="T22" s="6" t="n"/>
      <c r="U22" s="6" t="n">
        <v>0.02459016393442623</v>
      </c>
      <c r="V22" s="6" t="n">
        <v>0.3524590163934426</v>
      </c>
      <c r="W22" s="6" t="n"/>
      <c r="X22" s="6" t="n"/>
      <c r="Y22" s="3">
        <f>IF(X22="","",IF(X22&gt;='Léeme'!$B$6,"barato",IF(X22&lt;'Léeme'!$B$7,"caro","medio")))</f>
        <v/>
      </c>
      <c r="Z22" s="10" t="n">
        <v>0.2947296274941833</v>
      </c>
      <c r="AA22" s="10" t="n">
        <v>0.08972790187096735</v>
      </c>
    </row>
    <row r="23">
      <c r="A23" s="3" t="inlineStr">
        <is>
          <t>2003-T2</t>
        </is>
      </c>
      <c r="B23" s="12" t="n">
        <v>37802</v>
      </c>
      <c r="C23" s="13" t="n">
        <v>29.94</v>
      </c>
      <c r="D23" s="13" t="n">
        <v>2.81</v>
      </c>
      <c r="E23" s="13" t="n">
        <v>1.732</v>
      </c>
      <c r="F23" s="14" t="n">
        <v>0.0354</v>
      </c>
      <c r="G23" s="14" t="n">
        <v>0.01894150417827301</v>
      </c>
      <c r="H23" s="14" t="n">
        <v>0.0638</v>
      </c>
      <c r="I23" s="15">
        <f>IFERROR(C23/D23,"")</f>
        <v/>
      </c>
      <c r="J23" s="8">
        <f>IFERROR(D23/C23,"")</f>
        <v/>
      </c>
      <c r="K23" s="8">
        <f>IFERROR(E23/C23,"")</f>
        <v/>
      </c>
      <c r="L23" s="8">
        <f>IFERROR(F23-G23,"")</f>
        <v/>
      </c>
      <c r="M23" s="8">
        <f>IFERROR(J23-F23,"")</f>
        <v/>
      </c>
      <c r="N23" s="8">
        <f>IFERROR(J23-L23,"")</f>
        <v/>
      </c>
      <c r="O23" s="8">
        <f>IFERROR(J23-H23,"")</f>
        <v/>
      </c>
      <c r="P23" s="8">
        <f>IFERROR(K23-F23,"")</f>
        <v/>
      </c>
      <c r="Q23" s="6" t="n">
        <v>0.0131578947368421</v>
      </c>
      <c r="R23" s="6" t="n">
        <v>0.5394736842105263</v>
      </c>
      <c r="S23" s="6" t="n">
        <v>0.3289473684210527</v>
      </c>
      <c r="T23" s="6" t="n">
        <v>0.6447368421052632</v>
      </c>
      <c r="U23" s="6" t="n">
        <v>0.0078125</v>
      </c>
      <c r="V23" s="6" t="n">
        <v>0.0859375</v>
      </c>
      <c r="W23" s="6" t="n"/>
      <c r="X23" s="6" t="n">
        <v>0.2700109649122807</v>
      </c>
      <c r="Y23" s="3">
        <f>IF(X23="","",IF(X23&gt;='Léeme'!$B$6,"barato",IF(X23&lt;'Léeme'!$B$7,"caro","medio")))</f>
        <v/>
      </c>
      <c r="Z23" s="10" t="n">
        <v>0.04023095509143348</v>
      </c>
      <c r="AA23" s="10" t="n">
        <v>0.04249346005678323</v>
      </c>
    </row>
    <row r="24">
      <c r="A24" s="3" t="inlineStr">
        <is>
          <t>2003-T3</t>
        </is>
      </c>
      <c r="B24" s="12" t="n">
        <v>37894</v>
      </c>
      <c r="C24" s="13" t="n">
        <v>31.75</v>
      </c>
      <c r="D24" s="13" t="n">
        <v>2.81</v>
      </c>
      <c r="E24" s="13" t="n">
        <v>1.732</v>
      </c>
      <c r="F24" s="14" t="n">
        <v>0.0396</v>
      </c>
      <c r="G24" s="14" t="n">
        <v>0.02216066481994461</v>
      </c>
      <c r="H24" s="14" t="n">
        <v>0.0665</v>
      </c>
      <c r="I24" s="15">
        <f>IFERROR(C24/D24,"")</f>
        <v/>
      </c>
      <c r="J24" s="8">
        <f>IFERROR(D24/C24,"")</f>
        <v/>
      </c>
      <c r="K24" s="8">
        <f>IFERROR(E24/C24,"")</f>
        <v/>
      </c>
      <c r="L24" s="8">
        <f>IFERROR(F24-G24,"")</f>
        <v/>
      </c>
      <c r="M24" s="8">
        <f>IFERROR(J24-F24,"")</f>
        <v/>
      </c>
      <c r="N24" s="8">
        <f>IFERROR(J24-L24,"")</f>
        <v/>
      </c>
      <c r="O24" s="8">
        <f>IFERROR(J24-H24,"")</f>
        <v/>
      </c>
      <c r="P24" s="8">
        <f>IFERROR(K24-F24,"")</f>
        <v/>
      </c>
      <c r="Q24" s="6" t="n">
        <v>0.01219512195121951</v>
      </c>
      <c r="R24" s="6" t="n">
        <v>0.1097560975609756</v>
      </c>
      <c r="S24" s="6" t="n">
        <v>0.2560975609756098</v>
      </c>
      <c r="T24" s="6" t="n">
        <v>0.1585365853658537</v>
      </c>
      <c r="U24" s="6" t="n">
        <v>0.007462686567164179</v>
      </c>
      <c r="V24" s="6" t="n">
        <v>0.03731343283582089</v>
      </c>
      <c r="W24" s="6" t="n"/>
      <c r="X24" s="6" t="n">
        <v>0.09689358087610728</v>
      </c>
      <c r="Y24" s="3">
        <f>IF(X24="","",IF(X24&gt;='Léeme'!$B$6,"barato",IF(X24&lt;'Léeme'!$B$7,"caro","medio")))</f>
        <v/>
      </c>
      <c r="Z24" s="10" t="n">
        <v>-0.01552516843299212</v>
      </c>
      <c r="AA24" s="10" t="n">
        <v>0.01167672626535943</v>
      </c>
    </row>
    <row r="25">
      <c r="A25" s="3" t="inlineStr">
        <is>
          <t>2003-T4</t>
        </is>
      </c>
      <c r="B25" s="12" t="n">
        <v>37986</v>
      </c>
      <c r="C25" s="13" t="n">
        <v>30.519999</v>
      </c>
      <c r="D25" s="13" t="n">
        <v>2.81</v>
      </c>
      <c r="E25" s="13" t="n">
        <v>1.74</v>
      </c>
      <c r="F25" s="14" t="n">
        <v>0.04269999999999999</v>
      </c>
      <c r="G25" s="14" t="n">
        <v>0.01928374655647391</v>
      </c>
      <c r="H25" s="14" t="n">
        <v>0.06619999999999999</v>
      </c>
      <c r="I25" s="15">
        <f>IFERROR(C25/D25,"")</f>
        <v/>
      </c>
      <c r="J25" s="8">
        <f>IFERROR(D25/C25,"")</f>
        <v/>
      </c>
      <c r="K25" s="8">
        <f>IFERROR(E25/C25,"")</f>
        <v/>
      </c>
      <c r="L25" s="8">
        <f>IFERROR(F25-G25,"")</f>
        <v/>
      </c>
      <c r="M25" s="8">
        <f>IFERROR(J25-F25,"")</f>
        <v/>
      </c>
      <c r="N25" s="8">
        <f>IFERROR(J25-L25,"")</f>
        <v/>
      </c>
      <c r="O25" s="8">
        <f>IFERROR(J25-H25,"")</f>
        <v/>
      </c>
      <c r="P25" s="8">
        <f>IFERROR(K25-F25,"")</f>
        <v/>
      </c>
      <c r="Q25" s="6" t="n">
        <v>0.125</v>
      </c>
      <c r="R25" s="6" t="n">
        <v>0.1704545454545454</v>
      </c>
      <c r="S25" s="6" t="n">
        <v>0.2386363636363636</v>
      </c>
      <c r="T25" s="6" t="n">
        <v>0.5113636363636364</v>
      </c>
      <c r="U25" s="6" t="n">
        <v>0.07857142857142857</v>
      </c>
      <c r="V25" s="6" t="n">
        <v>0.06428571428571428</v>
      </c>
      <c r="W25" s="6" t="n"/>
      <c r="X25" s="6" t="n">
        <v>0.198051948051948</v>
      </c>
      <c r="Y25" s="3">
        <f>IF(X25="","",IF(X25&gt;='Léeme'!$B$6,"barato",IF(X25&lt;'Léeme'!$B$7,"caro","medio")))</f>
        <v/>
      </c>
      <c r="Z25" s="10" t="n">
        <v>0.2047163085592092</v>
      </c>
      <c r="AA25" s="10" t="n">
        <v>-0.0007432403784047859</v>
      </c>
    </row>
    <row r="26">
      <c r="A26" s="3" t="inlineStr">
        <is>
          <t>2004-T1</t>
        </is>
      </c>
      <c r="B26" s="12" t="n">
        <v>38077</v>
      </c>
      <c r="C26" s="13" t="n">
        <v>30.949999</v>
      </c>
      <c r="D26" s="13" t="n">
        <v>2.78</v>
      </c>
      <c r="E26" s="13" t="n">
        <v>1.74</v>
      </c>
      <c r="F26" s="14" t="n">
        <v>0.0386</v>
      </c>
      <c r="G26" s="14" t="n">
        <v>0.01688453159041381</v>
      </c>
      <c r="H26" s="14" t="n">
        <v>0.0619</v>
      </c>
      <c r="I26" s="15">
        <f>IFERROR(C26/D26,"")</f>
        <v/>
      </c>
      <c r="J26" s="8">
        <f>IFERROR(D26/C26,"")</f>
        <v/>
      </c>
      <c r="K26" s="8">
        <f>IFERROR(E26/C26,"")</f>
        <v/>
      </c>
      <c r="L26" s="8">
        <f>IFERROR(F26-G26,"")</f>
        <v/>
      </c>
      <c r="M26" s="8">
        <f>IFERROR(J26-F26,"")</f>
        <v/>
      </c>
      <c r="N26" s="8">
        <f>IFERROR(J26-L26,"")</f>
        <v/>
      </c>
      <c r="O26" s="8">
        <f>IFERROR(J26-H26,"")</f>
        <v/>
      </c>
      <c r="P26" s="8">
        <f>IFERROR(K26-F26,"")</f>
        <v/>
      </c>
      <c r="Q26" s="6" t="n">
        <v>0.07446808510638298</v>
      </c>
      <c r="R26" s="6" t="n">
        <v>0.2659574468085106</v>
      </c>
      <c r="S26" s="6" t="n">
        <v>0.2021276595744681</v>
      </c>
      <c r="T26" s="6" t="n">
        <v>0.5851063829787234</v>
      </c>
      <c r="U26" s="6" t="n">
        <v>0.06164383561643835</v>
      </c>
      <c r="V26" s="6" t="n">
        <v>0.1164383561643836</v>
      </c>
      <c r="W26" s="6" t="n"/>
      <c r="X26" s="6" t="n">
        <v>0.2176236277081512</v>
      </c>
      <c r="Y26" s="3">
        <f>IF(X26="","",IF(X26&gt;='Léeme'!$B$6,"barato",IF(X26&lt;'Léeme'!$B$7,"caro","medio")))</f>
        <v/>
      </c>
      <c r="Z26" s="10" t="n">
        <v>0.02682735705943351</v>
      </c>
      <c r="AA26" s="10" t="n">
        <v>-0.01307778650803681</v>
      </c>
    </row>
    <row r="27">
      <c r="A27" s="3" t="inlineStr">
        <is>
          <t>2004-T2</t>
        </is>
      </c>
      <c r="B27" s="12" t="n">
        <v>38168</v>
      </c>
      <c r="C27" s="13" t="n">
        <v>29.78</v>
      </c>
      <c r="D27" s="13" t="n">
        <v>2.78</v>
      </c>
      <c r="E27" s="13" t="n">
        <v>1.752</v>
      </c>
      <c r="F27" s="14" t="n">
        <v>0.0462</v>
      </c>
      <c r="G27" s="14" t="n">
        <v>0.02897758337889544</v>
      </c>
      <c r="H27" s="14" t="n">
        <v>0.06759999999999999</v>
      </c>
      <c r="I27" s="15">
        <f>IFERROR(C27/D27,"")</f>
        <v/>
      </c>
      <c r="J27" s="8">
        <f>IFERROR(D27/C27,"")</f>
        <v/>
      </c>
      <c r="K27" s="8">
        <f>IFERROR(E27/C27,"")</f>
        <v/>
      </c>
      <c r="L27" s="8">
        <f>IFERROR(F27-G27,"")</f>
        <v/>
      </c>
      <c r="M27" s="8">
        <f>IFERROR(J27-F27,"")</f>
        <v/>
      </c>
      <c r="N27" s="8">
        <f>IFERROR(J27-L27,"")</f>
        <v/>
      </c>
      <c r="O27" s="8">
        <f>IFERROR(J27-H27,"")</f>
        <v/>
      </c>
      <c r="P27" s="8">
        <f>IFERROR(K27-F27,"")</f>
        <v/>
      </c>
      <c r="Q27" s="6" t="n">
        <v>0.15</v>
      </c>
      <c r="R27" s="6" t="n">
        <v>0.11</v>
      </c>
      <c r="S27" s="6" t="n">
        <v>0.43</v>
      </c>
      <c r="T27" s="6" t="n">
        <v>0.43</v>
      </c>
      <c r="U27" s="6" t="n">
        <v>0.125</v>
      </c>
      <c r="V27" s="6" t="n">
        <v>0.05921052631578947</v>
      </c>
      <c r="W27" s="6" t="n"/>
      <c r="X27" s="6" t="n">
        <v>0.2173684210526315</v>
      </c>
      <c r="Y27" s="3">
        <f>IF(X27="","",IF(X27&gt;='Léeme'!$B$6,"barato",IF(X27&lt;'Léeme'!$B$7,"caro","medio")))</f>
        <v/>
      </c>
      <c r="Z27" s="10" t="n">
        <v>0.02929310742188274</v>
      </c>
      <c r="AA27" s="10" t="n">
        <v>0.01924706162447132</v>
      </c>
    </row>
    <row r="28">
      <c r="A28" s="3" t="inlineStr">
        <is>
          <t>2004-T3</t>
        </is>
      </c>
      <c r="B28" s="12" t="n">
        <v>38260</v>
      </c>
      <c r="C28" s="13" t="n">
        <v>29.859999</v>
      </c>
      <c r="D28" s="13" t="n">
        <v>2.78</v>
      </c>
      <c r="E28" s="13" t="n">
        <v>1.76</v>
      </c>
      <c r="F28" s="14" t="n">
        <v>0.0414</v>
      </c>
      <c r="G28" s="14" t="n">
        <v>0.02547425474254728</v>
      </c>
      <c r="H28" s="14" t="n">
        <v>0.0622</v>
      </c>
      <c r="I28" s="15">
        <f>IFERROR(C28/D28,"")</f>
        <v/>
      </c>
      <c r="J28" s="8">
        <f>IFERROR(D28/C28,"")</f>
        <v/>
      </c>
      <c r="K28" s="8">
        <f>IFERROR(E28/C28,"")</f>
        <v/>
      </c>
      <c r="L28" s="8">
        <f>IFERROR(F28-G28,"")</f>
        <v/>
      </c>
      <c r="M28" s="8">
        <f>IFERROR(J28-F28,"")</f>
        <v/>
      </c>
      <c r="N28" s="8">
        <f>IFERROR(J28-L28,"")</f>
        <v/>
      </c>
      <c r="O28" s="8">
        <f>IFERROR(J28-H28,"")</f>
        <v/>
      </c>
      <c r="P28" s="8">
        <f>IFERROR(K28-F28,"")</f>
        <v/>
      </c>
      <c r="Q28" s="6" t="n">
        <v>0.1792452830188679</v>
      </c>
      <c r="R28" s="6" t="n">
        <v>0.330188679245283</v>
      </c>
      <c r="S28" s="6" t="n">
        <v>0.4811320754716981</v>
      </c>
      <c r="T28" s="6" t="n">
        <v>0.7264150943396226</v>
      </c>
      <c r="U28" s="6" t="n">
        <v>0.1582278481012658</v>
      </c>
      <c r="V28" s="6" t="n">
        <v>0.1582278481012658</v>
      </c>
      <c r="W28" s="6" t="n"/>
      <c r="X28" s="6" t="n">
        <v>0.3389061380463338</v>
      </c>
      <c r="Y28" s="3">
        <f>IF(X28="","",IF(X28&gt;='Léeme'!$B$6,"barato",IF(X28&lt;'Léeme'!$B$7,"caro","medio")))</f>
        <v/>
      </c>
      <c r="Z28" s="10" t="n">
        <v>-0.05461853005472828</v>
      </c>
      <c r="AA28" s="10" t="n">
        <v>0.04490619677126206</v>
      </c>
    </row>
    <row r="29">
      <c r="A29" s="3" t="inlineStr">
        <is>
          <t>2004-T4</t>
        </is>
      </c>
      <c r="B29" s="12" t="n">
        <v>38352</v>
      </c>
      <c r="C29" s="13" t="n">
        <v>35.160002</v>
      </c>
      <c r="D29" s="13" t="n">
        <v>2.78</v>
      </c>
      <c r="E29" s="13" t="n">
        <v>1.768</v>
      </c>
      <c r="F29" s="14" t="n">
        <v>0.0424</v>
      </c>
      <c r="G29" s="14" t="n">
        <v>0.03621621621621607</v>
      </c>
      <c r="H29" s="14" t="n">
        <v>0.0616</v>
      </c>
      <c r="I29" s="15">
        <f>IFERROR(C29/D29,"")</f>
        <v/>
      </c>
      <c r="J29" s="8">
        <f>IFERROR(D29/C29,"")</f>
        <v/>
      </c>
      <c r="K29" s="8">
        <f>IFERROR(E29/C29,"")</f>
        <v/>
      </c>
      <c r="L29" s="8">
        <f>IFERROR(F29-G29,"")</f>
        <v/>
      </c>
      <c r="M29" s="8">
        <f>IFERROR(J29-F29,"")</f>
        <v/>
      </c>
      <c r="N29" s="8">
        <f>IFERROR(J29-L29,"")</f>
        <v/>
      </c>
      <c r="O29" s="8">
        <f>IFERROR(J29-H29,"")</f>
        <v/>
      </c>
      <c r="P29" s="8">
        <f>IFERROR(K29-F29,"")</f>
        <v/>
      </c>
      <c r="Q29" s="6" t="n">
        <v>0.008928571428571428</v>
      </c>
      <c r="R29" s="6" t="n">
        <v>0.008928571428571428</v>
      </c>
      <c r="S29" s="6" t="n">
        <v>0.3303571428571428</v>
      </c>
      <c r="T29" s="6" t="n">
        <v>0.008928571428571428</v>
      </c>
      <c r="U29" s="6" t="n">
        <v>0.006097560975609756</v>
      </c>
      <c r="V29" s="6" t="n">
        <v>0.006097560975609756</v>
      </c>
      <c r="W29" s="6" t="n"/>
      <c r="X29" s="6" t="n">
        <v>0.06155632984901278</v>
      </c>
      <c r="Y29" s="3">
        <f>IF(X29="","",IF(X29&gt;='Léeme'!$B$6,"barato",IF(X29&lt;'Léeme'!$B$7,"caro","medio")))</f>
        <v/>
      </c>
      <c r="Z29" s="10" t="n">
        <v>-0.2404053958821419</v>
      </c>
      <c r="AA29" s="10" t="n">
        <v>0.009432488553624108</v>
      </c>
    </row>
    <row r="30">
      <c r="A30" s="3" t="inlineStr">
        <is>
          <t>2005-T1</t>
        </is>
      </c>
      <c r="B30" s="12" t="n">
        <v>38442</v>
      </c>
      <c r="C30" s="13" t="n">
        <v>30.37</v>
      </c>
      <c r="D30" s="13" t="n">
        <v>3.47</v>
      </c>
      <c r="E30" s="13" t="n">
        <v>1.776</v>
      </c>
      <c r="F30" s="14" t="n">
        <v>0.045</v>
      </c>
      <c r="G30" s="14" t="n">
        <v>0.03053026245313339</v>
      </c>
      <c r="H30" s="14" t="n">
        <v>0.0617</v>
      </c>
      <c r="I30" s="15">
        <f>IFERROR(C30/D30,"")</f>
        <v/>
      </c>
      <c r="J30" s="8">
        <f>IFERROR(D30/C30,"")</f>
        <v/>
      </c>
      <c r="K30" s="8">
        <f>IFERROR(E30/C30,"")</f>
        <v/>
      </c>
      <c r="L30" s="8">
        <f>IFERROR(F30-G30,"")</f>
        <v/>
      </c>
      <c r="M30" s="8">
        <f>IFERROR(J30-F30,"")</f>
        <v/>
      </c>
      <c r="N30" s="8">
        <f>IFERROR(J30-L30,"")</f>
        <v/>
      </c>
      <c r="O30" s="8">
        <f>IFERROR(J30-H30,"")</f>
        <v/>
      </c>
      <c r="P30" s="8">
        <f>IFERROR(K30-F30,"")</f>
        <v/>
      </c>
      <c r="Q30" s="6" t="n">
        <v>0.8559322033898306</v>
      </c>
      <c r="R30" s="6" t="n">
        <v>0.9576271186440678</v>
      </c>
      <c r="S30" s="6" t="n">
        <v>0.923728813559322</v>
      </c>
      <c r="T30" s="6" t="n">
        <v>0.9915254237288136</v>
      </c>
      <c r="U30" s="6" t="n">
        <v>0.1941176470588235</v>
      </c>
      <c r="V30" s="6" t="n">
        <v>0.1352941176470588</v>
      </c>
      <c r="W30" s="6" t="n"/>
      <c r="X30" s="6" t="n">
        <v>0.6763708873379861</v>
      </c>
      <c r="Y30" s="3">
        <f>IF(X30="","",IF(X30&gt;='Léeme'!$B$6,"barato",IF(X30&lt;'Léeme'!$B$7,"caro","medio")))</f>
        <v/>
      </c>
      <c r="Z30" s="10" t="n">
        <v>-0.07030259646920445</v>
      </c>
      <c r="AA30" s="10" t="n">
        <v>0.0522158983765002</v>
      </c>
    </row>
    <row r="31">
      <c r="A31" s="3" t="inlineStr">
        <is>
          <t>2005-T2</t>
        </is>
      </c>
      <c r="B31" s="12" t="n">
        <v>38533</v>
      </c>
      <c r="C31" s="13" t="n">
        <v>29.28</v>
      </c>
      <c r="D31" s="13" t="n">
        <v>3.47</v>
      </c>
      <c r="E31" s="13" t="n">
        <v>1.784</v>
      </c>
      <c r="F31" s="14" t="n">
        <v>0.0394</v>
      </c>
      <c r="G31" s="14" t="n">
        <v>0.02869287991498415</v>
      </c>
      <c r="H31" s="14" t="n">
        <v>0.05860000000000001</v>
      </c>
      <c r="I31" s="15">
        <f>IFERROR(C31/D31,"")</f>
        <v/>
      </c>
      <c r="J31" s="8">
        <f>IFERROR(D31/C31,"")</f>
        <v/>
      </c>
      <c r="K31" s="8">
        <f>IFERROR(E31/C31,"")</f>
        <v/>
      </c>
      <c r="L31" s="8">
        <f>IFERROR(F31-G31,"")</f>
        <v/>
      </c>
      <c r="M31" s="8">
        <f>IFERROR(J31-F31,"")</f>
        <v/>
      </c>
      <c r="N31" s="8">
        <f>IFERROR(J31-L31,"")</f>
        <v/>
      </c>
      <c r="O31" s="8">
        <f>IFERROR(J31-H31,"")</f>
        <v/>
      </c>
      <c r="P31" s="8">
        <f>IFERROR(K31-F31,"")</f>
        <v/>
      </c>
      <c r="Q31" s="6" t="n">
        <v>0.9274193548387096</v>
      </c>
      <c r="R31" s="6" t="n">
        <v>0.9758064516129032</v>
      </c>
      <c r="S31" s="6" t="n">
        <v>0.9758064516129032</v>
      </c>
      <c r="T31" s="6" t="n">
        <v>0.9758064516129032</v>
      </c>
      <c r="U31" s="6" t="n">
        <v>0.2670454545454545</v>
      </c>
      <c r="V31" s="6" t="n">
        <v>0.3011363636363636</v>
      </c>
      <c r="W31" s="6" t="n"/>
      <c r="X31" s="6" t="n">
        <v>0.7371700879765394</v>
      </c>
      <c r="Y31" s="3">
        <f>IF(X31="","",IF(X31&gt;='Léeme'!$B$6,"barato",IF(X31&lt;'Léeme'!$B$7,"caro","medio")))</f>
        <v/>
      </c>
      <c r="Z31" s="10" t="n">
        <v>-0.08607153586647776</v>
      </c>
      <c r="AA31" s="10" t="n">
        <v>0.04756434899503725</v>
      </c>
    </row>
    <row r="32">
      <c r="A32" s="3" t="inlineStr">
        <is>
          <t>2005-T3</t>
        </is>
      </c>
      <c r="B32" s="12" t="n">
        <v>38625</v>
      </c>
      <c r="C32" s="13" t="n">
        <v>26.920001</v>
      </c>
      <c r="D32" s="13" t="n">
        <v>3.47</v>
      </c>
      <c r="E32" s="13" t="n">
        <v>1.792004</v>
      </c>
      <c r="F32" s="14" t="n">
        <v>0.0434</v>
      </c>
      <c r="G32" s="14" t="n">
        <v>0.03646934460887952</v>
      </c>
      <c r="H32" s="14" t="n">
        <v>0.0612</v>
      </c>
      <c r="I32" s="15">
        <f>IFERROR(C32/D32,"")</f>
        <v/>
      </c>
      <c r="J32" s="8">
        <f>IFERROR(D32/C32,"")</f>
        <v/>
      </c>
      <c r="K32" s="8">
        <f>IFERROR(E32/C32,"")</f>
        <v/>
      </c>
      <c r="L32" s="8">
        <f>IFERROR(F32-G32,"")</f>
        <v/>
      </c>
      <c r="M32" s="8">
        <f>IFERROR(J32-F32,"")</f>
        <v/>
      </c>
      <c r="N32" s="8">
        <f>IFERROR(J32-L32,"")</f>
        <v/>
      </c>
      <c r="O32" s="8">
        <f>IFERROR(J32-H32,"")</f>
        <v/>
      </c>
      <c r="P32" s="8">
        <f>IFERROR(K32-F32,"")</f>
        <v/>
      </c>
      <c r="Q32" s="6" t="n">
        <v>0.9923076923076923</v>
      </c>
      <c r="R32" s="6" t="n">
        <v>0.9923076923076923</v>
      </c>
      <c r="S32" s="6" t="n">
        <v>0.9923076923076923</v>
      </c>
      <c r="T32" s="6" t="n">
        <v>0.9923076923076923</v>
      </c>
      <c r="U32" s="6" t="n">
        <v>0.3241758241758242</v>
      </c>
      <c r="V32" s="6" t="n">
        <v>0.3681318681318682</v>
      </c>
      <c r="W32" s="6" t="n"/>
      <c r="X32" s="6" t="n">
        <v>0.7769230769230768</v>
      </c>
      <c r="Y32" s="3">
        <f>IF(X32="","",IF(X32&gt;='Léeme'!$B$6,"barato",IF(X32&lt;'Léeme'!$B$7,"caro","medio")))</f>
        <v/>
      </c>
      <c r="Z32" s="10" t="n">
        <v>0.07997904787086441</v>
      </c>
      <c r="AA32" s="10" t="n">
        <v>0.07539629893587163</v>
      </c>
    </row>
    <row r="33">
      <c r="A33" s="3" t="inlineStr">
        <is>
          <t>2005-T4</t>
        </is>
      </c>
      <c r="B33" s="12" t="n">
        <v>38716</v>
      </c>
      <c r="C33" s="13" t="n">
        <v>25.36</v>
      </c>
      <c r="D33" s="13" t="n">
        <v>3.47</v>
      </c>
      <c r="E33" s="13" t="n">
        <v>1.8</v>
      </c>
      <c r="F33" s="14" t="n">
        <v>0.04389999999999999</v>
      </c>
      <c r="G33" s="14" t="n">
        <v>0.03338549817423053</v>
      </c>
      <c r="H33" s="14" t="n">
        <v>0.0619</v>
      </c>
      <c r="I33" s="15">
        <f>IFERROR(C33/D33,"")</f>
        <v/>
      </c>
      <c r="J33" s="8">
        <f>IFERROR(D33/C33,"")</f>
        <v/>
      </c>
      <c r="K33" s="8">
        <f>IFERROR(E33/C33,"")</f>
        <v/>
      </c>
      <c r="L33" s="8">
        <f>IFERROR(F33-G33,"")</f>
        <v/>
      </c>
      <c r="M33" s="8">
        <f>IFERROR(J33-F33,"")</f>
        <v/>
      </c>
      <c r="N33" s="8">
        <f>IFERROR(J33-L33,"")</f>
        <v/>
      </c>
      <c r="O33" s="8">
        <f>IFERROR(J33-H33,"")</f>
        <v/>
      </c>
      <c r="P33" s="8">
        <f>IFERROR(K33-F33,"")</f>
        <v/>
      </c>
      <c r="Q33" s="6" t="n">
        <v>0.9779411764705882</v>
      </c>
      <c r="R33" s="6" t="n">
        <v>0.9779411764705882</v>
      </c>
      <c r="S33" s="6" t="n">
        <v>0.9632352941176471</v>
      </c>
      <c r="T33" s="6" t="n">
        <v>0.9779411764705882</v>
      </c>
      <c r="U33" s="6" t="n">
        <v>0.398936170212766</v>
      </c>
      <c r="V33" s="6" t="n">
        <v>0.4627659574468085</v>
      </c>
      <c r="W33" s="6" t="n"/>
      <c r="X33" s="6" t="n">
        <v>0.7931268251981644</v>
      </c>
      <c r="Y33" s="3">
        <f>IF(X33="","",IF(X33&gt;='Léeme'!$B$6,"barato",IF(X33&lt;'Léeme'!$B$7,"caro","medio")))</f>
        <v/>
      </c>
      <c r="Z33" s="10" t="n">
        <v>0.2502987721800387</v>
      </c>
      <c r="AA33" s="10" t="n">
        <v>0.1044508857884119</v>
      </c>
    </row>
    <row r="34">
      <c r="A34" s="3" t="inlineStr">
        <is>
          <t>2006-T1</t>
        </is>
      </c>
      <c r="B34" s="12" t="n">
        <v>38807</v>
      </c>
      <c r="C34" s="13" t="n">
        <v>26.78</v>
      </c>
      <c r="D34" s="13" t="n">
        <v>2.53</v>
      </c>
      <c r="E34" s="13" t="n">
        <v>1.808</v>
      </c>
      <c r="F34" s="14" t="n">
        <v>0.0486</v>
      </c>
      <c r="G34" s="14" t="n">
        <v>0.0363825363825363</v>
      </c>
      <c r="H34" s="14" t="n">
        <v>0.06559999999999999</v>
      </c>
      <c r="I34" s="15">
        <f>IFERROR(C34/D34,"")</f>
        <v/>
      </c>
      <c r="J34" s="8">
        <f>IFERROR(D34/C34,"")</f>
        <v/>
      </c>
      <c r="K34" s="8">
        <f>IFERROR(E34/C34,"")</f>
        <v/>
      </c>
      <c r="L34" s="8">
        <f>IFERROR(F34-G34,"")</f>
        <v/>
      </c>
      <c r="M34" s="8">
        <f>IFERROR(J34-F34,"")</f>
        <v/>
      </c>
      <c r="N34" s="8">
        <f>IFERROR(J34-L34,"")</f>
        <v/>
      </c>
      <c r="O34" s="8">
        <f>IFERROR(J34-H34,"")</f>
        <v/>
      </c>
      <c r="P34" s="8">
        <f>IFERROR(K34-F34,"")</f>
        <v/>
      </c>
      <c r="Q34" s="6" t="n">
        <v>0.2605633802816901</v>
      </c>
      <c r="R34" s="6" t="n">
        <v>0.1197183098591549</v>
      </c>
      <c r="S34" s="6" t="n">
        <v>0.528169014084507</v>
      </c>
      <c r="T34" s="6" t="n">
        <v>0.5140845070422535</v>
      </c>
      <c r="U34" s="6" t="n">
        <v>0.3144329896907216</v>
      </c>
      <c r="V34" s="6" t="n">
        <v>0.2319587628865979</v>
      </c>
      <c r="W34" s="6" t="n"/>
      <c r="X34" s="6" t="n">
        <v>0.3281544939741542</v>
      </c>
      <c r="Y34" s="3">
        <f>IF(X34="","",IF(X34&gt;='Léeme'!$B$6,"barato",IF(X34&lt;'Léeme'!$B$7,"caro","medio")))</f>
        <v/>
      </c>
      <c r="Z34" s="10" t="n">
        <v>0.3111121943712154</v>
      </c>
      <c r="AA34" s="10" t="n">
        <v>0.1218946630710169</v>
      </c>
    </row>
    <row r="35">
      <c r="A35" s="3" t="inlineStr">
        <is>
          <t>2006-T2</t>
        </is>
      </c>
      <c r="B35" s="12" t="n">
        <v>38898</v>
      </c>
      <c r="C35" s="13" t="n">
        <v>25.319999</v>
      </c>
      <c r="D35" s="13" t="n">
        <v>2.53</v>
      </c>
      <c r="E35" s="13" t="n">
        <v>1.816</v>
      </c>
      <c r="F35" s="14" t="n">
        <v>0.0515</v>
      </c>
      <c r="G35" s="14" t="n">
        <v>0.03977272727272729</v>
      </c>
      <c r="H35" s="14" t="n">
        <v>0.06909999999999999</v>
      </c>
      <c r="I35" s="15">
        <f>IFERROR(C35/D35,"")</f>
        <v/>
      </c>
      <c r="J35" s="8">
        <f>IFERROR(D35/C35,"")</f>
        <v/>
      </c>
      <c r="K35" s="8">
        <f>IFERROR(E35/C35,"")</f>
        <v/>
      </c>
      <c r="L35" s="8">
        <f>IFERROR(F35-G35,"")</f>
        <v/>
      </c>
      <c r="M35" s="8">
        <f>IFERROR(J35-F35,"")</f>
        <v/>
      </c>
      <c r="N35" s="8">
        <f>IFERROR(J35-L35,"")</f>
        <v/>
      </c>
      <c r="O35" s="8">
        <f>IFERROR(J35-H35,"")</f>
        <v/>
      </c>
      <c r="P35" s="8">
        <f>IFERROR(K35-F35,"")</f>
        <v/>
      </c>
      <c r="Q35" s="6" t="n">
        <v>0.4391891891891892</v>
      </c>
      <c r="R35" s="6" t="n">
        <v>0.2094594594594595</v>
      </c>
      <c r="S35" s="6" t="n">
        <v>0.6418918918918919</v>
      </c>
      <c r="T35" s="6" t="n">
        <v>0.6283783783783784</v>
      </c>
      <c r="U35" s="6" t="n">
        <v>0.465</v>
      </c>
      <c r="V35" s="6" t="n">
        <v>0.285</v>
      </c>
      <c r="W35" s="6" t="n">
        <v>0.6710526315789473</v>
      </c>
      <c r="X35" s="6" t="n">
        <v>0.4771387929282666</v>
      </c>
      <c r="Y35" s="3">
        <f>IF(X35="","",IF(X35&gt;='Léeme'!$B$6,"barato",IF(X35&lt;'Léeme'!$B$7,"caro","medio")))</f>
        <v/>
      </c>
      <c r="Z35" s="10" t="n">
        <v>0.3038775147512061</v>
      </c>
      <c r="AA35" s="10" t="n">
        <v>0.1627299114403351</v>
      </c>
    </row>
    <row r="36">
      <c r="A36" s="3" t="inlineStr">
        <is>
          <t>2006-T3</t>
        </is>
      </c>
      <c r="B36" s="12" t="n">
        <v>38989</v>
      </c>
      <c r="C36" s="13" t="n">
        <v>27.51</v>
      </c>
      <c r="D36" s="13" t="n">
        <v>2.53</v>
      </c>
      <c r="E36" s="13" t="n">
        <v>1.824</v>
      </c>
      <c r="F36" s="14" t="n">
        <v>0.0464</v>
      </c>
      <c r="G36" s="14" t="n">
        <v>0.03926568077511483</v>
      </c>
      <c r="H36" s="14" t="n">
        <v>0.0636</v>
      </c>
      <c r="I36" s="15">
        <f>IFERROR(C36/D36,"")</f>
        <v/>
      </c>
      <c r="J36" s="8">
        <f>IFERROR(D36/C36,"")</f>
        <v/>
      </c>
      <c r="K36" s="8">
        <f>IFERROR(E36/C36,"")</f>
        <v/>
      </c>
      <c r="L36" s="8">
        <f>IFERROR(F36-G36,"")</f>
        <v/>
      </c>
      <c r="M36" s="8">
        <f>IFERROR(J36-F36,"")</f>
        <v/>
      </c>
      <c r="N36" s="8">
        <f>IFERROR(J36-L36,"")</f>
        <v/>
      </c>
      <c r="O36" s="8">
        <f>IFERROR(J36-H36,"")</f>
        <v/>
      </c>
      <c r="P36" s="8">
        <f>IFERROR(K36-F36,"")</f>
        <v/>
      </c>
      <c r="Q36" s="6" t="n">
        <v>0.1753246753246753</v>
      </c>
      <c r="R36" s="6" t="n">
        <v>0.1233766233766234</v>
      </c>
      <c r="S36" s="6" t="n">
        <v>0.538961038961039</v>
      </c>
      <c r="T36" s="6" t="n">
        <v>0.512987012987013</v>
      </c>
      <c r="U36" s="6" t="n">
        <v>0.2864077669902912</v>
      </c>
      <c r="V36" s="6" t="n">
        <v>0.2864077669902912</v>
      </c>
      <c r="W36" s="6" t="n">
        <v>0.5487804878048781</v>
      </c>
      <c r="X36" s="6" t="n">
        <v>0.3531779103478302</v>
      </c>
      <c r="Y36" s="3">
        <f>IF(X36="","",IF(X36&gt;='Léeme'!$B$6,"barato",IF(X36&lt;'Léeme'!$B$7,"caro","medio")))</f>
        <v/>
      </c>
      <c r="Z36" s="10" t="n">
        <v>0.2003719275692779</v>
      </c>
      <c r="AA36" s="10" t="n">
        <v>0.1238971203741641</v>
      </c>
    </row>
    <row r="37">
      <c r="A37" s="3" t="inlineStr">
        <is>
          <t>2006-T4</t>
        </is>
      </c>
      <c r="B37" s="12" t="n">
        <v>39080</v>
      </c>
      <c r="C37" s="13" t="n">
        <v>30.069999</v>
      </c>
      <c r="D37" s="13" t="n">
        <v>2.53</v>
      </c>
      <c r="E37" s="13" t="n">
        <v>1.832</v>
      </c>
      <c r="F37" s="14" t="n">
        <v>0.0471</v>
      </c>
      <c r="G37" s="14" t="n">
        <v>0.01968702675416467</v>
      </c>
      <c r="H37" s="14" t="n">
        <v>0.0635</v>
      </c>
      <c r="I37" s="15">
        <f>IFERROR(C37/D37,"")</f>
        <v/>
      </c>
      <c r="J37" s="8">
        <f>IFERROR(D37/C37,"")</f>
        <v/>
      </c>
      <c r="K37" s="8">
        <f>IFERROR(E37/C37,"")</f>
        <v/>
      </c>
      <c r="L37" s="8">
        <f>IFERROR(F37-G37,"")</f>
        <v/>
      </c>
      <c r="M37" s="8">
        <f>IFERROR(J37-F37,"")</f>
        <v/>
      </c>
      <c r="N37" s="8">
        <f>IFERROR(J37-L37,"")</f>
        <v/>
      </c>
      <c r="O37" s="8">
        <f>IFERROR(J37-H37,"")</f>
        <v/>
      </c>
      <c r="P37" s="8">
        <f>IFERROR(K37-F37,"")</f>
        <v/>
      </c>
      <c r="Q37" s="6" t="n">
        <v>0.05625</v>
      </c>
      <c r="R37" s="6" t="n">
        <v>0.01875</v>
      </c>
      <c r="S37" s="6" t="n">
        <v>0.01875</v>
      </c>
      <c r="T37" s="6" t="n">
        <v>0.06875000000000001</v>
      </c>
      <c r="U37" s="6" t="n">
        <v>0.2311320754716981</v>
      </c>
      <c r="V37" s="6" t="n">
        <v>0.1179245283018868</v>
      </c>
      <c r="W37" s="6" t="n">
        <v>0.1931818181818182</v>
      </c>
      <c r="X37" s="6" t="n">
        <v>0.1006769174222004</v>
      </c>
      <c r="Y37" s="3">
        <f>IF(X37="","",IF(X37&gt;='Léeme'!$B$6,"barato",IF(X37&lt;'Léeme'!$B$7,"caro","medio")))</f>
        <v/>
      </c>
      <c r="Z37" s="10" t="n">
        <v>0.158451205865241</v>
      </c>
      <c r="AA37" s="10" t="n">
        <v>0.1276738947430422</v>
      </c>
    </row>
    <row r="38">
      <c r="A38" s="3" t="inlineStr">
        <is>
          <t>2007-T1</t>
        </is>
      </c>
      <c r="B38" s="12" t="n">
        <v>39171</v>
      </c>
      <c r="C38" s="13" t="n">
        <v>33.37</v>
      </c>
      <c r="D38" s="13" t="n">
        <v>3.29</v>
      </c>
      <c r="E38" s="13" t="n">
        <v>1.848</v>
      </c>
      <c r="F38" s="14" t="n">
        <v>0.04650000000000001</v>
      </c>
      <c r="G38" s="14" t="n">
        <v>0.02420260782347028</v>
      </c>
      <c r="H38" s="14" t="n">
        <v>0.0638</v>
      </c>
      <c r="I38" s="15">
        <f>IFERROR(C38/D38,"")</f>
        <v/>
      </c>
      <c r="J38" s="8">
        <f>IFERROR(D38/C38,"")</f>
        <v/>
      </c>
      <c r="K38" s="8">
        <f>IFERROR(E38/C38,"")</f>
        <v/>
      </c>
      <c r="L38" s="8">
        <f>IFERROR(F38-G38,"")</f>
        <v/>
      </c>
      <c r="M38" s="8">
        <f>IFERROR(J38-F38,"")</f>
        <v/>
      </c>
      <c r="N38" s="8">
        <f>IFERROR(J38-L38,"")</f>
        <v/>
      </c>
      <c r="O38" s="8">
        <f>IFERROR(J38-H38,"")</f>
        <v/>
      </c>
      <c r="P38" s="8">
        <f>IFERROR(K38-F38,"")</f>
        <v/>
      </c>
      <c r="Q38" s="6" t="n">
        <v>0.427710843373494</v>
      </c>
      <c r="R38" s="6" t="n">
        <v>0.427710843373494</v>
      </c>
      <c r="S38" s="6" t="n">
        <v>0.3795180722891566</v>
      </c>
      <c r="T38" s="6" t="n">
        <v>0.7168674698795181</v>
      </c>
      <c r="U38" s="6" t="n">
        <v>0.06880733944954129</v>
      </c>
      <c r="V38" s="6" t="n">
        <v>0.02293577981651376</v>
      </c>
      <c r="W38" s="6" t="n">
        <v>0.6914893617021277</v>
      </c>
      <c r="X38" s="6" t="n">
        <v>0.390719958554835</v>
      </c>
      <c r="Y38" s="3">
        <f>IF(X38="","",IF(X38&gt;='Léeme'!$B$6,"barato",IF(X38&lt;'Léeme'!$B$7,"caro","medio")))</f>
        <v/>
      </c>
      <c r="Z38" s="10" t="n">
        <v>-0.05236204543392942</v>
      </c>
      <c r="AA38" s="10" t="n">
        <v>0.1301885670458167</v>
      </c>
    </row>
    <row r="39">
      <c r="A39" s="3" t="inlineStr">
        <is>
          <t>2007-T2</t>
        </is>
      </c>
      <c r="B39" s="12" t="n">
        <v>39262</v>
      </c>
      <c r="C39" s="13" t="n">
        <v>31.450001</v>
      </c>
      <c r="D39" s="13" t="n">
        <v>3.29</v>
      </c>
      <c r="E39" s="13" t="n">
        <v>1.868</v>
      </c>
      <c r="F39" s="14" t="n">
        <v>0.0503</v>
      </c>
      <c r="G39" s="14" t="n">
        <v>0.02709885742672613</v>
      </c>
      <c r="H39" s="14" t="n">
        <v>0.0672</v>
      </c>
      <c r="I39" s="15">
        <f>IFERROR(C39/D39,"")</f>
        <v/>
      </c>
      <c r="J39" s="8">
        <f>IFERROR(D39/C39,"")</f>
        <v/>
      </c>
      <c r="K39" s="8">
        <f>IFERROR(E39/C39,"")</f>
        <v/>
      </c>
      <c r="L39" s="8">
        <f>IFERROR(F39-G39,"")</f>
        <v/>
      </c>
      <c r="M39" s="8">
        <f>IFERROR(J39-F39,"")</f>
        <v/>
      </c>
      <c r="N39" s="8">
        <f>IFERROR(J39-L39,"")</f>
        <v/>
      </c>
      <c r="O39" s="8">
        <f>IFERROR(J39-H39,"")</f>
        <v/>
      </c>
      <c r="P39" s="8">
        <f>IFERROR(K39-F39,"")</f>
        <v/>
      </c>
      <c r="Q39" s="6" t="n">
        <v>0.6453488372093024</v>
      </c>
      <c r="R39" s="6" t="n">
        <v>0.5058139534883721</v>
      </c>
      <c r="S39" s="6" t="n">
        <v>0.5174418604651163</v>
      </c>
      <c r="T39" s="6" t="n">
        <v>0.7848837209302325</v>
      </c>
      <c r="U39" s="6" t="n">
        <v>0.21875</v>
      </c>
      <c r="V39" s="6" t="n">
        <v>0.04910714285714286</v>
      </c>
      <c r="W39" s="6" t="n">
        <v>0.75</v>
      </c>
      <c r="X39" s="6" t="n">
        <v>0.495906502135738</v>
      </c>
      <c r="Y39" s="3">
        <f>IF(X39="","",IF(X39&gt;='Léeme'!$B$6,"barato",IF(X39&lt;'Léeme'!$B$7,"caro","medio")))</f>
        <v/>
      </c>
      <c r="Z39" s="10" t="n">
        <v>-0.03461598942811461</v>
      </c>
      <c r="AA39" s="10" t="n">
        <v>0.1407517070566349</v>
      </c>
    </row>
    <row r="40">
      <c r="A40" s="3" t="inlineStr">
        <is>
          <t>2007-T3</t>
        </is>
      </c>
      <c r="B40" s="12" t="n">
        <v>39353</v>
      </c>
      <c r="C40" s="13" t="n">
        <v>31.5</v>
      </c>
      <c r="D40" s="13" t="n">
        <v>3.29</v>
      </c>
      <c r="E40" s="13" t="n">
        <v>1.888</v>
      </c>
      <c r="F40" s="14" t="n">
        <v>0.0459</v>
      </c>
      <c r="G40" s="14" t="n">
        <v>0.01897448478900876</v>
      </c>
      <c r="H40" s="14" t="n">
        <v>0.0659</v>
      </c>
      <c r="I40" s="15">
        <f>IFERROR(C40/D40,"")</f>
        <v/>
      </c>
      <c r="J40" s="8">
        <f>IFERROR(D40/C40,"")</f>
        <v/>
      </c>
      <c r="K40" s="8">
        <f>IFERROR(E40/C40,"")</f>
        <v/>
      </c>
      <c r="L40" s="8">
        <f>IFERROR(F40-G40,"")</f>
        <v/>
      </c>
      <c r="M40" s="8">
        <f>IFERROR(J40-F40,"")</f>
        <v/>
      </c>
      <c r="N40" s="8">
        <f>IFERROR(J40-L40,"")</f>
        <v/>
      </c>
      <c r="O40" s="8">
        <f>IFERROR(J40-H40,"")</f>
        <v/>
      </c>
      <c r="P40" s="8">
        <f>IFERROR(K40-F40,"")</f>
        <v/>
      </c>
      <c r="Q40" s="6" t="n">
        <v>0.6235955056179775</v>
      </c>
      <c r="R40" s="6" t="n">
        <v>0.6685393258426966</v>
      </c>
      <c r="S40" s="6" t="n">
        <v>0.4438202247191011</v>
      </c>
      <c r="T40" s="6" t="n">
        <v>0.7808988764044944</v>
      </c>
      <c r="U40" s="6" t="n">
        <v>0.2652173913043478</v>
      </c>
      <c r="V40" s="6" t="n">
        <v>0.1782608695652174</v>
      </c>
      <c r="W40" s="6" t="n">
        <v>0.7075471698113207</v>
      </c>
      <c r="X40" s="6" t="n">
        <v>0.5239827661807366</v>
      </c>
      <c r="Y40" s="3">
        <f>IF(X40="","",IF(X40&gt;='Léeme'!$B$6,"barato",IF(X40&lt;'Léeme'!$B$7,"caro","medio")))</f>
        <v/>
      </c>
      <c r="Z40" s="10" t="n">
        <v>-0.1065094778601801</v>
      </c>
      <c r="AA40" s="10" t="n">
        <v>0.1544172094133405</v>
      </c>
    </row>
    <row r="41">
      <c r="A41" s="3" t="inlineStr">
        <is>
          <t>2007-T4</t>
        </is>
      </c>
      <c r="B41" s="12" t="n">
        <v>39447</v>
      </c>
      <c r="C41" s="13" t="n">
        <v>33.199999</v>
      </c>
      <c r="D41" s="13" t="n">
        <v>3.29</v>
      </c>
      <c r="E41" s="13" t="n">
        <v>1.908</v>
      </c>
      <c r="F41" s="14" t="n">
        <v>0.0404</v>
      </c>
      <c r="G41" s="14" t="n">
        <v>0.04373267326732666</v>
      </c>
      <c r="H41" s="14" t="n">
        <v>0.06619999999999999</v>
      </c>
      <c r="I41" s="15">
        <f>IFERROR(C41/D41,"")</f>
        <v/>
      </c>
      <c r="J41" s="8">
        <f>IFERROR(D41/C41,"")</f>
        <v/>
      </c>
      <c r="K41" s="8">
        <f>IFERROR(E41/C41,"")</f>
        <v/>
      </c>
      <c r="L41" s="8">
        <f>IFERROR(F41-G41,"")</f>
        <v/>
      </c>
      <c r="M41" s="8">
        <f>IFERROR(J41-F41,"")</f>
        <v/>
      </c>
      <c r="N41" s="8">
        <f>IFERROR(J41-L41,"")</f>
        <v/>
      </c>
      <c r="O41" s="8">
        <f>IFERROR(J41-H41,"")</f>
        <v/>
      </c>
      <c r="P41" s="8">
        <f>IFERROR(K41-F41,"")</f>
        <v/>
      </c>
      <c r="Q41" s="6" t="n">
        <v>0.4619565217391304</v>
      </c>
      <c r="R41" s="6" t="n">
        <v>0.6793478260869565</v>
      </c>
      <c r="S41" s="6" t="n">
        <v>0.8423913043478261</v>
      </c>
      <c r="T41" s="6" t="n">
        <v>0.6793478260869565</v>
      </c>
      <c r="U41" s="6" t="n">
        <v>0.173728813559322</v>
      </c>
      <c r="V41" s="6" t="n">
        <v>0.2838983050847458</v>
      </c>
      <c r="W41" s="6" t="n">
        <v>0.6875</v>
      </c>
      <c r="X41" s="6" t="n">
        <v>0.5440243709864196</v>
      </c>
      <c r="Y41" s="3">
        <f>IF(X41="","",IF(X41&gt;='Léeme'!$B$6,"barato",IF(X41&lt;'Léeme'!$B$7,"caro","medio")))</f>
        <v/>
      </c>
      <c r="Z41" s="10" t="n">
        <v>-0.2519523827392529</v>
      </c>
      <c r="AA41" s="10" t="n">
        <v>0.1548859719728435</v>
      </c>
    </row>
    <row r="42">
      <c r="A42" s="3" t="inlineStr">
        <is>
          <t>2008-T1</t>
        </is>
      </c>
      <c r="B42" s="12" t="n">
        <v>39538</v>
      </c>
      <c r="C42" s="13" t="n">
        <v>29.97</v>
      </c>
      <c r="D42" s="13" t="n">
        <v>3.34</v>
      </c>
      <c r="E42" s="13" t="n">
        <v>1.928</v>
      </c>
      <c r="F42" s="14" t="n">
        <v>0.0345</v>
      </c>
      <c r="G42" s="14" t="n">
        <v>0.04142959270611968</v>
      </c>
      <c r="H42" s="14" t="n">
        <v>0.0694</v>
      </c>
      <c r="I42" s="15">
        <f>IFERROR(C42/D42,"")</f>
        <v/>
      </c>
      <c r="J42" s="8">
        <f>IFERROR(D42/C42,"")</f>
        <v/>
      </c>
      <c r="K42" s="8">
        <f>IFERROR(E42/C42,"")</f>
        <v/>
      </c>
      <c r="L42" s="8">
        <f>IFERROR(F42-G42,"")</f>
        <v/>
      </c>
      <c r="M42" s="8">
        <f>IFERROR(J42-F42,"")</f>
        <v/>
      </c>
      <c r="N42" s="8">
        <f>IFERROR(J42-L42,"")</f>
        <v/>
      </c>
      <c r="O42" s="8">
        <f>IFERROR(J42-H42,"")</f>
        <v/>
      </c>
      <c r="P42" s="8">
        <f>IFERROR(K42-F42,"")</f>
        <v/>
      </c>
      <c r="Q42" s="6" t="n">
        <v>0.7421052631578947</v>
      </c>
      <c r="R42" s="6" t="n">
        <v>0.9</v>
      </c>
      <c r="S42" s="6" t="n">
        <v>0.9315789473684211</v>
      </c>
      <c r="T42" s="6" t="n">
        <v>0.8368421052631579</v>
      </c>
      <c r="U42" s="6" t="n">
        <v>0.359504132231405</v>
      </c>
      <c r="V42" s="6" t="n">
        <v>0.6570247933884298</v>
      </c>
      <c r="W42" s="6" t="n">
        <v>0.8220338983050848</v>
      </c>
      <c r="X42" s="6" t="n">
        <v>0.7498698771020561</v>
      </c>
      <c r="Y42" s="3">
        <f>IF(X42="","",IF(X42&gt;='Léeme'!$B$6,"barato",IF(X42&lt;'Léeme'!$B$7,"caro","medio")))</f>
        <v/>
      </c>
      <c r="Z42" s="10" t="n">
        <v>-0.2111337933763362</v>
      </c>
      <c r="AA42" s="10" t="n">
        <v>0.2401140939860018</v>
      </c>
    </row>
    <row r="43">
      <c r="A43" s="3" t="inlineStr">
        <is>
          <t>2008-T2</t>
        </is>
      </c>
      <c r="B43" s="12" t="n">
        <v>39629</v>
      </c>
      <c r="C43" s="13" t="n">
        <v>28.710001</v>
      </c>
      <c r="D43" s="13" t="n">
        <v>3.34</v>
      </c>
      <c r="E43" s="13" t="n">
        <v>1.948</v>
      </c>
      <c r="F43" s="14" t="n">
        <v>0.0399</v>
      </c>
      <c r="G43" s="14" t="n">
        <v>0.04088413823123993</v>
      </c>
      <c r="H43" s="14" t="n">
        <v>0.0703</v>
      </c>
      <c r="I43" s="15">
        <f>IFERROR(C43/D43,"")</f>
        <v/>
      </c>
      <c r="J43" s="8">
        <f>IFERROR(D43/C43,"")</f>
        <v/>
      </c>
      <c r="K43" s="8">
        <f>IFERROR(E43/C43,"")</f>
        <v/>
      </c>
      <c r="L43" s="8">
        <f>IFERROR(F43-G43,"")</f>
        <v/>
      </c>
      <c r="M43" s="8">
        <f>IFERROR(J43-F43,"")</f>
        <v/>
      </c>
      <c r="N43" s="8">
        <f>IFERROR(J43-L43,"")</f>
        <v/>
      </c>
      <c r="O43" s="8">
        <f>IFERROR(J43-H43,"")</f>
        <v/>
      </c>
      <c r="P43" s="8">
        <f>IFERROR(K43-F43,"")</f>
        <v/>
      </c>
      <c r="Q43" s="6" t="n">
        <v>0.8214285714285714</v>
      </c>
      <c r="R43" s="6" t="n">
        <v>0.8928571428571429</v>
      </c>
      <c r="S43" s="6" t="n">
        <v>0.923469387755102</v>
      </c>
      <c r="T43" s="6" t="n">
        <v>0.8724489795918368</v>
      </c>
      <c r="U43" s="6" t="n">
        <v>0.4395161290322581</v>
      </c>
      <c r="V43" s="6" t="n">
        <v>0.6088709677419355</v>
      </c>
      <c r="W43" s="6" t="n">
        <v>0.8790322580645161</v>
      </c>
      <c r="X43" s="6" t="n">
        <v>0.7768033480673375</v>
      </c>
      <c r="Y43" s="3">
        <f>IF(X43="","",IF(X43&gt;='Léeme'!$B$6,"barato",IF(X43&lt;'Léeme'!$B$7,"caro","medio")))</f>
        <v/>
      </c>
      <c r="Z43" s="10" t="n">
        <v>-0.07069041183795566</v>
      </c>
      <c r="AA43" s="10" t="n">
        <v>0.2453509383812931</v>
      </c>
    </row>
    <row r="44">
      <c r="A44" s="3" t="inlineStr">
        <is>
          <t>2008-T3</t>
        </is>
      </c>
      <c r="B44" s="12" t="n">
        <v>39721</v>
      </c>
      <c r="C44" s="13" t="n">
        <v>26.1</v>
      </c>
      <c r="D44" s="13" t="n">
        <v>3.34</v>
      </c>
      <c r="E44" s="13" t="n">
        <v>1.968004</v>
      </c>
      <c r="F44" s="14" t="n">
        <v>0.0385</v>
      </c>
      <c r="G44" s="14" t="n">
        <v>0.05308017162091239</v>
      </c>
      <c r="H44" s="14" t="n">
        <v>0.0762</v>
      </c>
      <c r="I44" s="15">
        <f>IFERROR(C44/D44,"")</f>
        <v/>
      </c>
      <c r="J44" s="8">
        <f>IFERROR(D44/C44,"")</f>
        <v/>
      </c>
      <c r="K44" s="8">
        <f>IFERROR(E44/C44,"")</f>
        <v/>
      </c>
      <c r="L44" s="8">
        <f>IFERROR(F44-G44,"")</f>
        <v/>
      </c>
      <c r="M44" s="8">
        <f>IFERROR(J44-F44,"")</f>
        <v/>
      </c>
      <c r="N44" s="8">
        <f>IFERROR(J44-L44,"")</f>
        <v/>
      </c>
      <c r="O44" s="8">
        <f>IFERROR(J44-H44,"")</f>
        <v/>
      </c>
      <c r="P44" s="8">
        <f>IFERROR(K44-F44,"")</f>
        <v/>
      </c>
      <c r="Q44" s="6" t="n">
        <v>0.9356435643564357</v>
      </c>
      <c r="R44" s="6" t="n">
        <v>0.9653465346534653</v>
      </c>
      <c r="S44" s="6" t="n">
        <v>0.995049504950495</v>
      </c>
      <c r="T44" s="6" t="n">
        <v>0.8762376237623762</v>
      </c>
      <c r="U44" s="6" t="n">
        <v>0.6496062992125984</v>
      </c>
      <c r="V44" s="6" t="n">
        <v>0.8149606299212598</v>
      </c>
      <c r="W44" s="6" t="n">
        <v>0.9307692307692308</v>
      </c>
      <c r="X44" s="6" t="n">
        <v>0.8810876268036945</v>
      </c>
      <c r="Y44" s="3">
        <f>IF(X44="","",IF(X44&gt;='Léeme'!$B$6,"barato",IF(X44&lt;'Léeme'!$B$7,"caro","medio")))</f>
        <v/>
      </c>
      <c r="Z44" s="10" t="n">
        <v>0.1571305130445431</v>
      </c>
      <c r="AA44" s="10" t="n">
        <v>0.2625543585201906</v>
      </c>
    </row>
    <row r="45">
      <c r="A45" s="3" t="inlineStr">
        <is>
          <t>2008-T4</t>
        </is>
      </c>
      <c r="B45" s="12" t="n">
        <v>39813</v>
      </c>
      <c r="C45" s="13" t="n">
        <v>23.429999</v>
      </c>
      <c r="D45" s="13" t="n">
        <v>3.34</v>
      </c>
      <c r="E45" s="13" t="n">
        <v>1.976</v>
      </c>
      <c r="F45" s="14" t="n">
        <v>0.0225</v>
      </c>
      <c r="G45" s="14" t="n">
        <v>0.01099917470616685</v>
      </c>
      <c r="H45" s="14" t="n">
        <v>0.07969999999999999</v>
      </c>
      <c r="I45" s="15">
        <f>IFERROR(C45/D45,"")</f>
        <v/>
      </c>
      <c r="J45" s="8">
        <f>IFERROR(D45/C45,"")</f>
        <v/>
      </c>
      <c r="K45" s="8">
        <f>IFERROR(E45/C45,"")</f>
        <v/>
      </c>
      <c r="L45" s="8">
        <f>IFERROR(F45-G45,"")</f>
        <v/>
      </c>
      <c r="M45" s="8">
        <f>IFERROR(J45-F45,"")</f>
        <v/>
      </c>
      <c r="N45" s="8">
        <f>IFERROR(J45-L45,"")</f>
        <v/>
      </c>
      <c r="O45" s="8">
        <f>IFERROR(J45-H45,"")</f>
        <v/>
      </c>
      <c r="P45" s="8">
        <f>IFERROR(K45-F45,"")</f>
        <v/>
      </c>
      <c r="Q45" s="6" t="n">
        <v>0.9759615384615384</v>
      </c>
      <c r="R45" s="6" t="n">
        <v>0.9855769230769231</v>
      </c>
      <c r="S45" s="6" t="n">
        <v>0.9471153846153846</v>
      </c>
      <c r="T45" s="6" t="n">
        <v>0.9182692307692307</v>
      </c>
      <c r="U45" s="6" t="n">
        <v>0.75</v>
      </c>
      <c r="V45" s="6" t="n">
        <v>0.9884615384615385</v>
      </c>
      <c r="W45" s="6" t="n">
        <v>0.9632352941176471</v>
      </c>
      <c r="X45" s="6" t="n">
        <v>0.9326599870717517</v>
      </c>
      <c r="Y45" s="3">
        <f>IF(X45="","",IF(X45&gt;='Léeme'!$B$6,"barato",IF(X45&lt;'Léeme'!$B$7,"caro","medio")))</f>
        <v/>
      </c>
      <c r="Z45" s="10" t="n">
        <v>0.2673183039818763</v>
      </c>
      <c r="AA45" s="10" t="n">
        <v>0.2751349343232992</v>
      </c>
    </row>
    <row r="46">
      <c r="A46" s="3" t="inlineStr">
        <is>
          <t>2009-T1</t>
        </is>
      </c>
      <c r="B46" s="12" t="n">
        <v>39903</v>
      </c>
      <c r="C46" s="13" t="n">
        <v>22.19</v>
      </c>
      <c r="D46" s="13" t="n">
        <v>3.09</v>
      </c>
      <c r="E46" s="13" t="n">
        <v>1.984</v>
      </c>
      <c r="F46" s="14" t="n">
        <v>0.0271</v>
      </c>
      <c r="G46" s="14" t="n">
        <v>8.463140671510772e-05</v>
      </c>
      <c r="H46" s="14" t="n">
        <v>0.0848</v>
      </c>
      <c r="I46" s="15">
        <f>IFERROR(C46/D46,"")</f>
        <v/>
      </c>
      <c r="J46" s="8">
        <f>IFERROR(D46/C46,"")</f>
        <v/>
      </c>
      <c r="K46" s="8">
        <f>IFERROR(E46/C46,"")</f>
        <v/>
      </c>
      <c r="L46" s="8">
        <f>IFERROR(F46-G46,"")</f>
        <v/>
      </c>
      <c r="M46" s="8">
        <f>IFERROR(J46-F46,"")</f>
        <v/>
      </c>
      <c r="N46" s="8">
        <f>IFERROR(J46-L46,"")</f>
        <v/>
      </c>
      <c r="O46" s="8">
        <f>IFERROR(J46-H46,"")</f>
        <v/>
      </c>
      <c r="P46" s="8">
        <f>IFERROR(K46-F46,"")</f>
        <v/>
      </c>
      <c r="Q46" s="6" t="n">
        <v>0.9485981308411215</v>
      </c>
      <c r="R46" s="6" t="n">
        <v>0.9579439252336449</v>
      </c>
      <c r="S46" s="6" t="n">
        <v>0.8177570093457944</v>
      </c>
      <c r="T46" s="6" t="n">
        <v>0.8551401869158879</v>
      </c>
      <c r="U46" s="6" t="n">
        <v>0.8007518796992481</v>
      </c>
      <c r="V46" s="6" t="n">
        <v>0.981203007518797</v>
      </c>
      <c r="W46" s="6" t="n">
        <v>0.8943661971830986</v>
      </c>
      <c r="X46" s="6" t="n">
        <v>0.8936800481053703</v>
      </c>
      <c r="Y46" s="3">
        <f>IF(X46="","",IF(X46&gt;='Léeme'!$B$6,"barato",IF(X46&lt;'Léeme'!$B$7,"caro","medio")))</f>
        <v/>
      </c>
      <c r="Z46" s="10" t="n">
        <v>0.4145135350229161</v>
      </c>
      <c r="AA46" s="10" t="n">
        <v>0.2822096222451695</v>
      </c>
    </row>
    <row r="47">
      <c r="A47" s="3" t="inlineStr">
        <is>
          <t>2009-T2</t>
        </is>
      </c>
      <c r="B47" s="12" t="n">
        <v>39994</v>
      </c>
      <c r="C47" s="13" t="n">
        <v>24.98</v>
      </c>
      <c r="D47" s="13" t="n">
        <v>3.09</v>
      </c>
      <c r="E47" s="13" t="n">
        <v>1.992</v>
      </c>
      <c r="F47" s="14" t="n">
        <v>0.0353</v>
      </c>
      <c r="G47" s="14" t="n">
        <v>-0.01015761495855172</v>
      </c>
      <c r="H47" s="14" t="n">
        <v>0.07200000000000001</v>
      </c>
      <c r="I47" s="15">
        <f>IFERROR(C47/D47,"")</f>
        <v/>
      </c>
      <c r="J47" s="8">
        <f>IFERROR(D47/C47,"")</f>
        <v/>
      </c>
      <c r="K47" s="8">
        <f>IFERROR(E47/C47,"")</f>
        <v/>
      </c>
      <c r="L47" s="8">
        <f>IFERROR(F47-G47,"")</f>
        <v/>
      </c>
      <c r="M47" s="8">
        <f>IFERROR(J47-F47,"")</f>
        <v/>
      </c>
      <c r="N47" s="8">
        <f>IFERROR(J47-L47,"")</f>
        <v/>
      </c>
      <c r="O47" s="8">
        <f>IFERROR(J47-H47,"")</f>
        <v/>
      </c>
      <c r="P47" s="8">
        <f>IFERROR(K47-F47,"")</f>
        <v/>
      </c>
      <c r="Q47" s="6" t="n">
        <v>0.8590909090909091</v>
      </c>
      <c r="R47" s="6" t="n">
        <v>0.8954545454545455</v>
      </c>
      <c r="S47" s="6" t="n">
        <v>0.4136363636363636</v>
      </c>
      <c r="T47" s="6" t="n">
        <v>0.8227272727272728</v>
      </c>
      <c r="U47" s="6" t="n">
        <v>0.6580882352941176</v>
      </c>
      <c r="V47" s="6" t="n">
        <v>0.9375</v>
      </c>
      <c r="W47" s="6" t="n">
        <v>0.7635135135135135</v>
      </c>
      <c r="X47" s="6" t="n">
        <v>0.7642872628166746</v>
      </c>
      <c r="Y47" s="3">
        <f>IF(X47="","",IF(X47&gt;='Léeme'!$B$6,"barato",IF(X47&lt;'Léeme'!$B$7,"caro","medio")))</f>
        <v/>
      </c>
      <c r="Z47" s="10" t="n">
        <v>0.1804436869949779</v>
      </c>
      <c r="AA47" s="10" t="n">
        <v>0.2685563068492389</v>
      </c>
    </row>
    <row r="48">
      <c r="A48" s="3" t="inlineStr">
        <is>
          <t>2009-T3</t>
        </is>
      </c>
      <c r="B48" s="12" t="n">
        <v>40086</v>
      </c>
      <c r="C48" s="13" t="n">
        <v>28.31</v>
      </c>
      <c r="D48" s="13" t="n">
        <v>3.09</v>
      </c>
      <c r="E48" s="13" t="n">
        <v>2</v>
      </c>
      <c r="F48" s="14" t="n">
        <v>0.0331</v>
      </c>
      <c r="G48" s="14" t="n">
        <v>-0.01483835566326763</v>
      </c>
      <c r="H48" s="14" t="n">
        <v>0.0612</v>
      </c>
      <c r="I48" s="15">
        <f>IFERROR(C48/D48,"")</f>
        <v/>
      </c>
      <c r="J48" s="8">
        <f>IFERROR(D48/C48,"")</f>
        <v/>
      </c>
      <c r="K48" s="8">
        <f>IFERROR(E48/C48,"")</f>
        <v/>
      </c>
      <c r="L48" s="8">
        <f>IFERROR(F48-G48,"")</f>
        <v/>
      </c>
      <c r="M48" s="8">
        <f>IFERROR(J48-F48,"")</f>
        <v/>
      </c>
      <c r="N48" s="8">
        <f>IFERROR(J48-L48,"")</f>
        <v/>
      </c>
      <c r="O48" s="8">
        <f>IFERROR(J48-H48,"")</f>
        <v/>
      </c>
      <c r="P48" s="8">
        <f>IFERROR(K48-F48,"")</f>
        <v/>
      </c>
      <c r="Q48" s="6" t="n">
        <v>0.6238938053097345</v>
      </c>
      <c r="R48" s="6" t="n">
        <v>0.8008849557522124</v>
      </c>
      <c r="S48" s="6" t="n">
        <v>0.04867256637168142</v>
      </c>
      <c r="T48" s="6" t="n">
        <v>0.8097345132743363</v>
      </c>
      <c r="U48" s="6" t="n">
        <v>0.4856115107913669</v>
      </c>
      <c r="V48" s="6" t="n">
        <v>0.7661870503597122</v>
      </c>
      <c r="W48" s="6" t="n">
        <v>0.525974025974026</v>
      </c>
      <c r="X48" s="6" t="n">
        <v>0.5801369182618671</v>
      </c>
      <c r="Y48" s="3">
        <f>IF(X48="","",IF(X48&gt;='Léeme'!$B$6,"barato",IF(X48&lt;'Léeme'!$B$7,"caro","medio")))</f>
        <v/>
      </c>
      <c r="Z48" s="10" t="n">
        <v>0.09159930195690613</v>
      </c>
      <c r="AA48" s="10" t="n">
        <v>0.2342970795004913</v>
      </c>
    </row>
    <row r="49">
      <c r="A49" s="3" t="inlineStr">
        <is>
          <t>2009-T4</t>
        </is>
      </c>
      <c r="B49" s="12" t="n">
        <v>40178</v>
      </c>
      <c r="C49" s="13" t="n">
        <v>27.68</v>
      </c>
      <c r="D49" s="13" t="n">
        <v>3.09</v>
      </c>
      <c r="E49" s="13" t="n">
        <v>2.008</v>
      </c>
      <c r="F49" s="14" t="n">
        <v>0.0385</v>
      </c>
      <c r="G49" s="14" t="n">
        <v>0.01914587174470928</v>
      </c>
      <c r="H49" s="14" t="n">
        <v>0.0636</v>
      </c>
      <c r="I49" s="15">
        <f>IFERROR(C49/D49,"")</f>
        <v/>
      </c>
      <c r="J49" s="8">
        <f>IFERROR(D49/C49,"")</f>
        <v/>
      </c>
      <c r="K49" s="8">
        <f>IFERROR(E49/C49,"")</f>
        <v/>
      </c>
      <c r="L49" s="8">
        <f>IFERROR(F49-G49,"")</f>
        <v/>
      </c>
      <c r="M49" s="8">
        <f>IFERROR(J49-F49,"")</f>
        <v/>
      </c>
      <c r="N49" s="8">
        <f>IFERROR(J49-L49,"")</f>
        <v/>
      </c>
      <c r="O49" s="8">
        <f>IFERROR(J49-H49,"")</f>
        <v/>
      </c>
      <c r="P49" s="8">
        <f>IFERROR(K49-F49,"")</f>
        <v/>
      </c>
      <c r="Q49" s="6" t="n">
        <v>0.6594827586206896</v>
      </c>
      <c r="R49" s="6" t="n">
        <v>0.7198275862068966</v>
      </c>
      <c r="S49" s="6" t="n">
        <v>0.6508620689655172</v>
      </c>
      <c r="T49" s="6" t="n">
        <v>0.8060344827586207</v>
      </c>
      <c r="U49" s="6" t="n">
        <v>0.5387323943661971</v>
      </c>
      <c r="V49" s="6" t="n">
        <v>0.6795774647887324</v>
      </c>
      <c r="W49" s="6" t="n">
        <v>0.48125</v>
      </c>
      <c r="X49" s="6" t="n">
        <v>0.6479666793866647</v>
      </c>
      <c r="Y49" s="3">
        <f>IF(X49="","",IF(X49&gt;='Léeme'!$B$6,"barato",IF(X49&lt;'Léeme'!$B$7,"caro","medio")))</f>
        <v/>
      </c>
      <c r="Z49" s="10" t="n">
        <v>0.1944789519177015</v>
      </c>
      <c r="AA49" s="10" t="n">
        <v>0.2603449565281559</v>
      </c>
    </row>
    <row r="50">
      <c r="A50" s="3" t="inlineStr">
        <is>
          <t>2010-T1</t>
        </is>
      </c>
      <c r="B50" s="12" t="n">
        <v>40268</v>
      </c>
      <c r="C50" s="13" t="n">
        <v>29.379999</v>
      </c>
      <c r="D50" s="13" t="n">
        <v>3.09</v>
      </c>
      <c r="E50" s="13" t="n">
        <v>2.016</v>
      </c>
      <c r="F50" s="14" t="n">
        <v>0.0384</v>
      </c>
      <c r="G50" s="14" t="n">
        <v>0.02151336357866529</v>
      </c>
      <c r="H50" s="14" t="n">
        <v>0.0636</v>
      </c>
      <c r="I50" s="15">
        <f>IFERROR(C50/D50,"")</f>
        <v/>
      </c>
      <c r="J50" s="8">
        <f>IFERROR(D50/C50,"")</f>
        <v/>
      </c>
      <c r="K50" s="8">
        <f>IFERROR(E50/C50,"")</f>
        <v/>
      </c>
      <c r="L50" s="8">
        <f>IFERROR(F50-G50,"")</f>
        <v/>
      </c>
      <c r="M50" s="8">
        <f>IFERROR(J50-F50,"")</f>
        <v/>
      </c>
      <c r="N50" s="8">
        <f>IFERROR(J50-L50,"")</f>
        <v/>
      </c>
      <c r="O50" s="8">
        <f>IFERROR(J50-H50,"")</f>
        <v/>
      </c>
      <c r="P50" s="8">
        <f>IFERROR(K50-F50,"")</f>
        <v/>
      </c>
      <c r="Q50" s="6" t="n">
        <v>0.5336134453781513</v>
      </c>
      <c r="R50" s="6" t="n">
        <v>0.6512605042016807</v>
      </c>
      <c r="S50" s="6" t="n">
        <v>0.6008403361344538</v>
      </c>
      <c r="T50" s="6" t="n">
        <v>0.6932773109243697</v>
      </c>
      <c r="U50" s="6" t="n">
        <v>0.4103448275862069</v>
      </c>
      <c r="V50" s="6" t="n">
        <v>0.5896551724137931</v>
      </c>
      <c r="W50" s="6" t="n">
        <v>0.3554216867469879</v>
      </c>
      <c r="X50" s="6" t="n">
        <v>0.5477733261979491</v>
      </c>
      <c r="Y50" s="3">
        <f>IF(X50="","",IF(X50&gt;='Léeme'!$B$6,"barato",IF(X50&lt;'Léeme'!$B$7,"caro","medio")))</f>
        <v/>
      </c>
      <c r="Z50" s="10" t="n">
        <v>0.2810843656643016</v>
      </c>
      <c r="AA50" s="10" t="n">
        <v>0.2372979238154362</v>
      </c>
    </row>
    <row r="51">
      <c r="A51" s="3" t="inlineStr">
        <is>
          <t>2010-T2</t>
        </is>
      </c>
      <c r="B51" s="12" t="n">
        <v>40359</v>
      </c>
      <c r="C51" s="13" t="n">
        <v>27.64</v>
      </c>
      <c r="D51" s="13" t="n">
        <v>3.09</v>
      </c>
      <c r="E51" s="13" t="n">
        <v>2.024</v>
      </c>
      <c r="F51" s="14" t="n">
        <v>0.0297</v>
      </c>
      <c r="G51" s="14" t="n">
        <v>0.02003548929218568</v>
      </c>
      <c r="H51" s="14" t="n">
        <v>0.0609</v>
      </c>
      <c r="I51" s="15">
        <f>IFERROR(C51/D51,"")</f>
        <v/>
      </c>
      <c r="J51" s="8">
        <f>IFERROR(D51/C51,"")</f>
        <v/>
      </c>
      <c r="K51" s="8">
        <f>IFERROR(E51/C51,"")</f>
        <v/>
      </c>
      <c r="L51" s="8">
        <f>IFERROR(F51-G51,"")</f>
        <v/>
      </c>
      <c r="M51" s="8">
        <f>IFERROR(J51-F51,"")</f>
        <v/>
      </c>
      <c r="N51" s="8">
        <f>IFERROR(J51-L51,"")</f>
        <v/>
      </c>
      <c r="O51" s="8">
        <f>IFERROR(J51-H51,"")</f>
        <v/>
      </c>
      <c r="P51" s="8">
        <f>IFERROR(K51-F51,"")</f>
        <v/>
      </c>
      <c r="Q51" s="6" t="n">
        <v>0.6680327868852459</v>
      </c>
      <c r="R51" s="6" t="n">
        <v>0.8401639344262295</v>
      </c>
      <c r="S51" s="6" t="n">
        <v>0.7418032786885246</v>
      </c>
      <c r="T51" s="6" t="n">
        <v>0.8073770491803278</v>
      </c>
      <c r="U51" s="6" t="n">
        <v>0.5574324324324325</v>
      </c>
      <c r="V51" s="6" t="n">
        <v>0.9290540540540541</v>
      </c>
      <c r="W51" s="6" t="n">
        <v>0.4825581395348837</v>
      </c>
      <c r="X51" s="6" t="n">
        <v>0.7180602393145284</v>
      </c>
      <c r="Y51" s="3">
        <f>IF(X51="","",IF(X51&gt;='Léeme'!$B$6,"barato",IF(X51&lt;'Léeme'!$B$7,"caro","medio")))</f>
        <v/>
      </c>
      <c r="Z51" s="10" t="n">
        <v>0.5395821891773389</v>
      </c>
      <c r="AA51" s="10" t="n">
        <v>0.2167923920052719</v>
      </c>
    </row>
    <row r="52">
      <c r="A52" s="3" t="inlineStr">
        <is>
          <t>2010-T3</t>
        </is>
      </c>
      <c r="B52" s="12" t="n">
        <v>40451</v>
      </c>
      <c r="C52" s="13" t="n">
        <v>28.949999</v>
      </c>
      <c r="D52" s="13" t="n">
        <v>3.09</v>
      </c>
      <c r="E52" s="13" t="n">
        <v>2.032</v>
      </c>
      <c r="F52" s="14" t="n">
        <v>0.0253</v>
      </c>
      <c r="G52" s="14" t="n">
        <v>0.01150177539511255</v>
      </c>
      <c r="H52" s="14" t="n">
        <v>0.0558</v>
      </c>
      <c r="I52" s="15">
        <f>IFERROR(C52/D52,"")</f>
        <v/>
      </c>
      <c r="J52" s="8">
        <f>IFERROR(D52/C52,"")</f>
        <v/>
      </c>
      <c r="K52" s="8">
        <f>IFERROR(E52/C52,"")</f>
        <v/>
      </c>
      <c r="L52" s="8">
        <f>IFERROR(F52-G52,"")</f>
        <v/>
      </c>
      <c r="M52" s="8">
        <f>IFERROR(J52-F52,"")</f>
        <v/>
      </c>
      <c r="N52" s="8">
        <f>IFERROR(J52-L52,"")</f>
        <v/>
      </c>
      <c r="O52" s="8">
        <f>IFERROR(J52-H52,"")</f>
        <v/>
      </c>
      <c r="P52" s="8">
        <f>IFERROR(K52-F52,"")</f>
        <v/>
      </c>
      <c r="Q52" s="6" t="n">
        <v>0.556</v>
      </c>
      <c r="R52" s="6" t="n">
        <v>0.828</v>
      </c>
      <c r="S52" s="6" t="n">
        <v>0.66</v>
      </c>
      <c r="T52" s="6" t="n">
        <v>0.804</v>
      </c>
      <c r="U52" s="6" t="n">
        <v>0.466887417218543</v>
      </c>
      <c r="V52" s="6" t="n">
        <v>0.9370860927152318</v>
      </c>
      <c r="W52" s="6" t="n">
        <v>0.3876404494382023</v>
      </c>
      <c r="X52" s="6" t="n">
        <v>0.6628019941959967</v>
      </c>
      <c r="Y52" s="3">
        <f>IF(X52="","",IF(X52&gt;='Léeme'!$B$6,"barato",IF(X52&lt;'Léeme'!$B$7,"caro","medio")))</f>
        <v/>
      </c>
      <c r="Z52" s="10" t="n">
        <v>0.3193354524947001</v>
      </c>
      <c r="AA52" s="10" t="n">
        <v>0.2007275492410656</v>
      </c>
    </row>
    <row r="53">
      <c r="A53" s="3" t="inlineStr">
        <is>
          <t>2010-T4</t>
        </is>
      </c>
      <c r="B53" s="12" t="n">
        <v>40543</v>
      </c>
      <c r="C53" s="13" t="n">
        <v>31.29</v>
      </c>
      <c r="D53" s="13" t="n">
        <v>3.09</v>
      </c>
      <c r="E53" s="13" t="n">
        <v>2.04</v>
      </c>
      <c r="F53" s="14" t="n">
        <v>0.033</v>
      </c>
      <c r="G53" s="14" t="n">
        <v>0.01084544776600338</v>
      </c>
      <c r="H53" s="14" t="n">
        <v>0.0607</v>
      </c>
      <c r="I53" s="15">
        <f>IFERROR(C53/D53,"")</f>
        <v/>
      </c>
      <c r="J53" s="8">
        <f>IFERROR(D53/C53,"")</f>
        <v/>
      </c>
      <c r="K53" s="8">
        <f>IFERROR(E53/C53,"")</f>
        <v/>
      </c>
      <c r="L53" s="8">
        <f>IFERROR(F53-G53,"")</f>
        <v/>
      </c>
      <c r="M53" s="8">
        <f>IFERROR(J53-F53,"")</f>
        <v/>
      </c>
      <c r="N53" s="8">
        <f>IFERROR(J53-L53,"")</f>
        <v/>
      </c>
      <c r="O53" s="8">
        <f>IFERROR(J53-H53,"")</f>
        <v/>
      </c>
      <c r="P53" s="8">
        <f>IFERROR(K53-F53,"")</f>
        <v/>
      </c>
      <c r="Q53" s="6" t="n">
        <v>0.32421875</v>
      </c>
      <c r="R53" s="6" t="n">
        <v>0.61328125</v>
      </c>
      <c r="S53" s="6" t="n">
        <v>0.29296875</v>
      </c>
      <c r="T53" s="6" t="n">
        <v>0.58984375</v>
      </c>
      <c r="U53" s="6" t="n">
        <v>0.3214285714285715</v>
      </c>
      <c r="V53" s="6" t="n">
        <v>0.5941558441558441</v>
      </c>
      <c r="W53" s="6" t="n">
        <v>0.2989130434782609</v>
      </c>
      <c r="X53" s="6" t="n">
        <v>0.4335442798660966</v>
      </c>
      <c r="Y53" s="3">
        <f>IF(X53="","",IF(X53&gt;='Léeme'!$B$6,"barato",IF(X53&lt;'Léeme'!$B$7,"caro","medio")))</f>
        <v/>
      </c>
      <c r="Z53" s="10" t="n">
        <v>0.3680309202783716</v>
      </c>
      <c r="AA53" s="10" t="n">
        <v>0.1869576965729507</v>
      </c>
    </row>
    <row r="54">
      <c r="A54" s="3" t="inlineStr">
        <is>
          <t>2011-T1</t>
        </is>
      </c>
      <c r="B54" s="12" t="n">
        <v>40633</v>
      </c>
      <c r="C54" s="13" t="n">
        <v>35.700001</v>
      </c>
      <c r="D54" s="13" t="n">
        <v>3.27</v>
      </c>
      <c r="E54" s="13" t="n">
        <v>2.048</v>
      </c>
      <c r="F54" s="14" t="n">
        <v>0.0347</v>
      </c>
      <c r="G54" s="14" t="n">
        <v>0.02124898173333145</v>
      </c>
      <c r="H54" s="14" t="n">
        <v>0.06059999999999999</v>
      </c>
      <c r="I54" s="15">
        <f>IFERROR(C54/D54,"")</f>
        <v/>
      </c>
      <c r="J54" s="8">
        <f>IFERROR(D54/C54,"")</f>
        <v/>
      </c>
      <c r="K54" s="8">
        <f>IFERROR(E54/C54,"")</f>
        <v/>
      </c>
      <c r="L54" s="8">
        <f>IFERROR(F54-G54,"")</f>
        <v/>
      </c>
      <c r="M54" s="8">
        <f>IFERROR(J54-F54,"")</f>
        <v/>
      </c>
      <c r="N54" s="8">
        <f>IFERROR(J54-L54,"")</f>
        <v/>
      </c>
      <c r="O54" s="8">
        <f>IFERROR(J54-H54,"")</f>
        <v/>
      </c>
      <c r="P54" s="8">
        <f>IFERROR(K54-F54,"")</f>
        <v/>
      </c>
      <c r="Q54" s="6" t="n">
        <v>0.133587786259542</v>
      </c>
      <c r="R54" s="6" t="n">
        <v>0.4083969465648855</v>
      </c>
      <c r="S54" s="6" t="n">
        <v>0.3854961832061068</v>
      </c>
      <c r="T54" s="6" t="n">
        <v>0.4389312977099237</v>
      </c>
      <c r="U54" s="6" t="n">
        <v>0.1369426751592357</v>
      </c>
      <c r="V54" s="6" t="n">
        <v>0.3535031847133758</v>
      </c>
      <c r="W54" s="6" t="n">
        <v>0.131578947368421</v>
      </c>
      <c r="X54" s="6" t="n">
        <v>0.2840624315687844</v>
      </c>
      <c r="Y54" s="3">
        <f>IF(X54="","",IF(X54&gt;='Léeme'!$B$6,"barato",IF(X54&lt;'Léeme'!$B$7,"caro","medio")))</f>
        <v/>
      </c>
      <c r="Z54" s="10" t="n">
        <v>0.3602977971362342</v>
      </c>
      <c r="AA54" s="10" t="n">
        <v>0.1687927918046539</v>
      </c>
    </row>
    <row r="55">
      <c r="A55" s="3" t="inlineStr">
        <is>
          <t>2011-T2</t>
        </is>
      </c>
      <c r="B55" s="12" t="n">
        <v>40724</v>
      </c>
      <c r="C55" s="13" t="n">
        <v>40.499999</v>
      </c>
      <c r="D55" s="13" t="n">
        <v>3.27</v>
      </c>
      <c r="E55" s="13" t="n">
        <v>2.2</v>
      </c>
      <c r="F55" s="14" t="n">
        <v>0.0318</v>
      </c>
      <c r="G55" s="14" t="n">
        <v>0.034589718808965</v>
      </c>
      <c r="H55" s="14" t="n">
        <v>0.05889999999999999</v>
      </c>
      <c r="I55" s="15">
        <f>IFERROR(C55/D55,"")</f>
        <v/>
      </c>
      <c r="J55" s="8">
        <f>IFERROR(D55/C55,"")</f>
        <v/>
      </c>
      <c r="K55" s="8">
        <f>IFERROR(E55/C55,"")</f>
        <v/>
      </c>
      <c r="L55" s="8">
        <f>IFERROR(F55-G55,"")</f>
        <v/>
      </c>
      <c r="M55" s="8">
        <f>IFERROR(J55-F55,"")</f>
        <v/>
      </c>
      <c r="N55" s="8">
        <f>IFERROR(J55-L55,"")</f>
        <v/>
      </c>
      <c r="O55" s="8">
        <f>IFERROR(J55-H55,"")</f>
        <v/>
      </c>
      <c r="P55" s="8">
        <f>IFERROR(K55-F55,"")</f>
        <v/>
      </c>
      <c r="Q55" s="6" t="n">
        <v>0.01865671641791045</v>
      </c>
      <c r="R55" s="6" t="n">
        <v>0.1902985074626866</v>
      </c>
      <c r="S55" s="6" t="n">
        <v>0.4813432835820896</v>
      </c>
      <c r="T55" s="6" t="n">
        <v>0.08582089552238806</v>
      </c>
      <c r="U55" s="6" t="n">
        <v>0.053125</v>
      </c>
      <c r="V55" s="6" t="n">
        <v>0.340625</v>
      </c>
      <c r="W55" s="6" t="n">
        <v>0.00510204081632653</v>
      </c>
      <c r="X55" s="6" t="n">
        <v>0.1678530634002002</v>
      </c>
      <c r="Y55" s="3">
        <f>IF(X55="","",IF(X55&gt;='Léeme'!$B$6,"barato",IF(X55&lt;'Léeme'!$B$7,"caro","medio")))</f>
        <v/>
      </c>
      <c r="Z55" s="10" t="n">
        <v>0.1852179170706247</v>
      </c>
      <c r="AA55" s="10" t="n">
        <v>0.1649264614601165</v>
      </c>
    </row>
    <row r="56">
      <c r="A56" s="3" t="inlineStr">
        <is>
          <t>2011-T3</t>
        </is>
      </c>
      <c r="B56" s="12" t="n">
        <v>40816</v>
      </c>
      <c r="C56" s="13" t="n">
        <v>36.430001</v>
      </c>
      <c r="D56" s="13" t="n">
        <v>3.27</v>
      </c>
      <c r="E56" s="13" t="n">
        <v>2.24</v>
      </c>
      <c r="F56" s="14" t="n">
        <v>0.0192</v>
      </c>
      <c r="G56" s="14" t="n">
        <v>0.0375499603070808</v>
      </c>
      <c r="H56" s="14" t="n">
        <v>0.0529</v>
      </c>
      <c r="I56" s="15">
        <f>IFERROR(C56/D56,"")</f>
        <v/>
      </c>
      <c r="J56" s="8">
        <f>IFERROR(D56/C56,"")</f>
        <v/>
      </c>
      <c r="K56" s="8">
        <f>IFERROR(E56/C56,"")</f>
        <v/>
      </c>
      <c r="L56" s="8">
        <f>IFERROR(F56-G56,"")</f>
        <v/>
      </c>
      <c r="M56" s="8">
        <f>IFERROR(J56-F56,"")</f>
        <v/>
      </c>
      <c r="N56" s="8">
        <f>IFERROR(J56-L56,"")</f>
        <v/>
      </c>
      <c r="O56" s="8">
        <f>IFERROR(J56-H56,"")</f>
        <v/>
      </c>
      <c r="P56" s="8">
        <f>IFERROR(K56-F56,"")</f>
        <v/>
      </c>
      <c r="Q56" s="6" t="n">
        <v>0.1131386861313869</v>
      </c>
      <c r="R56" s="6" t="n">
        <v>0.6824817518248175</v>
      </c>
      <c r="S56" s="6" t="n">
        <v>0.8284671532846716</v>
      </c>
      <c r="T56" s="6" t="n">
        <v>0.5802919708029197</v>
      </c>
      <c r="U56" s="6" t="n">
        <v>0.3098159509202454</v>
      </c>
      <c r="V56" s="6" t="n">
        <v>0.911042944785276</v>
      </c>
      <c r="W56" s="6" t="n">
        <v>0.103960396039604</v>
      </c>
      <c r="X56" s="6" t="n">
        <v>0.5041712648269887</v>
      </c>
      <c r="Y56" s="3">
        <f>IF(X56="","",IF(X56&gt;='Léeme'!$B$6,"barato",IF(X56&lt;'Léeme'!$B$7,"caro","medio")))</f>
        <v/>
      </c>
      <c r="Z56" s="10" t="n">
        <v>0.4007066868471392</v>
      </c>
      <c r="AA56" s="10" t="n">
        <v>0.1726171715999518</v>
      </c>
    </row>
    <row r="57">
      <c r="A57" s="3" t="inlineStr">
        <is>
          <t>2011-T4</t>
        </is>
      </c>
      <c r="B57" s="12" t="n">
        <v>40907</v>
      </c>
      <c r="C57" s="13" t="n">
        <v>40.939999</v>
      </c>
      <c r="D57" s="13" t="n">
        <v>3.27</v>
      </c>
      <c r="E57" s="13" t="n">
        <v>2.252</v>
      </c>
      <c r="F57" s="14" t="n">
        <v>0.0189</v>
      </c>
      <c r="G57" s="14" t="n">
        <v>0.03451432214581729</v>
      </c>
      <c r="H57" s="14" t="n">
        <v>0.0519</v>
      </c>
      <c r="I57" s="15">
        <f>IFERROR(C57/D57,"")</f>
        <v/>
      </c>
      <c r="J57" s="8">
        <f>IFERROR(D57/C57,"")</f>
        <v/>
      </c>
      <c r="K57" s="8">
        <f>IFERROR(E57/C57,"")</f>
        <v/>
      </c>
      <c r="L57" s="8">
        <f>IFERROR(F57-G57,"")</f>
        <v/>
      </c>
      <c r="M57" s="8">
        <f>IFERROR(J57-F57,"")</f>
        <v/>
      </c>
      <c r="N57" s="8">
        <f>IFERROR(J57-L57,"")</f>
        <v/>
      </c>
      <c r="O57" s="8">
        <f>IFERROR(J57-H57,"")</f>
        <v/>
      </c>
      <c r="P57" s="8">
        <f>IFERROR(K57-F57,"")</f>
        <v/>
      </c>
      <c r="Q57" s="6" t="n">
        <v>0.01071428571428571</v>
      </c>
      <c r="R57" s="6" t="n">
        <v>0.5607142857142857</v>
      </c>
      <c r="S57" s="6" t="n">
        <v>0.6892857142857143</v>
      </c>
      <c r="T57" s="6" t="n">
        <v>0.3178571428571428</v>
      </c>
      <c r="U57" s="6" t="n">
        <v>0.08734939759036145</v>
      </c>
      <c r="V57" s="6" t="n">
        <v>0.7018072289156626</v>
      </c>
      <c r="W57" s="6" t="n">
        <v>0.004807692307692308</v>
      </c>
      <c r="X57" s="6" t="n">
        <v>0.3389336781978778</v>
      </c>
      <c r="Y57" s="3">
        <f>IF(X57="","",IF(X57&gt;='Léeme'!$B$6,"barato",IF(X57&lt;'Léeme'!$B$7,"caro","medio")))</f>
        <v/>
      </c>
      <c r="Z57" s="10" t="n">
        <v>0.3185622488420286</v>
      </c>
      <c r="AA57" s="10" t="n">
        <v>0.1262889622516772</v>
      </c>
    </row>
    <row r="58">
      <c r="A58" s="3" t="inlineStr">
        <is>
          <t>2012-T1</t>
        </is>
      </c>
      <c r="B58" s="12" t="n">
        <v>40998</v>
      </c>
      <c r="C58" s="13" t="n">
        <v>46.519998</v>
      </c>
      <c r="D58" s="13" t="n">
        <v>4.71</v>
      </c>
      <c r="E58" s="13" t="n">
        <v>2.26</v>
      </c>
      <c r="F58" s="14" t="n">
        <v>0.0223</v>
      </c>
      <c r="G58" s="14" t="n">
        <v>0.02898178442347388</v>
      </c>
      <c r="H58" s="14" t="n">
        <v>0.0521</v>
      </c>
      <c r="I58" s="15">
        <f>IFERROR(C58/D58,"")</f>
        <v/>
      </c>
      <c r="J58" s="8">
        <f>IFERROR(D58/C58,"")</f>
        <v/>
      </c>
      <c r="K58" s="8">
        <f>IFERROR(E58/C58,"")</f>
        <v/>
      </c>
      <c r="L58" s="8">
        <f>IFERROR(F58-G58,"")</f>
        <v/>
      </c>
      <c r="M58" s="8">
        <f>IFERROR(J58-F58,"")</f>
        <v/>
      </c>
      <c r="N58" s="8">
        <f>IFERROR(J58-L58,"")</f>
        <v/>
      </c>
      <c r="O58" s="8">
        <f>IFERROR(J58-H58,"")</f>
        <v/>
      </c>
      <c r="P58" s="8">
        <f>IFERROR(K58-F58,"")</f>
        <v/>
      </c>
      <c r="Q58" s="6" t="n">
        <v>0.4650349650349651</v>
      </c>
      <c r="R58" s="6" t="n">
        <v>0.8216783216783217</v>
      </c>
      <c r="S58" s="6" t="n">
        <v>0.8216783216783217</v>
      </c>
      <c r="T58" s="6" t="n">
        <v>0.8006993006993007</v>
      </c>
      <c r="U58" s="6" t="n">
        <v>0.002958579881656805</v>
      </c>
      <c r="V58" s="6" t="n">
        <v>0.4408284023668639</v>
      </c>
      <c r="W58" s="6" t="n">
        <v>0.4532710280373832</v>
      </c>
      <c r="X58" s="6" t="n">
        <v>0.5437355599109733</v>
      </c>
      <c r="Y58" s="3">
        <f>IF(X58="","",IF(X58&gt;='Léeme'!$B$6,"barato",IF(X58&lt;'Léeme'!$B$7,"caro","medio")))</f>
        <v/>
      </c>
      <c r="Z58" s="10" t="n">
        <v>0.5082940960460638</v>
      </c>
      <c r="AA58" s="10" t="n">
        <v>0.1080329766107682</v>
      </c>
    </row>
    <row r="59">
      <c r="A59" s="3" t="inlineStr">
        <is>
          <t>2012-T2</t>
        </is>
      </c>
      <c r="B59" s="12" t="n">
        <v>41089</v>
      </c>
      <c r="C59" s="13" t="n">
        <v>46.03</v>
      </c>
      <c r="D59" s="13" t="n">
        <v>4.71</v>
      </c>
      <c r="E59" s="13" t="n">
        <v>2.268</v>
      </c>
      <c r="F59" s="14" t="n">
        <v>0.0167</v>
      </c>
      <c r="G59" s="14" t="n">
        <v>0.01737942937466075</v>
      </c>
      <c r="H59" s="14" t="n">
        <v>0.04969999999999999</v>
      </c>
      <c r="I59" s="15">
        <f>IFERROR(C59/D59,"")</f>
        <v/>
      </c>
      <c r="J59" s="8">
        <f>IFERROR(D59/C59,"")</f>
        <v/>
      </c>
      <c r="K59" s="8">
        <f>IFERROR(E59/C59,"")</f>
        <v/>
      </c>
      <c r="L59" s="8">
        <f>IFERROR(F59-G59,"")</f>
        <v/>
      </c>
      <c r="M59" s="8">
        <f>IFERROR(J59-F59,"")</f>
        <v/>
      </c>
      <c r="N59" s="8">
        <f>IFERROR(J59-L59,"")</f>
        <v/>
      </c>
      <c r="O59" s="8">
        <f>IFERROR(J59-H59,"")</f>
        <v/>
      </c>
      <c r="P59" s="8">
        <f>IFERROR(K59-F59,"")</f>
        <v/>
      </c>
      <c r="Q59" s="6" t="n">
        <v>0.4965753424657534</v>
      </c>
      <c r="R59" s="6" t="n">
        <v>0.886986301369863</v>
      </c>
      <c r="S59" s="6" t="n">
        <v>0.7568493150684932</v>
      </c>
      <c r="T59" s="6" t="n">
        <v>0.8527397260273972</v>
      </c>
      <c r="U59" s="6" t="n">
        <v>0.02034883720930233</v>
      </c>
      <c r="V59" s="6" t="n">
        <v>0.6191860465116279</v>
      </c>
      <c r="W59" s="6" t="n">
        <v>0.4863636363636364</v>
      </c>
      <c r="X59" s="6" t="n">
        <v>0.588435600716582</v>
      </c>
      <c r="Y59" s="3">
        <f>IF(X59="","",IF(X59&gt;='Léeme'!$B$6,"barato",IF(X59&lt;'Léeme'!$B$7,"caro","medio")))</f>
        <v/>
      </c>
      <c r="Z59" s="10" t="n">
        <v>0.4964147603717859</v>
      </c>
      <c r="AA59" s="10" t="n">
        <v>0.1250545422565028</v>
      </c>
    </row>
    <row r="60">
      <c r="A60" s="3" t="inlineStr">
        <is>
          <t>2012-T3</t>
        </is>
      </c>
      <c r="B60" s="12" t="n">
        <v>41180</v>
      </c>
      <c r="C60" s="13" t="n">
        <v>49</v>
      </c>
      <c r="D60" s="13" t="n">
        <v>4.71</v>
      </c>
      <c r="E60" s="13" t="n">
        <v>2.6</v>
      </c>
      <c r="F60" s="14" t="n">
        <v>0.0165</v>
      </c>
      <c r="G60" s="14" t="n">
        <v>0.01685934915482123</v>
      </c>
      <c r="H60" s="14" t="n">
        <v>0.0471</v>
      </c>
      <c r="I60" s="15">
        <f>IFERROR(C60/D60,"")</f>
        <v/>
      </c>
      <c r="J60" s="8">
        <f>IFERROR(D60/C60,"")</f>
        <v/>
      </c>
      <c r="K60" s="8">
        <f>IFERROR(E60/C60,"")</f>
        <v/>
      </c>
      <c r="L60" s="8">
        <f>IFERROR(F60-G60,"")</f>
        <v/>
      </c>
      <c r="M60" s="8">
        <f>IFERROR(J60-F60,"")</f>
        <v/>
      </c>
      <c r="N60" s="8">
        <f>IFERROR(J60-L60,"")</f>
        <v/>
      </c>
      <c r="O60" s="8">
        <f>IFERROR(J60-H60,"")</f>
        <v/>
      </c>
      <c r="P60" s="8">
        <f>IFERROR(K60-F60,"")</f>
        <v/>
      </c>
      <c r="Q60" s="6" t="n">
        <v>0.2986577181208054</v>
      </c>
      <c r="R60" s="6" t="n">
        <v>0.802013422818792</v>
      </c>
      <c r="S60" s="6" t="n">
        <v>0.6610738255033557</v>
      </c>
      <c r="T60" s="6" t="n">
        <v>0.7751677852348994</v>
      </c>
      <c r="U60" s="6" t="n">
        <v>0.06571428571428571</v>
      </c>
      <c r="V60" s="6" t="n">
        <v>0.7171428571428572</v>
      </c>
      <c r="W60" s="6" t="n">
        <v>0.3584070796460177</v>
      </c>
      <c r="X60" s="6" t="n">
        <v>0.5254538534544304</v>
      </c>
      <c r="Y60" s="3">
        <f>IF(X60="","",IF(X60&gt;='Léeme'!$B$6,"barato",IF(X60&lt;'Léeme'!$B$7,"caro","medio")))</f>
        <v/>
      </c>
      <c r="Z60" s="10" t="n">
        <v>0.4019807551956864</v>
      </c>
      <c r="AA60" s="10" t="n">
        <v>0.11804993215125</v>
      </c>
    </row>
    <row r="61">
      <c r="A61" s="3" t="inlineStr">
        <is>
          <t>2012-T4</t>
        </is>
      </c>
      <c r="B61" s="12" t="n">
        <v>41274</v>
      </c>
      <c r="C61" s="13" t="n">
        <v>52.149998</v>
      </c>
      <c r="D61" s="13" t="n">
        <v>4.71</v>
      </c>
      <c r="E61" s="13" t="n">
        <v>2.64</v>
      </c>
      <c r="F61" s="14" t="n">
        <v>0.0178</v>
      </c>
      <c r="G61" s="14" t="n">
        <v>0.01796019703392626</v>
      </c>
      <c r="H61" s="14" t="n">
        <v>0.0458</v>
      </c>
      <c r="I61" s="15">
        <f>IFERROR(C61/D61,"")</f>
        <v/>
      </c>
      <c r="J61" s="8">
        <f>IFERROR(D61/C61,"")</f>
        <v/>
      </c>
      <c r="K61" s="8">
        <f>IFERROR(E61/C61,"")</f>
        <v/>
      </c>
      <c r="L61" s="8">
        <f>IFERROR(F61-G61,"")</f>
        <v/>
      </c>
      <c r="M61" s="8">
        <f>IFERROR(J61-F61,"")</f>
        <v/>
      </c>
      <c r="N61" s="8">
        <f>IFERROR(J61-L61,"")</f>
        <v/>
      </c>
      <c r="O61" s="8">
        <f>IFERROR(J61-H61,"")</f>
        <v/>
      </c>
      <c r="P61" s="8">
        <f>IFERROR(K61-F61,"")</f>
        <v/>
      </c>
      <c r="Q61" s="6" t="n">
        <v>0.1677631578947368</v>
      </c>
      <c r="R61" s="6" t="n">
        <v>0.6677631578947368</v>
      </c>
      <c r="S61" s="6" t="n">
        <v>0.5625</v>
      </c>
      <c r="T61" s="6" t="n">
        <v>0.7138157894736842</v>
      </c>
      <c r="U61" s="6" t="n">
        <v>0.05337078651685393</v>
      </c>
      <c r="V61" s="6" t="n">
        <v>0.6151685393258427</v>
      </c>
      <c r="W61" s="6" t="n">
        <v>0.2112068965517241</v>
      </c>
      <c r="X61" s="6" t="n">
        <v>0.4273697610939399</v>
      </c>
      <c r="Y61" s="3">
        <f>IF(X61="","",IF(X61&gt;='Léeme'!$B$6,"barato",IF(X61&lt;'Léeme'!$B$7,"caro","medio")))</f>
        <v/>
      </c>
      <c r="Z61" s="10" t="n">
        <v>0.2274800254287928</v>
      </c>
      <c r="AA61" s="10" t="n">
        <v>0.1082889241046694</v>
      </c>
    </row>
    <row r="62">
      <c r="A62" s="3" t="inlineStr">
        <is>
          <t>2013-T1</t>
        </is>
      </c>
      <c r="B62" s="12" t="n">
        <v>41361</v>
      </c>
      <c r="C62" s="13" t="n">
        <v>67.399998</v>
      </c>
      <c r="D62" s="13" t="n">
        <v>3.76</v>
      </c>
      <c r="E62" s="13" t="n">
        <v>3.28</v>
      </c>
      <c r="F62" s="14" t="n">
        <v>0.0187</v>
      </c>
      <c r="G62" s="14" t="n">
        <v>0.02018140490257481</v>
      </c>
      <c r="H62" s="14" t="n">
        <v>0.048</v>
      </c>
      <c r="I62" s="15">
        <f>IFERROR(C62/D62,"")</f>
        <v/>
      </c>
      <c r="J62" s="8">
        <f>IFERROR(D62/C62,"")</f>
        <v/>
      </c>
      <c r="K62" s="8">
        <f>IFERROR(E62/C62,"")</f>
        <v/>
      </c>
      <c r="L62" s="8">
        <f>IFERROR(F62-G62,"")</f>
        <v/>
      </c>
      <c r="M62" s="8">
        <f>IFERROR(J62-F62,"")</f>
        <v/>
      </c>
      <c r="N62" s="8">
        <f>IFERROR(J62-L62,"")</f>
        <v/>
      </c>
      <c r="O62" s="8">
        <f>IFERROR(J62-H62,"")</f>
        <v/>
      </c>
      <c r="P62" s="8">
        <f>IFERROR(K62-F62,"")</f>
        <v/>
      </c>
      <c r="Q62" s="6" t="n">
        <v>0.003225806451612903</v>
      </c>
      <c r="R62" s="6" t="n">
        <v>0.02258064516129032</v>
      </c>
      <c r="S62" s="6" t="n">
        <v>0.02903225806451613</v>
      </c>
      <c r="T62" s="6" t="n">
        <v>0.003225806451612903</v>
      </c>
      <c r="U62" s="6" t="n">
        <v>0.03591160220994475</v>
      </c>
      <c r="V62" s="6" t="n">
        <v>0.5441988950276243</v>
      </c>
      <c r="W62" s="6" t="n">
        <v>0.004201680672268907</v>
      </c>
      <c r="X62" s="6" t="n">
        <v>0.09176809914841003</v>
      </c>
      <c r="Y62" s="3">
        <f>IF(X62="","",IF(X62&gt;='Léeme'!$B$6,"barato",IF(X62&lt;'Léeme'!$B$7,"caro","medio")))</f>
        <v/>
      </c>
      <c r="Z62" s="10" t="n">
        <v>-0.0754441439738136</v>
      </c>
      <c r="AA62" s="10" t="n">
        <v>0.03211015049309851</v>
      </c>
    </row>
    <row r="63">
      <c r="A63" s="3" t="inlineStr">
        <is>
          <t>2013-T2</t>
        </is>
      </c>
      <c r="B63" s="12" t="n">
        <v>41453</v>
      </c>
      <c r="C63" s="13" t="n">
        <v>66.17000299999999</v>
      </c>
      <c r="D63" s="13" t="n">
        <v>3.76</v>
      </c>
      <c r="E63" s="13" t="n">
        <v>3.36</v>
      </c>
      <c r="F63" s="14" t="n">
        <v>0.0252</v>
      </c>
      <c r="G63" s="14" t="n">
        <v>0.01390388827919709</v>
      </c>
      <c r="H63" s="14" t="n">
        <v>0.0541</v>
      </c>
      <c r="I63" s="15">
        <f>IFERROR(C63/D63,"")</f>
        <v/>
      </c>
      <c r="J63" s="8">
        <f>IFERROR(D63/C63,"")</f>
        <v/>
      </c>
      <c r="K63" s="8">
        <f>IFERROR(E63/C63,"")</f>
        <v/>
      </c>
      <c r="L63" s="8">
        <f>IFERROR(F63-G63,"")</f>
        <v/>
      </c>
      <c r="M63" s="8">
        <f>IFERROR(J63-F63,"")</f>
        <v/>
      </c>
      <c r="N63" s="8">
        <f>IFERROR(J63-L63,"")</f>
        <v/>
      </c>
      <c r="O63" s="8">
        <f>IFERROR(J63-H63,"")</f>
        <v/>
      </c>
      <c r="P63" s="8">
        <f>IFERROR(K63-F63,"")</f>
        <v/>
      </c>
      <c r="Q63" s="6" t="n">
        <v>0.02215189873417722</v>
      </c>
      <c r="R63" s="6" t="n">
        <v>0.003164556962025316</v>
      </c>
      <c r="S63" s="6" t="n">
        <v>0.00949367088607595</v>
      </c>
      <c r="T63" s="6" t="n">
        <v>0.003164556962025316</v>
      </c>
      <c r="U63" s="6" t="n">
        <v>0.08423913043478261</v>
      </c>
      <c r="V63" s="6" t="n">
        <v>0.3885869565217391</v>
      </c>
      <c r="W63" s="6" t="n">
        <v>0.02868852459016394</v>
      </c>
      <c r="X63" s="6" t="n">
        <v>0.07706989929871277</v>
      </c>
      <c r="Y63" s="3">
        <f>IF(X63="","",IF(X63&gt;='Léeme'!$B$6,"barato",IF(X63&lt;'Léeme'!$B$7,"caro","medio")))</f>
        <v/>
      </c>
      <c r="Z63" s="10" t="n">
        <v>0.01775451084651336</v>
      </c>
      <c r="AA63" s="10" t="n">
        <v>0.04950584782210088</v>
      </c>
    </row>
    <row r="64">
      <c r="A64" s="3" t="inlineStr">
        <is>
          <t>2013-T3</t>
        </is>
      </c>
      <c r="B64" s="12" t="n">
        <v>41547</v>
      </c>
      <c r="C64" s="13" t="n">
        <v>64.700002</v>
      </c>
      <c r="D64" s="13" t="n">
        <v>3.76</v>
      </c>
      <c r="E64" s="13" t="n">
        <v>3.44</v>
      </c>
      <c r="F64" s="14" t="n">
        <v>0.0264</v>
      </c>
      <c r="G64" s="14" t="n">
        <v>0.01538809488600279</v>
      </c>
      <c r="H64" s="14" t="n">
        <v>0.0537</v>
      </c>
      <c r="I64" s="15">
        <f>IFERROR(C64/D64,"")</f>
        <v/>
      </c>
      <c r="J64" s="8">
        <f>IFERROR(D64/C64,"")</f>
        <v/>
      </c>
      <c r="K64" s="8">
        <f>IFERROR(E64/C64,"")</f>
        <v/>
      </c>
      <c r="L64" s="8">
        <f>IFERROR(F64-G64,"")</f>
        <v/>
      </c>
      <c r="M64" s="8">
        <f>IFERROR(J64-F64,"")</f>
        <v/>
      </c>
      <c r="N64" s="8">
        <f>IFERROR(J64-L64,"")</f>
        <v/>
      </c>
      <c r="O64" s="8">
        <f>IFERROR(J64-H64,"")</f>
        <v/>
      </c>
      <c r="P64" s="8">
        <f>IFERROR(K64-F64,"")</f>
        <v/>
      </c>
      <c r="Q64" s="6" t="n">
        <v>0.04037267080745342</v>
      </c>
      <c r="R64" s="6" t="n">
        <v>0.02795031055900621</v>
      </c>
      <c r="S64" s="6" t="n">
        <v>0.02173913043478261</v>
      </c>
      <c r="T64" s="6" t="n">
        <v>0.02173913043478261</v>
      </c>
      <c r="U64" s="6" t="n">
        <v>0.1203208556149733</v>
      </c>
      <c r="V64" s="6" t="n">
        <v>0.4411764705882353</v>
      </c>
      <c r="W64" s="6" t="n">
        <v>0.052</v>
      </c>
      <c r="X64" s="6" t="n">
        <v>0.1036140812056048</v>
      </c>
      <c r="Y64" s="3">
        <f>IF(X64="","",IF(X64&gt;='Léeme'!$B$6,"barato",IF(X64&lt;'Léeme'!$B$7,"caro","medio")))</f>
        <v/>
      </c>
      <c r="Z64" s="10" t="n">
        <v>0.03330950780149444</v>
      </c>
      <c r="AA64" s="10" t="n">
        <v>0.04863557512244077</v>
      </c>
    </row>
    <row r="65">
      <c r="A65" s="3" t="inlineStr">
        <is>
          <t>2013-T4</t>
        </is>
      </c>
      <c r="B65" s="12" t="n">
        <v>41639</v>
      </c>
      <c r="C65" s="13" t="n">
        <v>61.350001</v>
      </c>
      <c r="D65" s="13" t="n">
        <v>3.76</v>
      </c>
      <c r="E65" s="13" t="n">
        <v>3.48</v>
      </c>
      <c r="F65" s="14" t="n">
        <v>0.0304</v>
      </c>
      <c r="G65" s="14" t="n">
        <v>0.01232870196195446</v>
      </c>
      <c r="H65" s="14" t="n">
        <v>0.0534</v>
      </c>
      <c r="I65" s="15">
        <f>IFERROR(C65/D65,"")</f>
        <v/>
      </c>
      <c r="J65" s="8">
        <f>IFERROR(D65/C65,"")</f>
        <v/>
      </c>
      <c r="K65" s="8">
        <f>IFERROR(E65/C65,"")</f>
        <v/>
      </c>
      <c r="L65" s="8">
        <f>IFERROR(F65-G65,"")</f>
        <v/>
      </c>
      <c r="M65" s="8">
        <f>IFERROR(J65-F65,"")</f>
        <v/>
      </c>
      <c r="N65" s="8">
        <f>IFERROR(J65-L65,"")</f>
        <v/>
      </c>
      <c r="O65" s="8">
        <f>IFERROR(J65-H65,"")</f>
        <v/>
      </c>
      <c r="P65" s="8">
        <f>IFERROR(K65-F65,"")</f>
        <v/>
      </c>
      <c r="Q65" s="6" t="n">
        <v>0.05792682926829269</v>
      </c>
      <c r="R65" s="6" t="n">
        <v>0.02134146341463415</v>
      </c>
      <c r="S65" s="6" t="n">
        <v>0.01524390243902439</v>
      </c>
      <c r="T65" s="6" t="n">
        <v>0.05182926829268292</v>
      </c>
      <c r="U65" s="6" t="n">
        <v>0.25</v>
      </c>
      <c r="V65" s="6" t="n">
        <v>0.4289473684210526</v>
      </c>
      <c r="W65" s="6" t="n">
        <v>0.08203125</v>
      </c>
      <c r="X65" s="6" t="n">
        <v>0.1296171545479552</v>
      </c>
      <c r="Y65" s="3">
        <f>IF(X65="","",IF(X65&gt;='Léeme'!$B$6,"barato",IF(X65&lt;'Léeme'!$B$7,"caro","medio")))</f>
        <v/>
      </c>
      <c r="Z65" s="10" t="n">
        <v>0.1955070076758669</v>
      </c>
      <c r="AA65" s="10" t="n">
        <v>0.06322499480565114</v>
      </c>
    </row>
    <row r="66">
      <c r="A66" s="3" t="inlineStr">
        <is>
          <t>2014-T1</t>
        </is>
      </c>
      <c r="B66" s="12" t="n">
        <v>41729</v>
      </c>
      <c r="C66" s="13" t="n">
        <v>60.07</v>
      </c>
      <c r="D66" s="13" t="n">
        <v>4.22</v>
      </c>
      <c r="E66" s="13" t="n">
        <v>3.58</v>
      </c>
      <c r="F66" s="14" t="n">
        <v>0.0273</v>
      </c>
      <c r="G66" s="14" t="n">
        <v>0.01120474634772495</v>
      </c>
      <c r="H66" s="14" t="n">
        <v>0.0498</v>
      </c>
      <c r="I66" s="15">
        <f>IFERROR(C66/D66,"")</f>
        <v/>
      </c>
      <c r="J66" s="8">
        <f>IFERROR(D66/C66,"")</f>
        <v/>
      </c>
      <c r="K66" s="8">
        <f>IFERROR(E66/C66,"")</f>
        <v/>
      </c>
      <c r="L66" s="8">
        <f>IFERROR(F66-G66,"")</f>
        <v/>
      </c>
      <c r="M66" s="8">
        <f>IFERROR(J66-F66,"")</f>
        <v/>
      </c>
      <c r="N66" s="8">
        <f>IFERROR(J66-L66,"")</f>
        <v/>
      </c>
      <c r="O66" s="8">
        <f>IFERROR(J66-H66,"")</f>
        <v/>
      </c>
      <c r="P66" s="8">
        <f>IFERROR(K66-F66,"")</f>
        <v/>
      </c>
      <c r="Q66" s="6" t="n">
        <v>0.08083832335329341</v>
      </c>
      <c r="R66" s="6" t="n">
        <v>0.1227544910179641</v>
      </c>
      <c r="S66" s="6" t="n">
        <v>0.0748502994011976</v>
      </c>
      <c r="T66" s="6" t="n">
        <v>0.1107784431137725</v>
      </c>
      <c r="U66" s="6" t="n">
        <v>0.344559585492228</v>
      </c>
      <c r="V66" s="6" t="n">
        <v>0.6191709844559585</v>
      </c>
      <c r="W66" s="6" t="n">
        <v>0.1030534351145038</v>
      </c>
      <c r="X66" s="6" t="n">
        <v>0.2080007945641311</v>
      </c>
      <c r="Y66" s="3">
        <f>IF(X66="","",IF(X66&gt;='Léeme'!$B$6,"barato",IF(X66&lt;'Léeme'!$B$7,"caro","medio")))</f>
        <v/>
      </c>
      <c r="Z66" s="10" t="n">
        <v>0.1835411706498673</v>
      </c>
      <c r="AA66" s="10" t="n">
        <v>0.1068226136772747</v>
      </c>
    </row>
    <row r="67">
      <c r="A67" s="3" t="inlineStr">
        <is>
          <t>2014-T2</t>
        </is>
      </c>
      <c r="B67" s="12" t="n">
        <v>41820</v>
      </c>
      <c r="C67" s="13" t="n">
        <v>64.40000000000001</v>
      </c>
      <c r="D67" s="13" t="n">
        <v>4.22</v>
      </c>
      <c r="E67" s="13" t="n">
        <v>3.6</v>
      </c>
      <c r="F67" s="14" t="n">
        <v>0.0253</v>
      </c>
      <c r="G67" s="14" t="n">
        <v>0.02166947687079812</v>
      </c>
      <c r="H67" s="14" t="n">
        <v>0.0474</v>
      </c>
      <c r="I67" s="15">
        <f>IFERROR(C67/D67,"")</f>
        <v/>
      </c>
      <c r="J67" s="8">
        <f>IFERROR(D67/C67,"")</f>
        <v/>
      </c>
      <c r="K67" s="8">
        <f>IFERROR(E67/C67,"")</f>
        <v/>
      </c>
      <c r="L67" s="8">
        <f>IFERROR(F67-G67,"")</f>
        <v/>
      </c>
      <c r="M67" s="8">
        <f>IFERROR(J67-F67,"")</f>
        <v/>
      </c>
      <c r="N67" s="8">
        <f>IFERROR(J67-L67,"")</f>
        <v/>
      </c>
      <c r="O67" s="8">
        <f>IFERROR(J67-H67,"")</f>
        <v/>
      </c>
      <c r="P67" s="8">
        <f>IFERROR(K67-F67,"")</f>
        <v/>
      </c>
      <c r="Q67" s="6" t="n">
        <v>0.07941176470588235</v>
      </c>
      <c r="R67" s="6" t="n">
        <v>0.1088235294117647</v>
      </c>
      <c r="S67" s="6" t="n">
        <v>0.1382352941176471</v>
      </c>
      <c r="T67" s="6" t="n">
        <v>0.09705882352941177</v>
      </c>
      <c r="U67" s="6" t="n">
        <v>0.211734693877551</v>
      </c>
      <c r="V67" s="6" t="n">
        <v>0.5739795918367347</v>
      </c>
      <c r="W67" s="6" t="n">
        <v>0.1082089552238806</v>
      </c>
      <c r="X67" s="6" t="n">
        <v>0.188207521814696</v>
      </c>
      <c r="Y67" s="3">
        <f>IF(X67="","",IF(X67&gt;='Léeme'!$B$6,"barato",IF(X67&lt;'Léeme'!$B$7,"caro","medio")))</f>
        <v/>
      </c>
      <c r="Z67" s="10" t="n">
        <v>-0.04152904246023437</v>
      </c>
      <c r="AA67" s="10" t="n">
        <v>0.09912343738465035</v>
      </c>
    </row>
    <row r="68">
      <c r="A68" s="3" t="inlineStr">
        <is>
          <t>2014-T3</t>
        </is>
      </c>
      <c r="B68" s="12" t="n">
        <v>41912</v>
      </c>
      <c r="C68" s="13" t="n">
        <v>63.77</v>
      </c>
      <c r="D68" s="13" t="n">
        <v>4.22</v>
      </c>
      <c r="E68" s="13" t="n">
        <v>3.76</v>
      </c>
      <c r="F68" s="14" t="n">
        <v>0.0252</v>
      </c>
      <c r="G68" s="14" t="n">
        <v>0.01715098348296906</v>
      </c>
      <c r="H68" s="14" t="n">
        <v>0.04769999999999999</v>
      </c>
      <c r="I68" s="15">
        <f>IFERROR(C68/D68,"")</f>
        <v/>
      </c>
      <c r="J68" s="8">
        <f>IFERROR(D68/C68,"")</f>
        <v/>
      </c>
      <c r="K68" s="8">
        <f>IFERROR(E68/C68,"")</f>
        <v/>
      </c>
      <c r="L68" s="8">
        <f>IFERROR(F68-G68,"")</f>
        <v/>
      </c>
      <c r="M68" s="8">
        <f>IFERROR(J68-F68,"")</f>
        <v/>
      </c>
      <c r="N68" s="8">
        <f>IFERROR(J68-L68,"")</f>
        <v/>
      </c>
      <c r="O68" s="8">
        <f>IFERROR(J68-H68,"")</f>
        <v/>
      </c>
      <c r="P68" s="8">
        <f>IFERROR(K68-F68,"")</f>
        <v/>
      </c>
      <c r="Q68" s="6" t="n">
        <v>0.0953757225433526</v>
      </c>
      <c r="R68" s="6" t="n">
        <v>0.1242774566473988</v>
      </c>
      <c r="S68" s="6" t="n">
        <v>0.1127167630057803</v>
      </c>
      <c r="T68" s="6" t="n">
        <v>0.1127167630057803</v>
      </c>
      <c r="U68" s="6" t="n">
        <v>0.3492462311557789</v>
      </c>
      <c r="V68" s="6" t="n">
        <v>0.6758793969849246</v>
      </c>
      <c r="W68" s="6" t="n">
        <v>0.1496350364963504</v>
      </c>
      <c r="X68" s="6" t="n">
        <v>0.2314067671199094</v>
      </c>
      <c r="Y68" s="3">
        <f>IF(X68="","",IF(X68&gt;='Léeme'!$B$6,"barato",IF(X68&lt;'Léeme'!$B$7,"caro","medio")))</f>
        <v/>
      </c>
      <c r="Z68" s="10" t="n">
        <v>-0.04898554552097201</v>
      </c>
      <c r="AA68" s="10" t="n">
        <v>0.1224399265609648</v>
      </c>
    </row>
    <row r="69">
      <c r="A69" s="3" t="inlineStr">
        <is>
          <t>2014-T4</t>
        </is>
      </c>
      <c r="B69" s="12" t="n">
        <v>42004</v>
      </c>
      <c r="C69" s="13" t="n">
        <v>70.100002</v>
      </c>
      <c r="D69" s="13" t="n">
        <v>4.22</v>
      </c>
      <c r="E69" s="13" t="n">
        <v>3.8</v>
      </c>
      <c r="F69" s="14" t="n">
        <v>0.0217</v>
      </c>
      <c r="G69" s="14" t="n">
        <v>0.01231524989320798</v>
      </c>
      <c r="H69" s="14" t="n">
        <v>0.0469</v>
      </c>
      <c r="I69" s="15">
        <f>IFERROR(C69/D69,"")</f>
        <v/>
      </c>
      <c r="J69" s="8">
        <f>IFERROR(D69/C69,"")</f>
        <v/>
      </c>
      <c r="K69" s="8">
        <f>IFERROR(E69/C69,"")</f>
        <v/>
      </c>
      <c r="L69" s="8">
        <f>IFERROR(F69-G69,"")</f>
        <v/>
      </c>
      <c r="M69" s="8">
        <f>IFERROR(J69-F69,"")</f>
        <v/>
      </c>
      <c r="N69" s="8">
        <f>IFERROR(J69-L69,"")</f>
        <v/>
      </c>
      <c r="O69" s="8">
        <f>IFERROR(J69-H69,"")</f>
        <v/>
      </c>
      <c r="P69" s="8">
        <f>IFERROR(K69-F69,"")</f>
        <v/>
      </c>
      <c r="Q69" s="6" t="n">
        <v>0.05965909090909091</v>
      </c>
      <c r="R69" s="6" t="n">
        <v>0.09943181818181818</v>
      </c>
      <c r="S69" s="6" t="n">
        <v>0.05397727272727273</v>
      </c>
      <c r="T69" s="6" t="n">
        <v>0.07102272727272728</v>
      </c>
      <c r="U69" s="6" t="n">
        <v>0.1608910891089109</v>
      </c>
      <c r="V69" s="6" t="n">
        <v>0.6361386138613861</v>
      </c>
      <c r="W69" s="6" t="n">
        <v>0.125</v>
      </c>
      <c r="X69" s="6" t="n">
        <v>0.1723029445801723</v>
      </c>
      <c r="Y69" s="3">
        <f>IF(X69="","",IF(X69&gt;='Léeme'!$B$6,"barato",IF(X69&lt;'Léeme'!$B$7,"caro","medio")))</f>
        <v/>
      </c>
      <c r="Z69" s="10" t="n">
        <v>-0.1150727542478491</v>
      </c>
      <c r="AA69" s="10" t="n">
        <v>0.07704271024712339</v>
      </c>
    </row>
    <row r="70">
      <c r="A70" s="3" t="inlineStr">
        <is>
          <t>2015-T1</t>
        </is>
      </c>
      <c r="B70" s="12" t="n">
        <v>42094</v>
      </c>
      <c r="C70" s="13" t="n">
        <v>68.000001</v>
      </c>
      <c r="D70" s="13" t="n">
        <v>4.81</v>
      </c>
      <c r="E70" s="13" t="n">
        <v>3.812</v>
      </c>
      <c r="F70" s="14" t="n">
        <v>0.0194</v>
      </c>
      <c r="G70" s="14" t="n">
        <v>-0.0008703146293520536</v>
      </c>
      <c r="H70" s="14" t="n">
        <v>0.0451</v>
      </c>
      <c r="I70" s="15">
        <f>IFERROR(C70/D70,"")</f>
        <v/>
      </c>
      <c r="J70" s="8">
        <f>IFERROR(D70/C70,"")</f>
        <v/>
      </c>
      <c r="K70" s="8">
        <f>IFERROR(E70/C70,"")</f>
        <v/>
      </c>
      <c r="L70" s="8">
        <f>IFERROR(F70-G70,"")</f>
        <v/>
      </c>
      <c r="M70" s="8">
        <f>IFERROR(J70-F70,"")</f>
        <v/>
      </c>
      <c r="N70" s="8">
        <f>IFERROR(J70-L70,"")</f>
        <v/>
      </c>
      <c r="O70" s="8">
        <f>IFERROR(J70-H70,"")</f>
        <v/>
      </c>
      <c r="P70" s="8">
        <f>IFERROR(K70-F70,"")</f>
        <v/>
      </c>
      <c r="Q70" s="6" t="n">
        <v>0.1424581005586592</v>
      </c>
      <c r="R70" s="6" t="n">
        <v>0.3491620111731844</v>
      </c>
      <c r="S70" s="6" t="n">
        <v>0.06424581005586592</v>
      </c>
      <c r="T70" s="6" t="n">
        <v>0.3100558659217877</v>
      </c>
      <c r="U70" s="6" t="n">
        <v>0.2463414634146341</v>
      </c>
      <c r="V70" s="6" t="n">
        <v>0.7585365853658537</v>
      </c>
      <c r="W70" s="6" t="n">
        <v>0.3111888111888112</v>
      </c>
      <c r="X70" s="6" t="n">
        <v>0.3117126639541137</v>
      </c>
      <c r="Y70" s="3">
        <f>IF(X70="","",IF(X70&gt;='Léeme'!$B$6,"barato",IF(X70&lt;'Léeme'!$B$7,"caro","medio")))</f>
        <v/>
      </c>
      <c r="Z70" s="10" t="n">
        <v>-0.03640634210027593</v>
      </c>
      <c r="AA70" s="10" t="n">
        <v>0.01684041781409396</v>
      </c>
    </row>
    <row r="71">
      <c r="A71" s="3" t="inlineStr">
        <is>
          <t>2015-T2</t>
        </is>
      </c>
      <c r="B71" s="12" t="n">
        <v>42185</v>
      </c>
      <c r="C71" s="13" t="n">
        <v>58.94</v>
      </c>
      <c r="D71" s="13" t="n">
        <v>4.81</v>
      </c>
      <c r="E71" s="13" t="n">
        <v>3.816</v>
      </c>
      <c r="F71" s="14" t="n">
        <v>0.0235</v>
      </c>
      <c r="G71" s="14" t="n">
        <v>0.0003503321824429584</v>
      </c>
      <c r="H71" s="14" t="n">
        <v>0.0517</v>
      </c>
      <c r="I71" s="15">
        <f>IFERROR(C71/D71,"")</f>
        <v/>
      </c>
      <c r="J71" s="8">
        <f>IFERROR(D71/C71,"")</f>
        <v/>
      </c>
      <c r="K71" s="8">
        <f>IFERROR(E71/C71,"")</f>
        <v/>
      </c>
      <c r="L71" s="8">
        <f>IFERROR(F71-G71,"")</f>
        <v/>
      </c>
      <c r="M71" s="8">
        <f>IFERROR(J71-F71,"")</f>
        <v/>
      </c>
      <c r="N71" s="8">
        <f>IFERROR(J71-L71,"")</f>
        <v/>
      </c>
      <c r="O71" s="8">
        <f>IFERROR(J71-H71,"")</f>
        <v/>
      </c>
      <c r="P71" s="8">
        <f>IFERROR(K71-F71,"")</f>
        <v/>
      </c>
      <c r="Q71" s="6" t="n">
        <v>0.1895604395604396</v>
      </c>
      <c r="R71" s="6" t="n">
        <v>0.5027472527472527</v>
      </c>
      <c r="S71" s="6" t="n">
        <v>0.1565934065934066</v>
      </c>
      <c r="T71" s="6" t="n">
        <v>0.4752747252747253</v>
      </c>
      <c r="U71" s="6" t="n">
        <v>0.4927884615384616</v>
      </c>
      <c r="V71" s="6" t="n">
        <v>0.9014423076923077</v>
      </c>
      <c r="W71" s="6" t="n">
        <v>0.708904109589041</v>
      </c>
      <c r="X71" s="6" t="n">
        <v>0.489615814713662</v>
      </c>
      <c r="Y71" s="3">
        <f>IF(X71="","",IF(X71&gt;='Léeme'!$B$6,"barato",IF(X71&lt;'Léeme'!$B$7,"caro","medio")))</f>
        <v/>
      </c>
      <c r="Z71" s="10" t="n">
        <v>0.238263302671166</v>
      </c>
      <c r="AA71" s="10" t="n">
        <v>0.07865922687371962</v>
      </c>
    </row>
    <row r="72">
      <c r="A72" s="3" t="inlineStr">
        <is>
          <t>2015-T3</t>
        </is>
      </c>
      <c r="B72" s="12" t="n">
        <v>42277</v>
      </c>
      <c r="C72" s="13" t="n">
        <v>57.81</v>
      </c>
      <c r="D72" s="13" t="n">
        <v>4.81</v>
      </c>
      <c r="E72" s="13" t="n">
        <v>3.819996</v>
      </c>
      <c r="F72" s="14" t="n">
        <v>0.0206</v>
      </c>
      <c r="G72" s="14" t="n">
        <v>0.002413037985344868</v>
      </c>
      <c r="H72" s="14" t="n">
        <v>0.05309999999999999</v>
      </c>
      <c r="I72" s="15">
        <f>IFERROR(C72/D72,"")</f>
        <v/>
      </c>
      <c r="J72" s="8">
        <f>IFERROR(D72/C72,"")</f>
        <v/>
      </c>
      <c r="K72" s="8">
        <f>IFERROR(E72/C72,"")</f>
        <v/>
      </c>
      <c r="L72" s="8">
        <f>IFERROR(F72-G72,"")</f>
        <v/>
      </c>
      <c r="M72" s="8">
        <f>IFERROR(J72-F72,"")</f>
        <v/>
      </c>
      <c r="N72" s="8">
        <f>IFERROR(J72-L72,"")</f>
        <v/>
      </c>
      <c r="O72" s="8">
        <f>IFERROR(J72-H72,"")</f>
        <v/>
      </c>
      <c r="P72" s="8">
        <f>IFERROR(K72-F72,"")</f>
        <v/>
      </c>
      <c r="Q72" s="6" t="n">
        <v>0.2135135135135135</v>
      </c>
      <c r="R72" s="6" t="n">
        <v>0.6297297297297297</v>
      </c>
      <c r="S72" s="6" t="n">
        <v>0.2243243243243243</v>
      </c>
      <c r="T72" s="6" t="n">
        <v>0.4837837837837838</v>
      </c>
      <c r="U72" s="6" t="n">
        <v>0.514218009478673</v>
      </c>
      <c r="V72" s="6" t="n">
        <v>0.9597156398104265</v>
      </c>
      <c r="W72" s="6" t="n">
        <v>0.7416107382550335</v>
      </c>
      <c r="X72" s="6" t="n">
        <v>0.5381279626993549</v>
      </c>
      <c r="Y72" s="3">
        <f>IF(X72="","",IF(X72&gt;='Léeme'!$B$6,"barato",IF(X72&lt;'Léeme'!$B$7,"caro","medio")))</f>
        <v/>
      </c>
      <c r="Z72" s="10" t="n">
        <v>0.1719635518948199</v>
      </c>
      <c r="AA72" s="10" t="n">
        <v>0.07462770263862373</v>
      </c>
    </row>
    <row r="73">
      <c r="A73" s="3" t="inlineStr">
        <is>
          <t>2015-T4</t>
        </is>
      </c>
      <c r="B73" s="12" t="n">
        <v>42369</v>
      </c>
      <c r="C73" s="13" t="n">
        <v>59</v>
      </c>
      <c r="D73" s="13" t="n">
        <v>4.81</v>
      </c>
      <c r="E73" s="13" t="n">
        <v>3.86</v>
      </c>
      <c r="F73" s="14" t="n">
        <v>0.0227</v>
      </c>
      <c r="G73" s="14" t="n">
        <v>0.004363182169185187</v>
      </c>
      <c r="H73" s="14" t="n">
        <v>0.0554</v>
      </c>
      <c r="I73" s="15">
        <f>IFERROR(C73/D73,"")</f>
        <v/>
      </c>
      <c r="J73" s="8">
        <f>IFERROR(D73/C73,"")</f>
        <v/>
      </c>
      <c r="K73" s="8">
        <f>IFERROR(E73/C73,"")</f>
        <v/>
      </c>
      <c r="L73" s="8">
        <f>IFERROR(F73-G73,"")</f>
        <v/>
      </c>
      <c r="M73" s="8">
        <f>IFERROR(J73-F73,"")</f>
        <v/>
      </c>
      <c r="N73" s="8">
        <f>IFERROR(J73-L73,"")</f>
        <v/>
      </c>
      <c r="O73" s="8">
        <f>IFERROR(J73-H73,"")</f>
        <v/>
      </c>
      <c r="P73" s="8">
        <f>IFERROR(K73-F73,"")</f>
        <v/>
      </c>
      <c r="Q73" s="6" t="n">
        <v>0.199468085106383</v>
      </c>
      <c r="R73" s="6" t="n">
        <v>0.550531914893617</v>
      </c>
      <c r="S73" s="6" t="n">
        <v>0.2207446808510638</v>
      </c>
      <c r="T73" s="6" t="n">
        <v>0.3484042553191489</v>
      </c>
      <c r="U73" s="6" t="n">
        <v>0.5116822429906542</v>
      </c>
      <c r="V73" s="6" t="n">
        <v>0.9228971962616822</v>
      </c>
      <c r="W73" s="6" t="n">
        <v>0.7532894736842105</v>
      </c>
      <c r="X73" s="6" t="n">
        <v>0.5010025498723942</v>
      </c>
      <c r="Y73" s="3">
        <f>IF(X73="","",IF(X73&gt;='Léeme'!$B$6,"barato",IF(X73&lt;'Léeme'!$B$7,"caro","medio")))</f>
        <v/>
      </c>
      <c r="Z73" s="10" t="n">
        <v>0.05237094484110627</v>
      </c>
      <c r="AA73" s="10" t="n">
        <v>0.08731595098874179</v>
      </c>
    </row>
    <row r="74">
      <c r="A74" s="3" t="inlineStr">
        <is>
          <t>2016-T1</t>
        </is>
      </c>
      <c r="B74" s="12" t="n">
        <v>42460</v>
      </c>
      <c r="C74" s="13" t="n">
        <v>62.239999</v>
      </c>
      <c r="D74" s="13" t="n">
        <v>4.99</v>
      </c>
      <c r="E74" s="13" t="n">
        <v>3.896</v>
      </c>
      <c r="F74" s="14" t="n">
        <v>0.0178</v>
      </c>
      <c r="G74" s="14" t="n">
        <v>0.008472775790126619</v>
      </c>
      <c r="H74" s="14" t="n">
        <v>0.04940000000000001</v>
      </c>
      <c r="I74" s="15">
        <f>IFERROR(C74/D74,"")</f>
        <v/>
      </c>
      <c r="J74" s="8">
        <f>IFERROR(D74/C74,"")</f>
        <v/>
      </c>
      <c r="K74" s="8">
        <f>IFERROR(E74/C74,"")</f>
        <v/>
      </c>
      <c r="L74" s="8">
        <f>IFERROR(F74-G74,"")</f>
        <v/>
      </c>
      <c r="M74" s="8">
        <f>IFERROR(J74-F74,"")</f>
        <v/>
      </c>
      <c r="N74" s="8">
        <f>IFERROR(J74-L74,"")</f>
        <v/>
      </c>
      <c r="O74" s="8">
        <f>IFERROR(J74-H74,"")</f>
        <v/>
      </c>
      <c r="P74" s="8">
        <f>IFERROR(K74-F74,"")</f>
        <v/>
      </c>
      <c r="Q74" s="6" t="n">
        <v>0.1910994764397906</v>
      </c>
      <c r="R74" s="6" t="n">
        <v>0.6256544502617801</v>
      </c>
      <c r="S74" s="6" t="n">
        <v>0.306282722513089</v>
      </c>
      <c r="T74" s="6" t="n">
        <v>0.5209424083769634</v>
      </c>
      <c r="U74" s="6" t="n">
        <v>0.4539170506912442</v>
      </c>
      <c r="V74" s="6" t="n">
        <v>0.9377880184331797</v>
      </c>
      <c r="W74" s="6" t="n">
        <v>0.7129032258064516</v>
      </c>
      <c r="X74" s="6" t="n">
        <v>0.5355124789317856</v>
      </c>
      <c r="Y74" s="3">
        <f>IF(X74="","",IF(X74&gt;='Léeme'!$B$6,"barato",IF(X74&lt;'Léeme'!$B$7,"caro","medio")))</f>
        <v/>
      </c>
      <c r="Z74" s="10" t="n">
        <v>0.05074042887390418</v>
      </c>
      <c r="AA74" s="10" t="n">
        <v>0.07614255819939886</v>
      </c>
    </row>
    <row r="75">
      <c r="A75" s="3" t="inlineStr">
        <is>
          <t>2016-T2</t>
        </is>
      </c>
      <c r="B75" s="12" t="n">
        <v>42551</v>
      </c>
      <c r="C75" s="13" t="n">
        <v>69.42</v>
      </c>
      <c r="D75" s="13" t="n">
        <v>4.99</v>
      </c>
      <c r="E75" s="13" t="n">
        <v>3.92</v>
      </c>
      <c r="F75" s="14" t="n">
        <v>0.0149</v>
      </c>
      <c r="G75" s="14" t="n">
        <v>0.01078476462124622</v>
      </c>
      <c r="H75" s="14" t="n">
        <v>0.044</v>
      </c>
      <c r="I75" s="15">
        <f>IFERROR(C75/D75,"")</f>
        <v/>
      </c>
      <c r="J75" s="8">
        <f>IFERROR(D75/C75,"")</f>
        <v/>
      </c>
      <c r="K75" s="8">
        <f>IFERROR(E75/C75,"")</f>
        <v/>
      </c>
      <c r="L75" s="8">
        <f>IFERROR(F75-G75,"")</f>
        <v/>
      </c>
      <c r="M75" s="8">
        <f>IFERROR(J75-F75,"")</f>
        <v/>
      </c>
      <c r="N75" s="8">
        <f>IFERROR(J75-L75,"")</f>
        <v/>
      </c>
      <c r="O75" s="8">
        <f>IFERROR(J75-H75,"")</f>
        <v/>
      </c>
      <c r="P75" s="8">
        <f>IFERROR(K75-F75,"")</f>
        <v/>
      </c>
      <c r="Q75" s="6" t="n">
        <v>0.1365979381443299</v>
      </c>
      <c r="R75" s="6" t="n">
        <v>0.4510309278350516</v>
      </c>
      <c r="S75" s="6" t="n">
        <v>0.2757731958762887</v>
      </c>
      <c r="T75" s="6" t="n">
        <v>0.3943298969072165</v>
      </c>
      <c r="U75" s="6" t="n">
        <v>0.2522727272727273</v>
      </c>
      <c r="V75" s="6" t="n">
        <v>0.8795454545454545</v>
      </c>
      <c r="W75" s="6" t="n">
        <v>0.4525316455696203</v>
      </c>
      <c r="X75" s="6" t="n">
        <v>0.4060116837358127</v>
      </c>
      <c r="Y75" s="3">
        <f>IF(X75="","",IF(X75&gt;='Léeme'!$B$6,"barato",IF(X75&lt;'Léeme'!$B$7,"caro","medio")))</f>
        <v/>
      </c>
      <c r="Z75" s="10" t="n">
        <v>-0.0001068289303225445</v>
      </c>
      <c r="AA75" s="10" t="n">
        <v>0.06406906026019965</v>
      </c>
    </row>
    <row r="76">
      <c r="A76" s="3" t="inlineStr">
        <is>
          <t>2016-T3</t>
        </is>
      </c>
      <c r="B76" s="12" t="n">
        <v>42643</v>
      </c>
      <c r="C76" s="13" t="n">
        <v>64.530001</v>
      </c>
      <c r="D76" s="13" t="n">
        <v>4.99</v>
      </c>
      <c r="E76" s="13" t="n">
        <v>3.94</v>
      </c>
      <c r="F76" s="14" t="n">
        <v>0.016</v>
      </c>
      <c r="G76" s="14" t="n">
        <v>0.01055315859565686</v>
      </c>
      <c r="H76" s="14" t="n">
        <v>0.0423</v>
      </c>
      <c r="I76" s="15">
        <f>IFERROR(C76/D76,"")</f>
        <v/>
      </c>
      <c r="J76" s="8">
        <f>IFERROR(D76/C76,"")</f>
        <v/>
      </c>
      <c r="K76" s="8">
        <f>IFERROR(E76/C76,"")</f>
        <v/>
      </c>
      <c r="L76" s="8">
        <f>IFERROR(F76-G76,"")</f>
        <v/>
      </c>
      <c r="M76" s="8">
        <f>IFERROR(J76-F76,"")</f>
        <v/>
      </c>
      <c r="N76" s="8">
        <f>IFERROR(J76-L76,"")</f>
        <v/>
      </c>
      <c r="O76" s="8">
        <f>IFERROR(J76-H76,"")</f>
        <v/>
      </c>
      <c r="P76" s="8">
        <f>IFERROR(K76-F76,"")</f>
        <v/>
      </c>
      <c r="Q76" s="6" t="n">
        <v>0.1700507614213198</v>
      </c>
      <c r="R76" s="6" t="n">
        <v>0.6015228426395939</v>
      </c>
      <c r="S76" s="6" t="n">
        <v>0.33248730964467</v>
      </c>
      <c r="T76" s="6" t="n">
        <v>0.6218274111675127</v>
      </c>
      <c r="U76" s="6" t="n">
        <v>0.4417040358744395</v>
      </c>
      <c r="V76" s="6" t="n">
        <v>0.9394618834080718</v>
      </c>
      <c r="W76" s="6" t="n">
        <v>0.6925465838509317</v>
      </c>
      <c r="X76" s="6" t="n">
        <v>0.5428001182866484</v>
      </c>
      <c r="Y76" s="3">
        <f>IF(X76="","",IF(X76&gt;='Léeme'!$B$6,"barato",IF(X76&lt;'Léeme'!$B$7,"caro","medio")))</f>
        <v/>
      </c>
      <c r="Z76" s="10" t="n">
        <v>0.09802106186877158</v>
      </c>
      <c r="AA76" s="10" t="n">
        <v>0.07497402119999919</v>
      </c>
    </row>
    <row r="77">
      <c r="A77" s="3" t="inlineStr">
        <is>
          <t>2016-T4</t>
        </is>
      </c>
      <c r="B77" s="12" t="n">
        <v>42734</v>
      </c>
      <c r="C77" s="13" t="n">
        <v>59.090001</v>
      </c>
      <c r="D77" s="13" t="n">
        <v>4.99</v>
      </c>
      <c r="E77" s="13" t="n">
        <v>3.96</v>
      </c>
      <c r="F77" s="14" t="n">
        <v>0.0245</v>
      </c>
      <c r="G77" s="14" t="n">
        <v>0.01684333471978894</v>
      </c>
      <c r="H77" s="14" t="n">
        <v>0.0476</v>
      </c>
      <c r="I77" s="15">
        <f>IFERROR(C77/D77,"")</f>
        <v/>
      </c>
      <c r="J77" s="8">
        <f>IFERROR(D77/C77,"")</f>
        <v/>
      </c>
      <c r="K77" s="8">
        <f>IFERROR(E77/C77,"")</f>
        <v/>
      </c>
      <c r="L77" s="8">
        <f>IFERROR(F77-G77,"")</f>
        <v/>
      </c>
      <c r="M77" s="8">
        <f>IFERROR(J77-F77,"")</f>
        <v/>
      </c>
      <c r="N77" s="8">
        <f>IFERROR(J77-L77,"")</f>
        <v/>
      </c>
      <c r="O77" s="8">
        <f>IFERROR(J77-H77,"")</f>
        <v/>
      </c>
      <c r="P77" s="8">
        <f>IFERROR(K77-F77,"")</f>
        <v/>
      </c>
      <c r="Q77" s="6" t="n">
        <v>0.2875</v>
      </c>
      <c r="R77" s="6" t="n">
        <v>0.5475</v>
      </c>
      <c r="S77" s="6" t="n">
        <v>0.4175</v>
      </c>
      <c r="T77" s="6" t="n">
        <v>0.6425</v>
      </c>
      <c r="U77" s="6" t="n">
        <v>0.5685840707964602</v>
      </c>
      <c r="V77" s="6" t="n">
        <v>0.8871681415929203</v>
      </c>
      <c r="W77" s="6" t="n">
        <v>0.8201219512195121</v>
      </c>
      <c r="X77" s="6" t="n">
        <v>0.5958391662298419</v>
      </c>
      <c r="Y77" s="3">
        <f>IF(X77="","",IF(X77&gt;='Léeme'!$B$6,"barato",IF(X77&lt;'Léeme'!$B$7,"caro","medio")))</f>
        <v/>
      </c>
      <c r="Z77" s="10" t="n">
        <v>0.2235507561307468</v>
      </c>
      <c r="AA77" s="10" t="n">
        <v>0.1189163588494946</v>
      </c>
    </row>
    <row r="78">
      <c r="A78" s="3" t="inlineStr">
        <is>
          <t>2017-T1</t>
        </is>
      </c>
      <c r="B78" s="12" t="n">
        <v>42825</v>
      </c>
      <c r="C78" s="13" t="n">
        <v>62.22</v>
      </c>
      <c r="D78" s="13" t="n">
        <v>5.12</v>
      </c>
      <c r="E78" s="13" t="n">
        <v>3.98</v>
      </c>
      <c r="F78" s="14" t="n">
        <v>0.024</v>
      </c>
      <c r="G78" s="14" t="n">
        <v>0.02810361681329421</v>
      </c>
      <c r="H78" s="14" t="n">
        <v>0.04650000000000001</v>
      </c>
      <c r="I78" s="15">
        <f>IFERROR(C78/D78,"")</f>
        <v/>
      </c>
      <c r="J78" s="8">
        <f>IFERROR(D78/C78,"")</f>
        <v/>
      </c>
      <c r="K78" s="8">
        <f>IFERROR(E78/C78,"")</f>
        <v/>
      </c>
      <c r="L78" s="8">
        <f>IFERROR(F78-G78,"")</f>
        <v/>
      </c>
      <c r="M78" s="8">
        <f>IFERROR(J78-F78,"")</f>
        <v/>
      </c>
      <c r="N78" s="8">
        <f>IFERROR(J78-L78,"")</f>
        <v/>
      </c>
      <c r="O78" s="8">
        <f>IFERROR(J78-H78,"")</f>
        <v/>
      </c>
      <c r="P78" s="8">
        <f>IFERROR(K78-F78,"")</f>
        <v/>
      </c>
      <c r="Q78" s="6" t="n">
        <v>0.2536945812807882</v>
      </c>
      <c r="R78" s="6" t="n">
        <v>0.5</v>
      </c>
      <c r="S78" s="6" t="n">
        <v>0.6231527093596059</v>
      </c>
      <c r="T78" s="6" t="n">
        <v>0.6280788177339901</v>
      </c>
      <c r="U78" s="6" t="n">
        <v>0.4781659388646288</v>
      </c>
      <c r="V78" s="6" t="n">
        <v>0.8231441048034934</v>
      </c>
      <c r="W78" s="6" t="n">
        <v>0.7994011976047904</v>
      </c>
      <c r="X78" s="6" t="n">
        <v>0.5865196213781854</v>
      </c>
      <c r="Y78" s="3">
        <f>IF(X78="","",IF(X78&gt;='Léeme'!$B$6,"barato",IF(X78&lt;'Léeme'!$B$7,"caro","medio")))</f>
        <v/>
      </c>
      <c r="Z78" s="10" t="n">
        <v>0.04562952339563453</v>
      </c>
      <c r="AA78" s="10" t="n">
        <v>0.103729425824479</v>
      </c>
    </row>
    <row r="79">
      <c r="A79" s="3" t="inlineStr">
        <is>
          <t>2017-T2</t>
        </is>
      </c>
      <c r="B79" s="12" t="n">
        <v>42916</v>
      </c>
      <c r="C79" s="13" t="n">
        <v>66.010004</v>
      </c>
      <c r="D79" s="13" t="n">
        <v>5.12</v>
      </c>
      <c r="E79" s="13" t="n">
        <v>4</v>
      </c>
      <c r="F79" s="14" t="n">
        <v>0.0231</v>
      </c>
      <c r="G79" s="14" t="n">
        <v>0.01856343166761976</v>
      </c>
      <c r="H79" s="14" t="n">
        <v>0.0438</v>
      </c>
      <c r="I79" s="15">
        <f>IFERROR(C79/D79,"")</f>
        <v/>
      </c>
      <c r="J79" s="8">
        <f>IFERROR(D79/C79,"")</f>
        <v/>
      </c>
      <c r="K79" s="8">
        <f>IFERROR(E79/C79,"")</f>
        <v/>
      </c>
      <c r="L79" s="8">
        <f>IFERROR(F79-G79,"")</f>
        <v/>
      </c>
      <c r="M79" s="8">
        <f>IFERROR(J79-F79,"")</f>
        <v/>
      </c>
      <c r="N79" s="8">
        <f>IFERROR(J79-L79,"")</f>
        <v/>
      </c>
      <c r="O79" s="8">
        <f>IFERROR(J79-H79,"")</f>
        <v/>
      </c>
      <c r="P79" s="8">
        <f>IFERROR(K79-F79,"")</f>
        <v/>
      </c>
      <c r="Q79" s="6" t="n">
        <v>0.1674757281553398</v>
      </c>
      <c r="R79" s="6" t="n">
        <v>0.3713592233009709</v>
      </c>
      <c r="S79" s="6" t="n">
        <v>0.3470873786407767</v>
      </c>
      <c r="T79" s="6" t="n">
        <v>0.5703883495145631</v>
      </c>
      <c r="U79" s="6" t="n">
        <v>0.4073275862068966</v>
      </c>
      <c r="V79" s="6" t="n">
        <v>0.6961206896551724</v>
      </c>
      <c r="W79" s="6" t="n">
        <v>0.6617647058823529</v>
      </c>
      <c r="X79" s="6" t="n">
        <v>0.4602176659080103</v>
      </c>
      <c r="Y79" s="3">
        <f>IF(X79="","",IF(X79&gt;='Léeme'!$B$6,"barato",IF(X79&lt;'Léeme'!$B$7,"caro","medio")))</f>
        <v/>
      </c>
      <c r="Z79" s="10" t="n">
        <v>0.05530229851734925</v>
      </c>
      <c r="AA79" s="10" t="n">
        <v>0.09574678281541438</v>
      </c>
    </row>
    <row r="80">
      <c r="A80" s="3" t="inlineStr">
        <is>
          <t>2017-T3</t>
        </is>
      </c>
      <c r="B80" s="12" t="n">
        <v>43007</v>
      </c>
      <c r="C80" s="13" t="n">
        <v>67.390004</v>
      </c>
      <c r="D80" s="13" t="n">
        <v>5.12</v>
      </c>
      <c r="E80" s="13" t="n">
        <v>4.02</v>
      </c>
      <c r="F80" s="14" t="n">
        <v>0.0233</v>
      </c>
      <c r="G80" s="14" t="n">
        <v>0.0192812155729698</v>
      </c>
      <c r="H80" s="14" t="n">
        <v>0.0436</v>
      </c>
      <c r="I80" s="15">
        <f>IFERROR(C80/D80,"")</f>
        <v/>
      </c>
      <c r="J80" s="8">
        <f>IFERROR(D80/C80,"")</f>
        <v/>
      </c>
      <c r="K80" s="8">
        <f>IFERROR(E80/C80,"")</f>
        <v/>
      </c>
      <c r="L80" s="8">
        <f>IFERROR(F80-G80,"")</f>
        <v/>
      </c>
      <c r="M80" s="8">
        <f>IFERROR(J80-F80,"")</f>
        <v/>
      </c>
      <c r="N80" s="8">
        <f>IFERROR(J80-L80,"")</f>
        <v/>
      </c>
      <c r="O80" s="8">
        <f>IFERROR(J80-H80,"")</f>
        <v/>
      </c>
      <c r="P80" s="8">
        <f>IFERROR(K80-F80,"")</f>
        <v/>
      </c>
      <c r="Q80" s="6" t="n">
        <v>0.1650717703349282</v>
      </c>
      <c r="R80" s="6" t="n">
        <v>0.3325358851674641</v>
      </c>
      <c r="S80" s="6" t="n">
        <v>0.3325358851674641</v>
      </c>
      <c r="T80" s="6" t="n">
        <v>0.5478468899521531</v>
      </c>
      <c r="U80" s="6" t="n">
        <v>0.3638297872340426</v>
      </c>
      <c r="V80" s="6" t="n">
        <v>0.6574468085106383</v>
      </c>
      <c r="W80" s="6" t="n">
        <v>0.6329479768786127</v>
      </c>
      <c r="X80" s="6" t="n">
        <v>0.4331735718921862</v>
      </c>
      <c r="Y80" s="3">
        <f>IF(X80="","",IF(X80&gt;='Léeme'!$B$6,"barato",IF(X80&lt;'Léeme'!$B$7,"caro","medio")))</f>
        <v/>
      </c>
      <c r="Z80" s="10" t="n">
        <v>0.002722167994330782</v>
      </c>
      <c r="AA80" s="10" t="n">
        <v>0.05137886285430615</v>
      </c>
    </row>
    <row r="81">
      <c r="A81" s="3" t="inlineStr">
        <is>
          <t>2017-T4</t>
        </is>
      </c>
      <c r="B81" s="12" t="n">
        <v>43098</v>
      </c>
      <c r="C81" s="13" t="n">
        <v>68.899997</v>
      </c>
      <c r="D81" s="13" t="n">
        <v>5.12</v>
      </c>
      <c r="E81" s="13" t="n">
        <v>4.04</v>
      </c>
      <c r="F81" s="14" t="n">
        <v>0.024</v>
      </c>
      <c r="G81" s="14" t="n">
        <v>0.02172493864295566</v>
      </c>
      <c r="H81" s="14" t="n">
        <v>0.04190000000000001</v>
      </c>
      <c r="I81" s="15">
        <f>IFERROR(C81/D81,"")</f>
        <v/>
      </c>
      <c r="J81" s="8">
        <f>IFERROR(D81/C81,"")</f>
        <v/>
      </c>
      <c r="K81" s="8">
        <f>IFERROR(E81/C81,"")</f>
        <v/>
      </c>
      <c r="L81" s="8">
        <f>IFERROR(F81-G81,"")</f>
        <v/>
      </c>
      <c r="M81" s="8">
        <f>IFERROR(J81-F81,"")</f>
        <v/>
      </c>
      <c r="N81" s="8">
        <f>IFERROR(J81-L81,"")</f>
        <v/>
      </c>
      <c r="O81" s="8">
        <f>IFERROR(J81-H81,"")</f>
        <v/>
      </c>
      <c r="P81" s="8">
        <f>IFERROR(K81-F81,"")</f>
        <v/>
      </c>
      <c r="Q81" s="6" t="n">
        <v>0.1391509433962264</v>
      </c>
      <c r="R81" s="6" t="n">
        <v>0.2900943396226415</v>
      </c>
      <c r="S81" s="6" t="n">
        <v>0.3419811320754717</v>
      </c>
      <c r="T81" s="6" t="n">
        <v>0.5542452830188679</v>
      </c>
      <c r="U81" s="6" t="n">
        <v>0.3214285714285715</v>
      </c>
      <c r="V81" s="6" t="n">
        <v>0.6113445378151261</v>
      </c>
      <c r="W81" s="6" t="n">
        <v>0.5767045454545454</v>
      </c>
      <c r="X81" s="6" t="n">
        <v>0.4049927646873501</v>
      </c>
      <c r="Y81" s="3">
        <f>IF(X81="","",IF(X81&gt;='Léeme'!$B$6,"barato",IF(X81&lt;'Léeme'!$B$7,"caro","medio")))</f>
        <v/>
      </c>
      <c r="Z81" s="10" t="n">
        <v>-0.004875999040778067</v>
      </c>
      <c r="AA81" s="10" t="n">
        <v>0.07457545652426179</v>
      </c>
    </row>
    <row r="82">
      <c r="A82" s="3" t="inlineStr">
        <is>
          <t>2018-T1</t>
        </is>
      </c>
      <c r="B82" s="12" t="n">
        <v>43188</v>
      </c>
      <c r="C82" s="13" t="n">
        <v>61.99</v>
      </c>
      <c r="D82" s="13" t="n">
        <v>5.3</v>
      </c>
      <c r="E82" s="13" t="n">
        <v>4.06</v>
      </c>
      <c r="F82" s="14" t="n">
        <v>0.0274</v>
      </c>
      <c r="G82" s="14" t="n">
        <v>0.02263468931091861</v>
      </c>
      <c r="H82" s="14" t="n">
        <v>0.0463</v>
      </c>
      <c r="I82" s="15">
        <f>IFERROR(C82/D82,"")</f>
        <v/>
      </c>
      <c r="J82" s="8">
        <f>IFERROR(D82/C82,"")</f>
        <v/>
      </c>
      <c r="K82" s="8">
        <f>IFERROR(E82/C82,"")</f>
        <v/>
      </c>
      <c r="L82" s="8">
        <f>IFERROR(F82-G82,"")</f>
        <v/>
      </c>
      <c r="M82" s="8">
        <f>IFERROR(J82-F82,"")</f>
        <v/>
      </c>
      <c r="N82" s="8">
        <f>IFERROR(J82-L82,"")</f>
        <v/>
      </c>
      <c r="O82" s="8">
        <f>IFERROR(J82-H82,"")</f>
        <v/>
      </c>
      <c r="P82" s="8">
        <f>IFERROR(K82-F82,"")</f>
        <v/>
      </c>
      <c r="Q82" s="6" t="n">
        <v>0.341860465116279</v>
      </c>
      <c r="R82" s="6" t="n">
        <v>0.5</v>
      </c>
      <c r="S82" s="6" t="n">
        <v>0.5232558139534884</v>
      </c>
      <c r="T82" s="6" t="n">
        <v>0.727906976744186</v>
      </c>
      <c r="U82" s="6" t="n">
        <v>0.5456431535269709</v>
      </c>
      <c r="V82" s="6" t="n">
        <v>0.7240663900414938</v>
      </c>
      <c r="W82" s="6" t="n">
        <v>0.8519553072625698</v>
      </c>
      <c r="X82" s="6" t="n">
        <v>0.6020983009492841</v>
      </c>
      <c r="Y82" s="3">
        <f>IF(X82="","",IF(X82&gt;='Léeme'!$B$6,"barato",IF(X82&lt;'Léeme'!$B$7,"caro","medio")))</f>
        <v/>
      </c>
      <c r="Z82" s="10" t="n">
        <v>0.3256825383891833</v>
      </c>
      <c r="AA82" s="10" t="n">
        <v>0.09393066838231401</v>
      </c>
    </row>
    <row r="83">
      <c r="A83" s="3" t="inlineStr">
        <is>
          <t>2018-T2</t>
        </is>
      </c>
      <c r="B83" s="12" t="n">
        <v>43280</v>
      </c>
      <c r="C83" s="13" t="n">
        <v>66.349997</v>
      </c>
      <c r="D83" s="13" t="n">
        <v>5.3</v>
      </c>
      <c r="E83" s="13" t="n">
        <v>4.08</v>
      </c>
      <c r="F83" s="14" t="n">
        <v>0.0285</v>
      </c>
      <c r="G83" s="14" t="n">
        <v>0.02781921607842497</v>
      </c>
      <c r="H83" s="14" t="n">
        <v>0.0484</v>
      </c>
      <c r="I83" s="15">
        <f>IFERROR(C83/D83,"")</f>
        <v/>
      </c>
      <c r="J83" s="8">
        <f>IFERROR(D83/C83,"")</f>
        <v/>
      </c>
      <c r="K83" s="8">
        <f>IFERROR(E83/C83,"")</f>
        <v/>
      </c>
      <c r="L83" s="8">
        <f>IFERROR(F83-G83,"")</f>
        <v/>
      </c>
      <c r="M83" s="8">
        <f>IFERROR(J83-F83,"")</f>
        <v/>
      </c>
      <c r="N83" s="8">
        <f>IFERROR(J83-L83,"")</f>
        <v/>
      </c>
      <c r="O83" s="8">
        <f>IFERROR(J83-H83,"")</f>
        <v/>
      </c>
      <c r="P83" s="8">
        <f>IFERROR(K83-F83,"")</f>
        <v/>
      </c>
      <c r="Q83" s="6" t="n">
        <v>0.2270642201834862</v>
      </c>
      <c r="R83" s="6" t="n">
        <v>0.3096330275229358</v>
      </c>
      <c r="S83" s="6" t="n">
        <v>0.5114678899082569</v>
      </c>
      <c r="T83" s="6" t="n">
        <v>0.5160550458715596</v>
      </c>
      <c r="U83" s="6" t="n">
        <v>0.4528688524590164</v>
      </c>
      <c r="V83" s="6" t="n">
        <v>0.5512295081967213</v>
      </c>
      <c r="W83" s="6" t="n">
        <v>0.728021978021978</v>
      </c>
      <c r="X83" s="6" t="n">
        <v>0.4709057888805649</v>
      </c>
      <c r="Y83" s="3">
        <f>IF(X83="","",IF(X83&gt;='Léeme'!$B$6,"barato",IF(X83&lt;'Léeme'!$B$7,"caro","medio")))</f>
        <v/>
      </c>
      <c r="Z83" s="10" t="n">
        <v>0.2808842840413814</v>
      </c>
      <c r="AA83" s="10" t="n">
        <v>0.05037265910519761</v>
      </c>
    </row>
    <row r="84">
      <c r="A84" s="3" t="inlineStr">
        <is>
          <t>2018-T3</t>
        </is>
      </c>
      <c r="B84" s="12" t="n">
        <v>43371</v>
      </c>
      <c r="C84" s="13" t="n">
        <v>64.309999</v>
      </c>
      <c r="D84" s="13" t="n">
        <v>5.3</v>
      </c>
      <c r="E84" s="13" t="n">
        <v>4.1</v>
      </c>
      <c r="F84" s="14" t="n">
        <v>0.0305</v>
      </c>
      <c r="G84" s="14" t="n">
        <v>0.02642923856874257</v>
      </c>
      <c r="H84" s="14" t="n">
        <v>0.0489</v>
      </c>
      <c r="I84" s="15">
        <f>IFERROR(C84/D84,"")</f>
        <v/>
      </c>
      <c r="J84" s="8">
        <f>IFERROR(D84/C84,"")</f>
        <v/>
      </c>
      <c r="K84" s="8">
        <f>IFERROR(E84/C84,"")</f>
        <v/>
      </c>
      <c r="L84" s="8">
        <f>IFERROR(F84-G84,"")</f>
        <v/>
      </c>
      <c r="M84" s="8">
        <f>IFERROR(J84-F84,"")</f>
        <v/>
      </c>
      <c r="N84" s="8">
        <f>IFERROR(J84-L84,"")</f>
        <v/>
      </c>
      <c r="O84" s="8">
        <f>IFERROR(J84-H84,"")</f>
        <v/>
      </c>
      <c r="P84" s="8">
        <f>IFERROR(K84-F84,"")</f>
        <v/>
      </c>
      <c r="Q84" s="6" t="n">
        <v>0.3009049773755656</v>
      </c>
      <c r="R84" s="6" t="n">
        <v>0.3371040723981901</v>
      </c>
      <c r="S84" s="6" t="n">
        <v>0.495475113122172</v>
      </c>
      <c r="T84" s="6" t="n">
        <v>0.5723981900452488</v>
      </c>
      <c r="U84" s="6" t="n">
        <v>0.4959514170040486</v>
      </c>
      <c r="V84" s="6" t="n">
        <v>0.5607287449392713</v>
      </c>
      <c r="W84" s="6" t="n">
        <v>0.7918918918918919</v>
      </c>
      <c r="X84" s="6" t="n">
        <v>0.5077792009680555</v>
      </c>
      <c r="Y84" s="3">
        <f>IF(X84="","",IF(X84&gt;='Léeme'!$B$6,"barato",IF(X84&lt;'Léeme'!$B$7,"caro","medio")))</f>
        <v/>
      </c>
      <c r="Z84" s="10" t="n">
        <v>0.4606140349586083</v>
      </c>
      <c r="AA84" s="10" t="n">
        <v>0.01378643592188733</v>
      </c>
    </row>
    <row r="85">
      <c r="A85" s="3" t="inlineStr">
        <is>
          <t>2018-T4</t>
        </is>
      </c>
      <c r="B85" s="12" t="n">
        <v>43465</v>
      </c>
      <c r="C85" s="13" t="n">
        <v>65.34</v>
      </c>
      <c r="D85" s="13" t="n">
        <v>5.3</v>
      </c>
      <c r="E85" s="13" t="n">
        <v>4.12</v>
      </c>
      <c r="F85" s="14" t="n">
        <v>0.0269</v>
      </c>
      <c r="G85" s="14" t="n">
        <v>0.02147328577667773</v>
      </c>
      <c r="H85" s="14" t="n">
        <v>0.0516</v>
      </c>
      <c r="I85" s="15">
        <f>IFERROR(C85/D85,"")</f>
        <v/>
      </c>
      <c r="J85" s="8">
        <f>IFERROR(D85/C85,"")</f>
        <v/>
      </c>
      <c r="K85" s="8">
        <f>IFERROR(E85/C85,"")</f>
        <v/>
      </c>
      <c r="L85" s="8">
        <f>IFERROR(F85-G85,"")</f>
        <v/>
      </c>
      <c r="M85" s="8">
        <f>IFERROR(J85-F85,"")</f>
        <v/>
      </c>
      <c r="N85" s="8">
        <f>IFERROR(J85-L85,"")</f>
        <v/>
      </c>
      <c r="O85" s="8">
        <f>IFERROR(J85-H85,"")</f>
        <v/>
      </c>
      <c r="P85" s="8">
        <f>IFERROR(K85-F85,"")</f>
        <v/>
      </c>
      <c r="Q85" s="6" t="n">
        <v>0.265625</v>
      </c>
      <c r="R85" s="6" t="n">
        <v>0.390625</v>
      </c>
      <c r="S85" s="6" t="n">
        <v>0.3950892857142857</v>
      </c>
      <c r="T85" s="6" t="n">
        <v>0.4174107142857143</v>
      </c>
      <c r="U85" s="6" t="n">
        <v>0.482</v>
      </c>
      <c r="V85" s="6" t="n">
        <v>0.666</v>
      </c>
      <c r="W85" s="6" t="n">
        <v>0.6781914893617021</v>
      </c>
      <c r="X85" s="6" t="n">
        <v>0.4707059270516717</v>
      </c>
      <c r="Y85" s="3">
        <f>IF(X85="","",IF(X85&gt;='Léeme'!$B$6,"barato",IF(X85&lt;'Léeme'!$B$7,"caro","medio")))</f>
        <v/>
      </c>
      <c r="Z85" s="10" t="n">
        <v>0.2752368857355201</v>
      </c>
      <c r="AA85" s="10" t="n">
        <v>0.0494174950059767</v>
      </c>
    </row>
    <row r="86">
      <c r="A86" s="3" t="inlineStr">
        <is>
          <t>2019-T1</t>
        </is>
      </c>
      <c r="B86" s="12" t="n">
        <v>43553</v>
      </c>
      <c r="C86" s="13" t="n">
        <v>78.33</v>
      </c>
      <c r="D86" s="13" t="n">
        <v>5.39</v>
      </c>
      <c r="E86" s="13" t="n">
        <v>4.128</v>
      </c>
      <c r="F86" s="14" t="n">
        <v>0.0241</v>
      </c>
      <c r="G86" s="14" t="n">
        <v>0.01518861535132188</v>
      </c>
      <c r="H86" s="14" t="n">
        <v>0.0466</v>
      </c>
      <c r="I86" s="15">
        <f>IFERROR(C86/D86,"")</f>
        <v/>
      </c>
      <c r="J86" s="8">
        <f>IFERROR(D86/C86,"")</f>
        <v/>
      </c>
      <c r="K86" s="8">
        <f>IFERROR(E86/C86,"")</f>
        <v/>
      </c>
      <c r="L86" s="8">
        <f>IFERROR(F86-G86,"")</f>
        <v/>
      </c>
      <c r="M86" s="8">
        <f>IFERROR(J86-F86,"")</f>
        <v/>
      </c>
      <c r="N86" s="8">
        <f>IFERROR(J86-L86,"")</f>
        <v/>
      </c>
      <c r="O86" s="8">
        <f>IFERROR(J86-H86,"")</f>
        <v/>
      </c>
      <c r="P86" s="8">
        <f>IFERROR(K86-F86,"")</f>
        <v/>
      </c>
      <c r="Q86" s="6" t="n">
        <v>0.1079295154185022</v>
      </c>
      <c r="R86" s="6" t="n">
        <v>0.1607929515418502</v>
      </c>
      <c r="S86" s="6" t="n">
        <v>0.1475770925110132</v>
      </c>
      <c r="T86" s="6" t="n">
        <v>0.1828193832599119</v>
      </c>
      <c r="U86" s="6" t="n">
        <v>0.08102766798418973</v>
      </c>
      <c r="V86" s="6" t="n">
        <v>0.4011857707509882</v>
      </c>
      <c r="W86" s="6" t="n">
        <v>0.2853403141361257</v>
      </c>
      <c r="X86" s="6" t="n">
        <v>0.1952389565146544</v>
      </c>
      <c r="Y86" s="3">
        <f>IF(X86="","",IF(X86&gt;='Léeme'!$B$6,"barato",IF(X86&lt;'Léeme'!$B$7,"caro","medio")))</f>
        <v/>
      </c>
      <c r="Z86" s="10" t="n">
        <v>-0.2064285970832118</v>
      </c>
      <c r="AA86" s="10" t="n">
        <v>-0.01520916575974218</v>
      </c>
    </row>
    <row r="87">
      <c r="A87" s="3" t="inlineStr">
        <is>
          <t>2019-T2</t>
        </is>
      </c>
      <c r="B87" s="12" t="n">
        <v>43644</v>
      </c>
      <c r="C87" s="13" t="n">
        <v>81.18000000000001</v>
      </c>
      <c r="D87" s="13" t="n">
        <v>5.39</v>
      </c>
      <c r="E87" s="13" t="n">
        <v>4.136</v>
      </c>
      <c r="F87" s="14" t="n">
        <v>0.02</v>
      </c>
      <c r="G87" s="14" t="n">
        <v>0.01795910555360614</v>
      </c>
      <c r="H87" s="14" t="n">
        <v>0.0432</v>
      </c>
      <c r="I87" s="15">
        <f>IFERROR(C87/D87,"")</f>
        <v/>
      </c>
      <c r="J87" s="8">
        <f>IFERROR(D87/C87,"")</f>
        <v/>
      </c>
      <c r="K87" s="8">
        <f>IFERROR(E87/C87,"")</f>
        <v/>
      </c>
      <c r="L87" s="8">
        <f>IFERROR(F87-G87,"")</f>
        <v/>
      </c>
      <c r="M87" s="8">
        <f>IFERROR(J87-F87,"")</f>
        <v/>
      </c>
      <c r="N87" s="8">
        <f>IFERROR(J87-L87,"")</f>
        <v/>
      </c>
      <c r="O87" s="8">
        <f>IFERROR(J87-H87,"")</f>
        <v/>
      </c>
      <c r="P87" s="8">
        <f>IFERROR(K87-F87,"")</f>
        <v/>
      </c>
      <c r="Q87" s="6" t="n">
        <v>0.1021739130434783</v>
      </c>
      <c r="R87" s="6" t="n">
        <v>0.2021739130434783</v>
      </c>
      <c r="S87" s="6" t="n">
        <v>0.2108695652173913</v>
      </c>
      <c r="T87" s="6" t="n">
        <v>0.2282608695652174</v>
      </c>
      <c r="U87" s="6" t="n">
        <v>0.072265625</v>
      </c>
      <c r="V87" s="6" t="n">
        <v>0.482421875</v>
      </c>
      <c r="W87" s="6" t="n">
        <v>0.2139175257731959</v>
      </c>
      <c r="X87" s="6" t="n">
        <v>0.216011898091823</v>
      </c>
      <c r="Y87" s="3">
        <f>IF(X87="","",IF(X87&gt;='Léeme'!$B$6,"barato",IF(X87&lt;'Léeme'!$B$7,"caro","medio")))</f>
        <v/>
      </c>
      <c r="Z87" s="10" t="n">
        <v>-0.1546704083291384</v>
      </c>
      <c r="AA87" s="10" t="n">
        <v>-0.02660939541487528</v>
      </c>
    </row>
    <row r="88">
      <c r="A88" s="3" t="inlineStr">
        <is>
          <t>2019-T3</t>
        </is>
      </c>
      <c r="B88" s="12" t="n">
        <v>43738</v>
      </c>
      <c r="C88" s="13" t="n">
        <v>89.499999</v>
      </c>
      <c r="D88" s="13" t="n">
        <v>5.39</v>
      </c>
      <c r="E88" s="13" t="n">
        <v>4.144</v>
      </c>
      <c r="F88" s="14" t="n">
        <v>0.0168</v>
      </c>
      <c r="G88" s="14" t="n">
        <v>0.01737641210666641</v>
      </c>
      <c r="H88" s="14" t="n">
        <v>0.0388</v>
      </c>
      <c r="I88" s="15">
        <f>IFERROR(C88/D88,"")</f>
        <v/>
      </c>
      <c r="J88" s="8">
        <f>IFERROR(D88/C88,"")</f>
        <v/>
      </c>
      <c r="K88" s="8">
        <f>IFERROR(E88/C88,"")</f>
        <v/>
      </c>
      <c r="L88" s="8">
        <f>IFERROR(F88-G88,"")</f>
        <v/>
      </c>
      <c r="M88" s="8">
        <f>IFERROR(J88-F88,"")</f>
        <v/>
      </c>
      <c r="N88" s="8">
        <f>IFERROR(J88-L88,"")</f>
        <v/>
      </c>
      <c r="O88" s="8">
        <f>IFERROR(J88-H88,"")</f>
        <v/>
      </c>
      <c r="P88" s="8">
        <f>IFERROR(K88-F88,"")</f>
        <v/>
      </c>
      <c r="Q88" s="6" t="n">
        <v>0.05793991416309013</v>
      </c>
      <c r="R88" s="6" t="n">
        <v>0.1437768240343348</v>
      </c>
      <c r="S88" s="6" t="n">
        <v>0.1566523605150215</v>
      </c>
      <c r="T88" s="6" t="n">
        <v>0.1609442060085837</v>
      </c>
      <c r="U88" s="6" t="n">
        <v>0.009652509652509652</v>
      </c>
      <c r="V88" s="6" t="n">
        <v>0.4343629343629344</v>
      </c>
      <c r="W88" s="6" t="n">
        <v>0.149746192893401</v>
      </c>
      <c r="X88" s="6" t="n">
        <v>0.159010705947125</v>
      </c>
      <c r="Y88" s="3">
        <f>IF(X88="","",IF(X88&gt;='Léeme'!$B$6,"barato",IF(X88&lt;'Léeme'!$B$7,"caro","medio")))</f>
        <v/>
      </c>
      <c r="Z88" s="10" t="n">
        <v>-0.2349994554104903</v>
      </c>
      <c r="AA88" s="10" t="n">
        <v>-0.02111170065764634</v>
      </c>
    </row>
    <row r="89">
      <c r="A89" s="3" t="inlineStr">
        <is>
          <t>2019-T4</t>
        </is>
      </c>
      <c r="B89" s="12" t="n">
        <v>43830</v>
      </c>
      <c r="C89" s="13" t="n">
        <v>80.039998</v>
      </c>
      <c r="D89" s="13" t="n">
        <v>5.39</v>
      </c>
      <c r="E89" s="13" t="n">
        <v>4.152</v>
      </c>
      <c r="F89" s="14" t="n">
        <v>0.0192</v>
      </c>
      <c r="G89" s="14" t="n">
        <v>0.02092290394862917</v>
      </c>
      <c r="H89" s="14" t="n">
        <v>0.0387</v>
      </c>
      <c r="I89" s="15">
        <f>IFERROR(C89/D89,"")</f>
        <v/>
      </c>
      <c r="J89" s="8">
        <f>IFERROR(D89/C89,"")</f>
        <v/>
      </c>
      <c r="K89" s="8">
        <f>IFERROR(E89/C89,"")</f>
        <v/>
      </c>
      <c r="L89" s="8">
        <f>IFERROR(F89-G89,"")</f>
        <v/>
      </c>
      <c r="M89" s="8">
        <f>IFERROR(J89-F89,"")</f>
        <v/>
      </c>
      <c r="N89" s="8">
        <f>IFERROR(J89-L89,"")</f>
        <v/>
      </c>
      <c r="O89" s="8">
        <f>IFERROR(J89-H89,"")</f>
        <v/>
      </c>
      <c r="P89" s="8">
        <f>IFERROR(K89-F89,"")</f>
        <v/>
      </c>
      <c r="Q89" s="6" t="n">
        <v>0.125</v>
      </c>
      <c r="R89" s="6" t="n">
        <v>0.2521186440677966</v>
      </c>
      <c r="S89" s="6" t="n">
        <v>0.3072033898305085</v>
      </c>
      <c r="T89" s="6" t="n">
        <v>0.413135593220339</v>
      </c>
      <c r="U89" s="6" t="n">
        <v>0.1011450381679389</v>
      </c>
      <c r="V89" s="6" t="n">
        <v>0.5553435114503816</v>
      </c>
      <c r="W89" s="6" t="n">
        <v>0.2725</v>
      </c>
      <c r="X89" s="6" t="n">
        <v>0.2894923109624235</v>
      </c>
      <c r="Y89" s="3">
        <f>IF(X89="","",IF(X89&gt;='Léeme'!$B$6,"barato",IF(X89&lt;'Léeme'!$B$7,"caro","medio")))</f>
        <v/>
      </c>
      <c r="Z89" s="10" t="n">
        <v>-0.07205607155597116</v>
      </c>
      <c r="AA89" s="10" t="n">
        <v>-0.02502505055957938</v>
      </c>
    </row>
    <row r="90">
      <c r="A90" s="3" t="inlineStr">
        <is>
          <t>2020-T1</t>
        </is>
      </c>
      <c r="B90" s="12" t="n">
        <v>43921</v>
      </c>
      <c r="C90" s="13" t="n">
        <v>58.08</v>
      </c>
      <c r="D90" s="13" t="n">
        <v>5.01</v>
      </c>
      <c r="E90" s="13" t="n">
        <v>4.16</v>
      </c>
      <c r="F90" s="14" t="n">
        <v>0.006999999999999999</v>
      </c>
      <c r="G90" s="14" t="n">
        <v>0.0234131667975952</v>
      </c>
      <c r="H90" s="14" t="n">
        <v>0.0459</v>
      </c>
      <c r="I90" s="15">
        <f>IFERROR(C90/D90,"")</f>
        <v/>
      </c>
      <c r="J90" s="8">
        <f>IFERROR(D90/C90,"")</f>
        <v/>
      </c>
      <c r="K90" s="8">
        <f>IFERROR(E90/C90,"")</f>
        <v/>
      </c>
      <c r="L90" s="8">
        <f>IFERROR(F90-G90,"")</f>
        <v/>
      </c>
      <c r="M90" s="8">
        <f>IFERROR(J90-F90,"")</f>
        <v/>
      </c>
      <c r="N90" s="8">
        <f>IFERROR(J90-L90,"")</f>
        <v/>
      </c>
      <c r="O90" s="8">
        <f>IFERROR(J90-H90,"")</f>
        <v/>
      </c>
      <c r="P90" s="8">
        <f>IFERROR(K90-F90,"")</f>
        <v/>
      </c>
      <c r="Q90" s="6" t="n">
        <v>0.4205020920502092</v>
      </c>
      <c r="R90" s="6" t="n">
        <v>0.8682008368200836</v>
      </c>
      <c r="S90" s="6" t="n">
        <v>0.8430962343096234</v>
      </c>
      <c r="T90" s="6" t="n">
        <v>0.7594142259414226</v>
      </c>
      <c r="U90" s="6" t="n">
        <v>0.7188679245283018</v>
      </c>
      <c r="V90" s="6" t="n">
        <v>0.9943396226415094</v>
      </c>
      <c r="W90" s="6" t="n">
        <v>0.8349753694581281</v>
      </c>
      <c r="X90" s="6" t="n">
        <v>0.7770566151070397</v>
      </c>
      <c r="Y90" s="3">
        <f>IF(X90="","",IF(X90&gt;='Léeme'!$B$6,"barato",IF(X90&lt;'Léeme'!$B$7,"caro","medio")))</f>
        <v/>
      </c>
      <c r="Z90" s="10" t="n">
        <v>0.2793193381998469</v>
      </c>
      <c r="AA90" s="10" t="n">
        <v>0.07000602862398986</v>
      </c>
    </row>
    <row r="91">
      <c r="A91" s="3" t="inlineStr">
        <is>
          <t>2020-T2</t>
        </is>
      </c>
      <c r="B91" s="12" t="n">
        <v>44012</v>
      </c>
      <c r="C91" s="13" t="n">
        <v>67.649998</v>
      </c>
      <c r="D91" s="13" t="n">
        <v>5.05</v>
      </c>
      <c r="E91" s="13" t="n">
        <v>4.168</v>
      </c>
      <c r="F91" s="14" t="n">
        <v>0.0066</v>
      </c>
      <c r="G91" s="14" t="n">
        <v>0.001982013035848551</v>
      </c>
      <c r="H91" s="14" t="n">
        <v>0.0358</v>
      </c>
      <c r="I91" s="15">
        <f>IFERROR(C91/D91,"")</f>
        <v/>
      </c>
      <c r="J91" s="8">
        <f>IFERROR(D91/C91,"")</f>
        <v/>
      </c>
      <c r="K91" s="8">
        <f>IFERROR(E91/C91,"")</f>
        <v/>
      </c>
      <c r="L91" s="8">
        <f>IFERROR(F91-G91,"")</f>
        <v/>
      </c>
      <c r="M91" s="8">
        <f>IFERROR(J91-F91,"")</f>
        <v/>
      </c>
      <c r="N91" s="8">
        <f>IFERROR(J91-L91,"")</f>
        <v/>
      </c>
      <c r="O91" s="8">
        <f>IFERROR(J91-H91,"")</f>
        <v/>
      </c>
      <c r="P91" s="8">
        <f>IFERROR(K91-F91,"")</f>
        <v/>
      </c>
      <c r="Q91" s="6" t="n">
        <v>0.1880165289256198</v>
      </c>
      <c r="R91" s="6" t="n">
        <v>0.7417355371900827</v>
      </c>
      <c r="S91" s="6" t="n">
        <v>0.3119834710743802</v>
      </c>
      <c r="T91" s="6" t="n">
        <v>0.7334710743801653</v>
      </c>
      <c r="U91" s="6" t="n">
        <v>0.4757462686567164</v>
      </c>
      <c r="V91" s="6" t="n">
        <v>0.9645522388059702</v>
      </c>
      <c r="W91" s="6" t="n">
        <v>0.4684466019417476</v>
      </c>
      <c r="X91" s="6" t="n">
        <v>0.5548502458535259</v>
      </c>
      <c r="Y91" s="3">
        <f>IF(X91="","",IF(X91&gt;='Léeme'!$B$6,"barato",IF(X91&lt;'Léeme'!$B$7,"caro","medio")))</f>
        <v/>
      </c>
      <c r="Z91" s="10" t="n">
        <v>0.1567533495467248</v>
      </c>
      <c r="AA91" s="10" t="n">
        <v>0.0352569067140045</v>
      </c>
    </row>
    <row r="92">
      <c r="A92" s="3" t="inlineStr">
        <is>
          <t>2020-T3</t>
        </is>
      </c>
      <c r="B92" s="12" t="n">
        <v>44104</v>
      </c>
      <c r="C92" s="13" t="n">
        <v>65.16000200000001</v>
      </c>
      <c r="D92" s="13" t="n">
        <v>4.97</v>
      </c>
      <c r="E92" s="13" t="n">
        <v>4.176</v>
      </c>
      <c r="F92" s="14" t="n">
        <v>0.0069</v>
      </c>
      <c r="G92" s="14" t="n">
        <v>0.01281069849552385</v>
      </c>
      <c r="H92" s="14" t="n">
        <v>0.034</v>
      </c>
      <c r="I92" s="15">
        <f>IFERROR(C92/D92,"")</f>
        <v/>
      </c>
      <c r="J92" s="8">
        <f>IFERROR(D92/C92,"")</f>
        <v/>
      </c>
      <c r="K92" s="8">
        <f>IFERROR(E92/C92,"")</f>
        <v/>
      </c>
      <c r="L92" s="8">
        <f>IFERROR(F92-G92,"")</f>
        <v/>
      </c>
      <c r="M92" s="8">
        <f>IFERROR(J92-F92,"")</f>
        <v/>
      </c>
      <c r="N92" s="8">
        <f>IFERROR(J92-L92,"")</f>
        <v/>
      </c>
      <c r="O92" s="8">
        <f>IFERROR(J92-H92,"")</f>
        <v/>
      </c>
      <c r="P92" s="8">
        <f>IFERROR(K92-F92,"")</f>
        <v/>
      </c>
      <c r="Q92" s="6" t="n">
        <v>0.2306122448979592</v>
      </c>
      <c r="R92" s="6" t="n">
        <v>0.7612244897959184</v>
      </c>
      <c r="S92" s="6" t="n">
        <v>0.5938775510204082</v>
      </c>
      <c r="T92" s="6" t="n">
        <v>0.7938775510204081</v>
      </c>
      <c r="U92" s="6" t="n">
        <v>0.5479704797047971</v>
      </c>
      <c r="V92" s="6" t="n">
        <v>0.9686346863468634</v>
      </c>
      <c r="W92" s="6" t="n">
        <v>0.5430622009569378</v>
      </c>
      <c r="X92" s="6" t="n">
        <v>0.6341798862490418</v>
      </c>
      <c r="Y92" s="3">
        <f>IF(X92="","",IF(X92&gt;='Léeme'!$B$6,"barato",IF(X92&lt;'Léeme'!$B$7,"caro","medio")))</f>
        <v/>
      </c>
      <c r="Z92" s="10" t="n">
        <v>0.1738532036063769</v>
      </c>
      <c r="AA92" s="10" t="n">
        <v>0.05942748828594158</v>
      </c>
    </row>
    <row r="93">
      <c r="A93" s="3" t="inlineStr">
        <is>
          <t>2020-T4</t>
        </is>
      </c>
      <c r="B93" s="12" t="n">
        <v>44196</v>
      </c>
      <c r="C93" s="13" t="n">
        <v>70.579998</v>
      </c>
      <c r="D93" s="13" t="n">
        <v>4.82</v>
      </c>
      <c r="E93" s="13" t="n">
        <v>4.184</v>
      </c>
      <c r="F93" s="14" t="n">
        <v>0.009300000000000001</v>
      </c>
      <c r="G93" s="14" t="n">
        <v>0.01175745213840584</v>
      </c>
      <c r="H93" s="14" t="n">
        <v>0.0313</v>
      </c>
      <c r="I93" s="15">
        <f>IFERROR(C93/D93,"")</f>
        <v/>
      </c>
      <c r="J93" s="8">
        <f>IFERROR(D93/C93,"")</f>
        <v/>
      </c>
      <c r="K93" s="8">
        <f>IFERROR(E93/C93,"")</f>
        <v/>
      </c>
      <c r="L93" s="8">
        <f>IFERROR(F93-G93,"")</f>
        <v/>
      </c>
      <c r="M93" s="8">
        <f>IFERROR(J93-F93,"")</f>
        <v/>
      </c>
      <c r="N93" s="8">
        <f>IFERROR(J93-L93,"")</f>
        <v/>
      </c>
      <c r="O93" s="8">
        <f>IFERROR(J93-H93,"")</f>
        <v/>
      </c>
      <c r="P93" s="8">
        <f>IFERROR(K93-F93,"")</f>
        <v/>
      </c>
      <c r="Q93" s="6" t="n">
        <v>0.1350806451612903</v>
      </c>
      <c r="R93" s="6" t="n">
        <v>0.5786290322580645</v>
      </c>
      <c r="S93" s="6" t="n">
        <v>0.3125</v>
      </c>
      <c r="T93" s="6" t="n">
        <v>0.6754032258064516</v>
      </c>
      <c r="U93" s="6" t="n">
        <v>0.3631386861313868</v>
      </c>
      <c r="V93" s="6" t="n">
        <v>0.9397810218978102</v>
      </c>
      <c r="W93" s="6" t="n">
        <v>0.3136792452830189</v>
      </c>
      <c r="X93" s="6" t="n">
        <v>0.4740302652197175</v>
      </c>
      <c r="Y93" s="3">
        <f>IF(X93="","",IF(X93&gt;='Léeme'!$B$6,"barato",IF(X93&lt;'Léeme'!$B$7,"caro","medio")))</f>
        <v/>
      </c>
      <c r="Z93" s="10" t="n">
        <v>0.215334559544035</v>
      </c>
      <c r="AA93" s="10" t="n">
        <v>0.03241572222888522</v>
      </c>
    </row>
    <row r="94">
      <c r="A94" s="3" t="inlineStr">
        <is>
          <t>2021-T1</t>
        </is>
      </c>
      <c r="B94" s="12" t="n">
        <v>44286</v>
      </c>
      <c r="C94" s="13" t="n">
        <v>70.76000000000001</v>
      </c>
      <c r="D94" s="13" t="n">
        <v>4.739999999999999</v>
      </c>
      <c r="E94" s="13" t="n">
        <v>4.192</v>
      </c>
      <c r="F94" s="14" t="n">
        <v>0.0174</v>
      </c>
      <c r="G94" s="14" t="n">
        <v>0.01669816779170685</v>
      </c>
      <c r="H94" s="14" t="n">
        <v>0.0377</v>
      </c>
      <c r="I94" s="15">
        <f>IFERROR(C94/D94,"")</f>
        <v/>
      </c>
      <c r="J94" s="8">
        <f>IFERROR(D94/C94,"")</f>
        <v/>
      </c>
      <c r="K94" s="8">
        <f>IFERROR(E94/C94,"")</f>
        <v/>
      </c>
      <c r="L94" s="8">
        <f>IFERROR(F94-G94,"")</f>
        <v/>
      </c>
      <c r="M94" s="8">
        <f>IFERROR(J94-F94,"")</f>
        <v/>
      </c>
      <c r="N94" s="8">
        <f>IFERROR(J94-L94,"")</f>
        <v/>
      </c>
      <c r="O94" s="8">
        <f>IFERROR(J94-H94,"")</f>
        <v/>
      </c>
      <c r="P94" s="8">
        <f>IFERROR(K94-F94,"")</f>
        <v/>
      </c>
      <c r="Q94" s="6" t="n">
        <v>0.1254980079681275</v>
      </c>
      <c r="R94" s="6" t="n">
        <v>0.2888446215139442</v>
      </c>
      <c r="S94" s="6" t="n">
        <v>0.2410358565737052</v>
      </c>
      <c r="T94" s="6" t="n">
        <v>0.4203187250996016</v>
      </c>
      <c r="U94" s="6" t="n">
        <v>0.3592057761732852</v>
      </c>
      <c r="V94" s="6" t="n">
        <v>0.8429602888086642</v>
      </c>
      <c r="W94" s="6" t="n">
        <v>0.2953488372093023</v>
      </c>
      <c r="X94" s="6" t="n">
        <v>0.3676017304780901</v>
      </c>
      <c r="Y94" s="3">
        <f>IF(X94="","",IF(X94&gt;='Léeme'!$B$6,"barato",IF(X94&lt;'Léeme'!$B$7,"caro","medio")))</f>
        <v/>
      </c>
      <c r="Z94" s="10" t="n">
        <v>0.1925030943147013</v>
      </c>
      <c r="AA94" s="10" t="n">
        <v>0.0429955661873398</v>
      </c>
    </row>
    <row r="95">
      <c r="A95" s="3" t="inlineStr">
        <is>
          <t>2021-T2</t>
        </is>
      </c>
      <c r="B95" s="12" t="n">
        <v>44377</v>
      </c>
      <c r="C95" s="13" t="n">
        <v>74.620002</v>
      </c>
      <c r="D95" s="13" t="n">
        <v>4.71</v>
      </c>
      <c r="E95" s="13" t="n">
        <v>4.2</v>
      </c>
      <c r="F95" s="14" t="n">
        <v>0.0145</v>
      </c>
      <c r="G95" s="14" t="n">
        <v>0.04918257089467626</v>
      </c>
      <c r="H95" s="14" t="n">
        <v>0.0336</v>
      </c>
      <c r="I95" s="15">
        <f>IFERROR(C95/D95,"")</f>
        <v/>
      </c>
      <c r="J95" s="8">
        <f>IFERROR(D95/C95,"")</f>
        <v/>
      </c>
      <c r="K95" s="8">
        <f>IFERROR(E95/C95,"")</f>
        <v/>
      </c>
      <c r="L95" s="8">
        <f>IFERROR(F95-G95,"")</f>
        <v/>
      </c>
      <c r="M95" s="8">
        <f>IFERROR(J95-F95,"")</f>
        <v/>
      </c>
      <c r="N95" s="8">
        <f>IFERROR(J95-L95,"")</f>
        <v/>
      </c>
      <c r="O95" s="8">
        <f>IFERROR(J95-H95,"")</f>
        <v/>
      </c>
      <c r="P95" s="8">
        <f>IFERROR(K95-F95,"")</f>
        <v/>
      </c>
      <c r="Q95" s="6" t="n">
        <v>0.09251968503937008</v>
      </c>
      <c r="R95" s="6" t="n">
        <v>0.2539370078740157</v>
      </c>
      <c r="S95" s="6" t="n">
        <v>0.8011811023622047</v>
      </c>
      <c r="T95" s="6" t="n">
        <v>0.4389763779527559</v>
      </c>
      <c r="U95" s="6" t="n">
        <v>0.2553571428571428</v>
      </c>
      <c r="V95" s="6" t="n">
        <v>0.8410714285714286</v>
      </c>
      <c r="W95" s="6" t="n">
        <v>0.231651376146789</v>
      </c>
      <c r="X95" s="6" t="n">
        <v>0.4163848744005296</v>
      </c>
      <c r="Y95" s="3">
        <f>IF(X95="","",IF(X95&gt;='Léeme'!$B$6,"barato",IF(X95&lt;'Léeme'!$B$7,"caro","medio")))</f>
        <v/>
      </c>
      <c r="Z95" s="10" t="n">
        <v>0.1578586540283329</v>
      </c>
      <c r="AA95" s="10" t="n">
        <v>0.04237762396380251</v>
      </c>
    </row>
    <row r="96">
      <c r="A96" s="3" t="inlineStr">
        <is>
          <t>2021-T3</t>
        </is>
      </c>
      <c r="B96" s="12" t="n">
        <v>44469</v>
      </c>
      <c r="C96" s="13" t="n">
        <v>73.039996</v>
      </c>
      <c r="D96" s="13" t="n">
        <v>4.84</v>
      </c>
      <c r="E96" s="13" t="n">
        <v>4.208</v>
      </c>
      <c r="F96" s="14" t="n">
        <v>0.0152</v>
      </c>
      <c r="G96" s="14" t="n">
        <v>0.05152015301793966</v>
      </c>
      <c r="H96" s="14" t="n">
        <v>0.0336</v>
      </c>
      <c r="I96" s="15">
        <f>IFERROR(C96/D96,"")</f>
        <v/>
      </c>
      <c r="J96" s="8">
        <f>IFERROR(D96/C96,"")</f>
        <v/>
      </c>
      <c r="K96" s="8">
        <f>IFERROR(E96/C96,"")</f>
        <v/>
      </c>
      <c r="L96" s="8">
        <f>IFERROR(F96-G96,"")</f>
        <v/>
      </c>
      <c r="M96" s="8">
        <f>IFERROR(J96-F96,"")</f>
        <v/>
      </c>
      <c r="N96" s="8">
        <f>IFERROR(J96-L96,"")</f>
        <v/>
      </c>
      <c r="O96" s="8">
        <f>IFERROR(J96-H96,"")</f>
        <v/>
      </c>
      <c r="P96" s="8">
        <f>IFERROR(K96-F96,"")</f>
        <v/>
      </c>
      <c r="Q96" s="6" t="n">
        <v>0.1342412451361868</v>
      </c>
      <c r="R96" s="6" t="n">
        <v>0.3326848249027237</v>
      </c>
      <c r="S96" s="6" t="n">
        <v>0.8501945525291829</v>
      </c>
      <c r="T96" s="6" t="n">
        <v>0.5739299610894941</v>
      </c>
      <c r="U96" s="6" t="n">
        <v>0.3127208480565371</v>
      </c>
      <c r="V96" s="6" t="n">
        <v>0.8639575971731449</v>
      </c>
      <c r="W96" s="6" t="n">
        <v>0.332579185520362</v>
      </c>
      <c r="X96" s="6" t="n">
        <v>0.4857583163439473</v>
      </c>
      <c r="Y96" s="3">
        <f>IF(X96="","",IF(X96&gt;='Léeme'!$B$6,"barato",IF(X96&lt;'Léeme'!$B$7,"caro","medio")))</f>
        <v/>
      </c>
      <c r="Z96" s="10" t="n">
        <v>-0.00259069865526329</v>
      </c>
      <c r="AA96" s="10" t="n"/>
    </row>
    <row r="97">
      <c r="A97" s="3" t="inlineStr">
        <is>
          <t>2021-T4</t>
        </is>
      </c>
      <c r="B97" s="12" t="n">
        <v>44561</v>
      </c>
      <c r="C97" s="13" t="n">
        <v>82.049999</v>
      </c>
      <c r="D97" s="13" t="n">
        <v>4.93</v>
      </c>
      <c r="E97" s="13" t="n">
        <v>4.22</v>
      </c>
      <c r="F97" s="14" t="n">
        <v>0.0152</v>
      </c>
      <c r="G97" s="14" t="n">
        <v>0.06901970403700863</v>
      </c>
      <c r="H97" s="14" t="n">
        <v>0.0337</v>
      </c>
      <c r="I97" s="15">
        <f>IFERROR(C97/D97,"")</f>
        <v/>
      </c>
      <c r="J97" s="8">
        <f>IFERROR(D97/C97,"")</f>
        <v/>
      </c>
      <c r="K97" s="8">
        <f>IFERROR(E97/C97,"")</f>
        <v/>
      </c>
      <c r="L97" s="8">
        <f>IFERROR(F97-G97,"")</f>
        <v/>
      </c>
      <c r="M97" s="8">
        <f>IFERROR(J97-F97,"")</f>
        <v/>
      </c>
      <c r="N97" s="8">
        <f>IFERROR(J97-L97,"")</f>
        <v/>
      </c>
      <c r="O97" s="8">
        <f>IFERROR(J97-H97,"")</f>
        <v/>
      </c>
      <c r="P97" s="8">
        <f>IFERROR(K97-F97,"")</f>
        <v/>
      </c>
      <c r="Q97" s="6" t="n">
        <v>0.05576923076923077</v>
      </c>
      <c r="R97" s="6" t="n">
        <v>0.1634615384615385</v>
      </c>
      <c r="S97" s="6" t="n">
        <v>0.9326923076923077</v>
      </c>
      <c r="T97" s="6" t="n">
        <v>0.3096153846153846</v>
      </c>
      <c r="U97" s="6" t="n">
        <v>0.09265734265734266</v>
      </c>
      <c r="V97" s="6" t="n">
        <v>0.6311188811188811</v>
      </c>
      <c r="W97" s="6" t="n">
        <v>0.1763392857142857</v>
      </c>
      <c r="X97" s="6" t="n">
        <v>0.3373791387184245</v>
      </c>
      <c r="Y97" s="3">
        <f>IF(X97="","",IF(X97&gt;='Léeme'!$B$6,"barato",IF(X97&lt;'Léeme'!$B$7,"caro","medio")))</f>
        <v/>
      </c>
      <c r="Z97" s="10" t="n">
        <v>-0.005348885971378392</v>
      </c>
      <c r="AA97" s="10" t="n"/>
    </row>
    <row r="98">
      <c r="A98" s="3" t="inlineStr">
        <is>
          <t>2022-T1</t>
        </is>
      </c>
      <c r="B98" s="12" t="n">
        <v>44651</v>
      </c>
      <c r="C98" s="13" t="n">
        <v>80.83999900000001</v>
      </c>
      <c r="D98" s="13" t="n">
        <v>5.03</v>
      </c>
      <c r="E98" s="13" t="n">
        <v>4.228</v>
      </c>
      <c r="F98" s="14" t="n">
        <v>0.0232</v>
      </c>
      <c r="G98" s="14" t="n">
        <v>0.07937278766517819</v>
      </c>
      <c r="H98" s="14" t="n">
        <v>0.0428</v>
      </c>
      <c r="I98" s="15">
        <f>IFERROR(C98/D98,"")</f>
        <v/>
      </c>
      <c r="J98" s="8">
        <f>IFERROR(D98/C98,"")</f>
        <v/>
      </c>
      <c r="K98" s="8">
        <f>IFERROR(E98/C98,"")</f>
        <v/>
      </c>
      <c r="L98" s="8">
        <f>IFERROR(F98-G98,"")</f>
        <v/>
      </c>
      <c r="M98" s="8">
        <f>IFERROR(J98-F98,"")</f>
        <v/>
      </c>
      <c r="N98" s="8">
        <f>IFERROR(J98-L98,"")</f>
        <v/>
      </c>
      <c r="O98" s="8">
        <f>IFERROR(J98-H98,"")</f>
        <v/>
      </c>
      <c r="P98" s="8">
        <f>IFERROR(K98-F98,"")</f>
        <v/>
      </c>
      <c r="Q98" s="6" t="n">
        <v>0.0817490494296578</v>
      </c>
      <c r="R98" s="6" t="n">
        <v>0.0817490494296578</v>
      </c>
      <c r="S98" s="6" t="n">
        <v>0.94106463878327</v>
      </c>
      <c r="T98" s="6" t="n">
        <v>0.1045627376425856</v>
      </c>
      <c r="U98" s="6" t="n">
        <v>0.1124567474048443</v>
      </c>
      <c r="V98" s="6" t="n">
        <v>0.3858131487889274</v>
      </c>
      <c r="W98" s="6" t="n">
        <v>0.2841409691629956</v>
      </c>
      <c r="X98" s="6" t="n">
        <v>0.2845051915202769</v>
      </c>
      <c r="Y98" s="3">
        <f>IF(X98="","",IF(X98&gt;='Léeme'!$B$6,"barato",IF(X98&lt;'Léeme'!$B$7,"caro","medio")))</f>
        <v/>
      </c>
      <c r="Z98" s="10" t="n">
        <v>0.001277932354148525</v>
      </c>
      <c r="AA98" s="10" t="n"/>
    </row>
    <row r="99">
      <c r="A99" s="3" t="inlineStr">
        <is>
          <t>2022-T2</t>
        </is>
      </c>
      <c r="B99" s="12" t="n">
        <v>44742</v>
      </c>
      <c r="C99" s="13" t="n">
        <v>82.86000199999999</v>
      </c>
      <c r="D99" s="13" t="n">
        <v>5.16</v>
      </c>
      <c r="E99" s="13" t="n">
        <v>4.236</v>
      </c>
      <c r="F99" s="14" t="n">
        <v>0.0298</v>
      </c>
      <c r="G99" s="14" t="n">
        <v>0.08538171195642064</v>
      </c>
      <c r="H99" s="14" t="n">
        <v>0.0534</v>
      </c>
      <c r="I99" s="15">
        <f>IFERROR(C99/D99,"")</f>
        <v/>
      </c>
      <c r="J99" s="8">
        <f>IFERROR(D99/C99,"")</f>
        <v/>
      </c>
      <c r="K99" s="8">
        <f>IFERROR(E99/C99,"")</f>
        <v/>
      </c>
      <c r="L99" s="8">
        <f>IFERROR(F99-G99,"")</f>
        <v/>
      </c>
      <c r="M99" s="8">
        <f>IFERROR(J99-F99,"")</f>
        <v/>
      </c>
      <c r="N99" s="8">
        <f>IFERROR(J99-L99,"")</f>
        <v/>
      </c>
      <c r="O99" s="8">
        <f>IFERROR(J99-H99,"")</f>
        <v/>
      </c>
      <c r="P99" s="8">
        <f>IFERROR(K99-F99,"")</f>
        <v/>
      </c>
      <c r="Q99" s="6" t="n">
        <v>0.08834586466165413</v>
      </c>
      <c r="R99" s="6" t="n">
        <v>0.03195488721804511</v>
      </c>
      <c r="S99" s="6" t="n">
        <v>0.9304511278195489</v>
      </c>
      <c r="T99" s="6" t="n">
        <v>0.03947368421052631</v>
      </c>
      <c r="U99" s="6" t="n">
        <v>0.09417808219178082</v>
      </c>
      <c r="V99" s="6" t="n">
        <v>0.1660958904109589</v>
      </c>
      <c r="W99" s="6" t="n">
        <v>0.3673913043478261</v>
      </c>
      <c r="X99" s="6" t="n">
        <v>0.2454129772657629</v>
      </c>
      <c r="Y99" s="3">
        <f>IF(X99="","",IF(X99&gt;='Léeme'!$B$6,"barato",IF(X99&lt;'Léeme'!$B$7,"caro","medio")))</f>
        <v/>
      </c>
      <c r="Z99" s="10" t="n">
        <v>-0.145706382441621</v>
      </c>
      <c r="AA99" s="10" t="n"/>
    </row>
    <row r="100">
      <c r="A100" s="3" t="inlineStr">
        <is>
          <t>2022-T3</t>
        </is>
      </c>
      <c r="B100" s="12" t="n">
        <v>44834</v>
      </c>
      <c r="C100" s="13" t="n">
        <v>69.80000099999999</v>
      </c>
      <c r="D100" s="13" t="n">
        <v>5.2</v>
      </c>
      <c r="E100" s="13" t="n">
        <v>4.244</v>
      </c>
      <c r="F100" s="14" t="n">
        <v>0.0383</v>
      </c>
      <c r="G100" s="14" t="n">
        <v>0.08222579178218825</v>
      </c>
      <c r="H100" s="14" t="n">
        <v>0.0603</v>
      </c>
      <c r="I100" s="15">
        <f>IFERROR(C100/D100,"")</f>
        <v/>
      </c>
      <c r="J100" s="8">
        <f>IFERROR(D100/C100,"")</f>
        <v/>
      </c>
      <c r="K100" s="8">
        <f>IFERROR(E100/C100,"")</f>
        <v/>
      </c>
      <c r="L100" s="8">
        <f>IFERROR(F100-G100,"")</f>
        <v/>
      </c>
      <c r="M100" s="8">
        <f>IFERROR(J100-F100,"")</f>
        <v/>
      </c>
      <c r="N100" s="8">
        <f>IFERROR(J100-L100,"")</f>
        <v/>
      </c>
      <c r="O100" s="8">
        <f>IFERROR(J100-H100,"")</f>
        <v/>
      </c>
      <c r="P100" s="8">
        <f>IFERROR(K100-F100,"")</f>
        <v/>
      </c>
      <c r="Q100" s="6" t="n">
        <v>0.258364312267658</v>
      </c>
      <c r="R100" s="6" t="n">
        <v>0.05762081784386617</v>
      </c>
      <c r="S100" s="6" t="n">
        <v>0.9349442379182156</v>
      </c>
      <c r="T100" s="6" t="n">
        <v>0.06505576208178439</v>
      </c>
      <c r="U100" s="6" t="n">
        <v>0.476271186440678</v>
      </c>
      <c r="V100" s="6" t="n">
        <v>0.2016949152542373</v>
      </c>
      <c r="W100" s="6" t="n">
        <v>0.8347639484978541</v>
      </c>
      <c r="X100" s="6" t="n">
        <v>0.4041021686148991</v>
      </c>
      <c r="Y100" s="3">
        <f>IF(X100="","",IF(X100&gt;='Léeme'!$B$6,"barato",IF(X100&lt;'Léeme'!$B$7,"caro","medio")))</f>
        <v/>
      </c>
      <c r="Z100" s="10" t="n">
        <v>-0.1855422442289625</v>
      </c>
      <c r="AA100" s="10" t="n"/>
    </row>
    <row r="101">
      <c r="A101" s="3" t="inlineStr">
        <is>
          <t>2022-T4</t>
        </is>
      </c>
      <c r="B101" s="12" t="n">
        <v>44925</v>
      </c>
      <c r="C101" s="13" t="n">
        <v>78.149997</v>
      </c>
      <c r="D101" s="13" t="n">
        <v>5.32</v>
      </c>
      <c r="E101" s="13" t="n">
        <v>4.26</v>
      </c>
      <c r="F101" s="14" t="n">
        <v>0.0388</v>
      </c>
      <c r="G101" s="14" t="n">
        <v>0.07122856456533988</v>
      </c>
      <c r="H101" s="14" t="n">
        <v>0.0584</v>
      </c>
      <c r="I101" s="15">
        <f>IFERROR(C101/D101,"")</f>
        <v/>
      </c>
      <c r="J101" s="8">
        <f>IFERROR(D101/C101,"")</f>
        <v/>
      </c>
      <c r="K101" s="8">
        <f>IFERROR(E101/C101,"")</f>
        <v/>
      </c>
      <c r="L101" s="8">
        <f>IFERROR(F101-G101,"")</f>
        <v/>
      </c>
      <c r="M101" s="8">
        <f>IFERROR(J101-F101,"")</f>
        <v/>
      </c>
      <c r="N101" s="8">
        <f>IFERROR(J101-L101,"")</f>
        <v/>
      </c>
      <c r="O101" s="8">
        <f>IFERROR(J101-H101,"")</f>
        <v/>
      </c>
      <c r="P101" s="8">
        <f>IFERROR(K101-F101,"")</f>
        <v/>
      </c>
      <c r="Q101" s="6" t="n">
        <v>0.1930147058823529</v>
      </c>
      <c r="R101" s="6" t="n">
        <v>0.009191176470588236</v>
      </c>
      <c r="S101" s="6" t="n">
        <v>0.7702205882352942</v>
      </c>
      <c r="T101" s="6" t="n">
        <v>0.06066176470588235</v>
      </c>
      <c r="U101" s="6" t="n">
        <v>0.1996644295302013</v>
      </c>
      <c r="V101" s="6" t="n">
        <v>0.09899328859060402</v>
      </c>
      <c r="W101" s="6" t="n">
        <v>0.6334745762711864</v>
      </c>
      <c r="X101" s="6" t="n">
        <v>0.2807457899551585</v>
      </c>
      <c r="Y101" s="3">
        <f>IF(X101="","",IF(X101&gt;='Léeme'!$B$6,"barato",IF(X101&lt;'Léeme'!$B$7,"caro","medio")))</f>
        <v/>
      </c>
      <c r="Z101" s="10" t="n">
        <v>-0.1102617141531026</v>
      </c>
      <c r="AA101" s="10" t="n"/>
    </row>
    <row r="102">
      <c r="A102" s="3" t="inlineStr">
        <is>
          <t>2023-T1</t>
        </is>
      </c>
      <c r="B102" s="12" t="n">
        <v>45016</v>
      </c>
      <c r="C102" s="13" t="n">
        <v>77.44999900000001</v>
      </c>
      <c r="D102" s="13" t="n">
        <v>5.31</v>
      </c>
      <c r="E102" s="13" t="n">
        <v>4.268</v>
      </c>
      <c r="F102" s="14" t="n">
        <v>0.0348</v>
      </c>
      <c r="G102" s="14" t="n">
        <v>0.05957820738137087</v>
      </c>
      <c r="H102" s="14" t="n">
        <v>0.0566</v>
      </c>
      <c r="I102" s="15">
        <f>IFERROR(C102/D102,"")</f>
        <v/>
      </c>
      <c r="J102" s="8">
        <f>IFERROR(D102/C102,"")</f>
        <v/>
      </c>
      <c r="K102" s="8">
        <f>IFERROR(E102/C102,"")</f>
        <v/>
      </c>
      <c r="L102" s="8">
        <f>IFERROR(F102-G102,"")</f>
        <v/>
      </c>
      <c r="M102" s="8">
        <f>IFERROR(J102-F102,"")</f>
        <v/>
      </c>
      <c r="N102" s="8">
        <f>IFERROR(J102-L102,"")</f>
        <v/>
      </c>
      <c r="O102" s="8">
        <f>IFERROR(J102-H102,"")</f>
        <v/>
      </c>
      <c r="P102" s="8">
        <f>IFERROR(K102-F102,"")</f>
        <v/>
      </c>
      <c r="Q102" s="6" t="n">
        <v>0.2090909090909091</v>
      </c>
      <c r="R102" s="6" t="n">
        <v>0.06727272727272728</v>
      </c>
      <c r="S102" s="6" t="n">
        <v>0.7254545454545455</v>
      </c>
      <c r="T102" s="6" t="n">
        <v>0.07454545454545454</v>
      </c>
      <c r="U102" s="6" t="n">
        <v>0.2441860465116279</v>
      </c>
      <c r="V102" s="6" t="n">
        <v>0.181063122923588</v>
      </c>
      <c r="W102" s="6" t="n">
        <v>0.6799163179916318</v>
      </c>
      <c r="X102" s="6" t="n">
        <v>0.3116470176843548</v>
      </c>
      <c r="Y102" s="3">
        <f>IF(X102="","",IF(X102&gt;='Léeme'!$B$6,"barato",IF(X102&lt;'Léeme'!$B$7,"caro","medio")))</f>
        <v/>
      </c>
      <c r="Z102" s="10" t="n">
        <v>-0.2171661225246287</v>
      </c>
      <c r="AA102" s="10" t="n"/>
    </row>
    <row r="103">
      <c r="A103" s="3" t="inlineStr">
        <is>
          <t>2023-T2</t>
        </is>
      </c>
      <c r="B103" s="12" t="n">
        <v>45107</v>
      </c>
      <c r="C103" s="13" t="n">
        <v>67.559997</v>
      </c>
      <c r="D103" s="13" t="n">
        <v>5.27</v>
      </c>
      <c r="E103" s="13" t="n">
        <v>4.276</v>
      </c>
      <c r="F103" s="14" t="n">
        <v>0.0381</v>
      </c>
      <c r="G103" s="14" t="n">
        <v>0.04131851231385042</v>
      </c>
      <c r="H103" s="14" t="n">
        <v>0.05769999999999999</v>
      </c>
      <c r="I103" s="15">
        <f>IFERROR(C103/D103,"")</f>
        <v/>
      </c>
      <c r="J103" s="8">
        <f>IFERROR(D103/C103,"")</f>
        <v/>
      </c>
      <c r="K103" s="8">
        <f>IFERROR(E103/C103,"")</f>
        <v/>
      </c>
      <c r="L103" s="8">
        <f>IFERROR(F103-G103,"")</f>
        <v/>
      </c>
      <c r="M103" s="8">
        <f>IFERROR(J103-F103,"")</f>
        <v/>
      </c>
      <c r="N103" s="8">
        <f>IFERROR(J103-L103,"")</f>
        <v/>
      </c>
      <c r="O103" s="8">
        <f>IFERROR(J103-H103,"")</f>
        <v/>
      </c>
      <c r="P103" s="8">
        <f>IFERROR(K103-F103,"")</f>
        <v/>
      </c>
      <c r="Q103" s="6" t="n">
        <v>0.3399280575539568</v>
      </c>
      <c r="R103" s="6" t="n">
        <v>0.131294964028777</v>
      </c>
      <c r="S103" s="6" t="n">
        <v>0.5269784172661871</v>
      </c>
      <c r="T103" s="6" t="n">
        <v>0.170863309352518</v>
      </c>
      <c r="U103" s="6" t="n">
        <v>0.5674342105263158</v>
      </c>
      <c r="V103" s="6" t="n">
        <v>0.28125</v>
      </c>
      <c r="W103" s="6" t="n">
        <v>0.8946280991735537</v>
      </c>
      <c r="X103" s="6" t="n">
        <v>0.4160538654144726</v>
      </c>
      <c r="Y103" s="3">
        <f>IF(X103="","",IF(X103&gt;='Léeme'!$B$6,"barato",IF(X103&lt;'Léeme'!$B$7,"caro","medio")))</f>
        <v/>
      </c>
      <c r="Z103" s="10" t="n">
        <v>-0.1246850454612008</v>
      </c>
      <c r="AA103" s="10" t="n"/>
    </row>
    <row r="104">
      <c r="A104" s="3" t="inlineStr">
        <is>
          <t>2023-T3</t>
        </is>
      </c>
      <c r="B104" s="12" t="n">
        <v>45198</v>
      </c>
      <c r="C104" s="13" t="n">
        <v>54.079999</v>
      </c>
      <c r="D104" s="13" t="n">
        <v>5.32</v>
      </c>
      <c r="E104" s="13" t="n">
        <v>4.284</v>
      </c>
      <c r="F104" s="14" t="n">
        <v>0.0459</v>
      </c>
      <c r="G104" s="14" t="n">
        <v>0.03722504803505289</v>
      </c>
      <c r="H104" s="14" t="n">
        <v>0.0639</v>
      </c>
      <c r="I104" s="15">
        <f>IFERROR(C104/D104,"")</f>
        <v/>
      </c>
      <c r="J104" s="8">
        <f>IFERROR(D104/C104,"")</f>
        <v/>
      </c>
      <c r="K104" s="8">
        <f>IFERROR(E104/C104,"")</f>
        <v/>
      </c>
      <c r="L104" s="8">
        <f>IFERROR(F104-G104,"")</f>
        <v/>
      </c>
      <c r="M104" s="8">
        <f>IFERROR(J104-F104,"")</f>
        <v/>
      </c>
      <c r="N104" s="8">
        <f>IFERROR(J104-L104,"")</f>
        <v/>
      </c>
      <c r="O104" s="8">
        <f>IFERROR(J104-H104,"")</f>
        <v/>
      </c>
      <c r="P104" s="8">
        <f>IFERROR(K104-F104,"")</f>
        <v/>
      </c>
      <c r="Q104" s="6" t="n">
        <v>0.6601423487544484</v>
      </c>
      <c r="R104" s="6" t="n">
        <v>0.4395017793594306</v>
      </c>
      <c r="S104" s="6" t="n">
        <v>0.6814946619217082</v>
      </c>
      <c r="T104" s="6" t="n">
        <v>0.6459074733096085</v>
      </c>
      <c r="U104" s="6" t="n">
        <v>0.8452768729641694</v>
      </c>
      <c r="V104" s="6" t="n">
        <v>0.5586319218241043</v>
      </c>
      <c r="W104" s="6" t="n">
        <v>0.9816326530612245</v>
      </c>
      <c r="X104" s="6" t="n">
        <v>0.6875125301706706</v>
      </c>
      <c r="Y104" s="3">
        <f>IF(X104="","",IF(X104&gt;='Léeme'!$B$6,"barato",IF(X104&lt;'Léeme'!$B$7,"caro","medio")))</f>
        <v/>
      </c>
      <c r="Z104" s="10" t="n">
        <v>0.2270214692360752</v>
      </c>
      <c r="AA104" s="10" t="n"/>
    </row>
    <row r="105">
      <c r="A105" s="3" t="inlineStr">
        <is>
          <t>2023-T4</t>
        </is>
      </c>
      <c r="B105" s="12" t="n">
        <v>45289</v>
      </c>
      <c r="C105" s="13" t="n">
        <v>64.80999799999999</v>
      </c>
      <c r="D105" s="13" t="n">
        <v>5.28</v>
      </c>
      <c r="E105" s="13" t="n">
        <v>3.44</v>
      </c>
      <c r="F105" s="14" t="n">
        <v>0.0388</v>
      </c>
      <c r="G105" s="14" t="n">
        <v>0.03133346274591187</v>
      </c>
      <c r="H105" s="14" t="n">
        <v>0.0546</v>
      </c>
      <c r="I105" s="15">
        <f>IFERROR(C105/D105,"")</f>
        <v/>
      </c>
      <c r="J105" s="8">
        <f>IFERROR(D105/C105,"")</f>
        <v/>
      </c>
      <c r="K105" s="8">
        <f>IFERROR(E105/C105,"")</f>
        <v/>
      </c>
      <c r="L105" s="8">
        <f>IFERROR(F105-G105,"")</f>
        <v/>
      </c>
      <c r="M105" s="8">
        <f>IFERROR(J105-F105,"")</f>
        <v/>
      </c>
      <c r="N105" s="8">
        <f>IFERROR(J105-L105,"")</f>
        <v/>
      </c>
      <c r="O105" s="8">
        <f>IFERROR(J105-H105,"")</f>
        <v/>
      </c>
      <c r="P105" s="8">
        <f>IFERROR(K105-F105,"")</f>
        <v/>
      </c>
      <c r="Q105" s="6" t="n">
        <v>0.4031690140845071</v>
      </c>
      <c r="R105" s="6" t="n">
        <v>0.1813380281690141</v>
      </c>
      <c r="S105" s="6" t="n">
        <v>0.3785211267605634</v>
      </c>
      <c r="T105" s="6" t="n">
        <v>0.3785211267605634</v>
      </c>
      <c r="U105" s="6" t="n">
        <v>0.15</v>
      </c>
      <c r="V105" s="6" t="n">
        <v>0.07580645161290323</v>
      </c>
      <c r="W105" s="6" t="n">
        <v>0.9173387096774194</v>
      </c>
      <c r="X105" s="6" t="n">
        <v>0.3549563510092815</v>
      </c>
      <c r="Y105" s="3">
        <f>IF(X105="","",IF(X105&gt;='Léeme'!$B$6,"barato",IF(X105&lt;'Léeme'!$B$7,"caro","medio")))</f>
        <v/>
      </c>
      <c r="Z105" s="10" t="n">
        <v>-0.1280739742650088</v>
      </c>
      <c r="AA105" s="10" t="n"/>
    </row>
    <row r="106">
      <c r="A106" s="3" t="inlineStr">
        <is>
          <t>2024-T1</t>
        </is>
      </c>
      <c r="B106" s="12" t="n">
        <v>45379</v>
      </c>
      <c r="C106" s="13" t="n">
        <v>56.439999</v>
      </c>
      <c r="D106" s="13" t="n">
        <v>5.18</v>
      </c>
      <c r="E106" s="13" t="n">
        <v>3.46</v>
      </c>
      <c r="F106" s="14" t="n">
        <v>0.042</v>
      </c>
      <c r="G106" s="14" t="n">
        <v>0.03157074141648697</v>
      </c>
      <c r="H106" s="14" t="n">
        <v>0.0574</v>
      </c>
      <c r="I106" s="15">
        <f>IFERROR(C106/D106,"")</f>
        <v/>
      </c>
      <c r="J106" s="8">
        <f>IFERROR(D106/C106,"")</f>
        <v/>
      </c>
      <c r="K106" s="8">
        <f>IFERROR(E106/C106,"")</f>
        <v/>
      </c>
      <c r="L106" s="8">
        <f>IFERROR(F106-G106,"")</f>
        <v/>
      </c>
      <c r="M106" s="8">
        <f>IFERROR(J106-F106,"")</f>
        <v/>
      </c>
      <c r="N106" s="8">
        <f>IFERROR(J106-L106,"")</f>
        <v/>
      </c>
      <c r="O106" s="8">
        <f>IFERROR(J106-H106,"")</f>
        <v/>
      </c>
      <c r="P106" s="8">
        <f>IFERROR(K106-F106,"")</f>
        <v/>
      </c>
      <c r="Q106" s="6" t="n">
        <v>0.5627177700348432</v>
      </c>
      <c r="R106" s="6" t="n">
        <v>0.367595818815331</v>
      </c>
      <c r="S106" s="6" t="n">
        <v>0.5418118466898955</v>
      </c>
      <c r="T106" s="6" t="n">
        <v>0.6463414634146342</v>
      </c>
      <c r="U106" s="6" t="n">
        <v>0.5063897763578274</v>
      </c>
      <c r="V106" s="6" t="n">
        <v>0.1677316293929713</v>
      </c>
      <c r="W106" s="6" t="n">
        <v>0.954183266932271</v>
      </c>
      <c r="X106" s="6" t="n">
        <v>0.535253081662539</v>
      </c>
      <c r="Y106" s="3">
        <f>IF(X106="","",IF(X106&gt;='Léeme'!$B$6,"barato",IF(X106&lt;'Léeme'!$B$7,"caro","medio")))</f>
        <v/>
      </c>
      <c r="Z106" s="10" t="n">
        <v>0.1522998851829505</v>
      </c>
      <c r="AA106" s="10" t="n"/>
    </row>
    <row r="107">
      <c r="A107" s="3" t="inlineStr">
        <is>
          <t>2024-T2</t>
        </is>
      </c>
      <c r="B107" s="12" t="n">
        <v>45471</v>
      </c>
      <c r="C107" s="13" t="n">
        <v>55.049999</v>
      </c>
      <c r="D107" s="13" t="n">
        <v>5.01</v>
      </c>
      <c r="E107" s="13" t="n">
        <v>3.48</v>
      </c>
      <c r="F107" s="14" t="n">
        <v>0.0436</v>
      </c>
      <c r="G107" s="14" t="n">
        <v>0.03244278584003113</v>
      </c>
      <c r="H107" s="14" t="n">
        <v>0.0584</v>
      </c>
      <c r="I107" s="15">
        <f>IFERROR(C107/D107,"")</f>
        <v/>
      </c>
      <c r="J107" s="8">
        <f>IFERROR(D107/C107,"")</f>
        <v/>
      </c>
      <c r="K107" s="8">
        <f>IFERROR(E107/C107,"")</f>
        <v/>
      </c>
      <c r="L107" s="8">
        <f>IFERROR(F107-G107,"")</f>
        <v/>
      </c>
      <c r="M107" s="8">
        <f>IFERROR(J107-F107,"")</f>
        <v/>
      </c>
      <c r="N107" s="8">
        <f>IFERROR(J107-L107,"")</f>
        <v/>
      </c>
      <c r="O107" s="8">
        <f>IFERROR(J107-H107,"")</f>
        <v/>
      </c>
      <c r="P107" s="8">
        <f>IFERROR(K107-F107,"")</f>
        <v/>
      </c>
      <c r="Q107" s="6" t="n">
        <v>0.55</v>
      </c>
      <c r="R107" s="6" t="n">
        <v>0.2879310344827586</v>
      </c>
      <c r="S107" s="6" t="n">
        <v>0.5189655172413793</v>
      </c>
      <c r="T107" s="6" t="n">
        <v>0.6086206896551725</v>
      </c>
      <c r="U107" s="6" t="n">
        <v>0.5585443037974683</v>
      </c>
      <c r="V107" s="6" t="n">
        <v>0.185126582278481</v>
      </c>
      <c r="W107" s="6" t="n">
        <v>0.9389763779527559</v>
      </c>
      <c r="X107" s="6" t="n">
        <v>0.5211663579154308</v>
      </c>
      <c r="Y107" s="3">
        <f>IF(X107="","",IF(X107&gt;='Léeme'!$B$6,"barato",IF(X107&lt;'Léeme'!$B$7,"caro","medio")))</f>
        <v/>
      </c>
      <c r="Z107" s="10" t="n">
        <v>0.1830060029640208</v>
      </c>
      <c r="AA107" s="10" t="n"/>
    </row>
    <row r="108">
      <c r="A108" s="3" t="inlineStr">
        <is>
          <t>2024-T3</t>
        </is>
      </c>
      <c r="B108" s="12" t="n">
        <v>45565</v>
      </c>
      <c r="C108" s="13" t="n">
        <v>62.299999</v>
      </c>
      <c r="D108" s="13" t="n">
        <v>4.819999999999999</v>
      </c>
      <c r="E108" s="13" t="n">
        <v>3.5</v>
      </c>
      <c r="F108" s="14" t="n">
        <v>0.0381</v>
      </c>
      <c r="G108" s="14" t="n">
        <v>0.02607144490692037</v>
      </c>
      <c r="H108" s="14" t="n">
        <v>0.0541</v>
      </c>
      <c r="I108" s="15">
        <f>IFERROR(C108/D108,"")</f>
        <v/>
      </c>
      <c r="J108" s="8">
        <f>IFERROR(D108/C108,"")</f>
        <v/>
      </c>
      <c r="K108" s="8">
        <f>IFERROR(E108/C108,"")</f>
        <v/>
      </c>
      <c r="L108" s="8">
        <f>IFERROR(F108-G108,"")</f>
        <v/>
      </c>
      <c r="M108" s="8">
        <f>IFERROR(J108-F108,"")</f>
        <v/>
      </c>
      <c r="N108" s="8">
        <f>IFERROR(J108-L108,"")</f>
        <v/>
      </c>
      <c r="O108" s="8">
        <f>IFERROR(J108-H108,"")</f>
        <v/>
      </c>
      <c r="P108" s="8">
        <f>IFERROR(K108-F108,"")</f>
        <v/>
      </c>
      <c r="Q108" s="6" t="n">
        <v>0.3122866894197952</v>
      </c>
      <c r="R108" s="6" t="n">
        <v>0.1245733788395904</v>
      </c>
      <c r="S108" s="6" t="n">
        <v>0.1996587030716724</v>
      </c>
      <c r="T108" s="6" t="n">
        <v>0.257679180887372</v>
      </c>
      <c r="U108" s="6" t="n">
        <v>0.2836990595611285</v>
      </c>
      <c r="V108" s="6" t="n">
        <v>0.1489028213166144</v>
      </c>
      <c r="W108" s="6" t="n">
        <v>0.8190661478599222</v>
      </c>
      <c r="X108" s="6" t="n">
        <v>0.3065522829937278</v>
      </c>
      <c r="Y108" s="3">
        <f>IF(X108="","",IF(X108&gt;='Léeme'!$B$6,"barato",IF(X108&lt;'Léeme'!$B$7,"caro","medio")))</f>
        <v/>
      </c>
      <c r="Z108" s="10" t="n">
        <v>0.1359317611580262</v>
      </c>
      <c r="AA108" s="10" t="n"/>
    </row>
    <row r="109">
      <c r="A109" s="3" t="inlineStr">
        <is>
          <t>2024-T4</t>
        </is>
      </c>
      <c r="B109" s="12" t="n">
        <v>45657</v>
      </c>
      <c r="C109" s="13" t="n">
        <v>54.48</v>
      </c>
      <c r="D109" s="13" t="n">
        <v>4.68</v>
      </c>
      <c r="E109" s="13" t="n">
        <v>3.52</v>
      </c>
      <c r="F109" s="14" t="n">
        <v>0.0458</v>
      </c>
      <c r="G109" s="14" t="n">
        <v>0.02719472461284833</v>
      </c>
      <c r="H109" s="14" t="n">
        <v>0.05980000000000001</v>
      </c>
      <c r="I109" s="15">
        <f>IFERROR(C109/D109,"")</f>
        <v/>
      </c>
      <c r="J109" s="8">
        <f>IFERROR(D109/C109,"")</f>
        <v/>
      </c>
      <c r="K109" s="8">
        <f>IFERROR(E109/C109,"")</f>
        <v/>
      </c>
      <c r="L109" s="8">
        <f>IFERROR(F109-G109,"")</f>
        <v/>
      </c>
      <c r="M109" s="8">
        <f>IFERROR(J109-F109,"")</f>
        <v/>
      </c>
      <c r="N109" s="8">
        <f>IFERROR(J109-L109,"")</f>
        <v/>
      </c>
      <c r="O109" s="8">
        <f>IFERROR(J109-H109,"")</f>
        <v/>
      </c>
      <c r="P109" s="8">
        <f>IFERROR(K109-F109,"")</f>
        <v/>
      </c>
      <c r="Q109" s="6" t="n">
        <v>0.4983108108108108</v>
      </c>
      <c r="R109" s="6" t="n">
        <v>0.1368243243243243</v>
      </c>
      <c r="S109" s="6" t="n">
        <v>0.2280405405405405</v>
      </c>
      <c r="T109" s="6" t="n">
        <v>0.339527027027027</v>
      </c>
      <c r="U109" s="6" t="n">
        <v>0.6164596273291926</v>
      </c>
      <c r="V109" s="6" t="n">
        <v>0.156832298136646</v>
      </c>
      <c r="W109" s="6" t="n">
        <v>0.9057692307692308</v>
      </c>
      <c r="X109" s="6" t="n">
        <v>0.4116805512768246</v>
      </c>
      <c r="Y109" s="3">
        <f>IF(X109="","",IF(X109&gt;='Léeme'!$B$6,"barato",IF(X109&lt;'Léeme'!$B$7,"caro","medio")))</f>
        <v/>
      </c>
      <c r="Z109" s="10" t="n">
        <v>0.235456606770974</v>
      </c>
      <c r="AA109" s="10" t="n"/>
    </row>
    <row r="110">
      <c r="A110" s="3" t="inlineStr">
        <is>
          <t>2025-T1</t>
        </is>
      </c>
      <c r="B110" s="12" t="n">
        <v>45747</v>
      </c>
      <c r="C110" s="13" t="n">
        <v>63.110001</v>
      </c>
      <c r="D110" s="13" t="n">
        <v>4.699999999999999</v>
      </c>
      <c r="E110" s="13" t="n">
        <v>3.56</v>
      </c>
      <c r="F110" s="14" t="n">
        <v>0.0423</v>
      </c>
      <c r="G110" s="14" t="n">
        <v>0.02801583447761335</v>
      </c>
      <c r="H110" s="14" t="n">
        <v>0.06</v>
      </c>
      <c r="I110" s="15">
        <f>IFERROR(C110/D110,"")</f>
        <v/>
      </c>
      <c r="J110" s="8">
        <f>IFERROR(D110/C110,"")</f>
        <v/>
      </c>
      <c r="K110" s="8">
        <f>IFERROR(E110/C110,"")</f>
        <v/>
      </c>
      <c r="L110" s="8">
        <f>IFERROR(F110-G110,"")</f>
        <v/>
      </c>
      <c r="M110" s="8">
        <f>IFERROR(J110-F110,"")</f>
        <v/>
      </c>
      <c r="N110" s="8">
        <f>IFERROR(J110-L110,"")</f>
        <v/>
      </c>
      <c r="O110" s="8">
        <f>IFERROR(J110-H110,"")</f>
        <v/>
      </c>
      <c r="P110" s="8">
        <f>IFERROR(K110-F110,"")</f>
        <v/>
      </c>
      <c r="Q110" s="6" t="n">
        <v>0.2591973244147157</v>
      </c>
      <c r="R110" s="6" t="n">
        <v>0.05183946488294314</v>
      </c>
      <c r="S110" s="6" t="n">
        <v>0.1220735785953177</v>
      </c>
      <c r="T110" s="6" t="n">
        <v>0.08193979933110368</v>
      </c>
      <c r="U110" s="6" t="n">
        <v>0.2969230769230769</v>
      </c>
      <c r="V110" s="6" t="n">
        <v>0.07538461538461538</v>
      </c>
      <c r="W110" s="6" t="n">
        <v>0.6520912547528517</v>
      </c>
      <c r="X110" s="6" t="n">
        <v>0.2199213020406606</v>
      </c>
      <c r="Y110" s="3">
        <f>IF(X110="","",IF(X110&gt;='Léeme'!$B$6,"barato",IF(X110&lt;'Léeme'!$B$7,"caro","medio")))</f>
        <v/>
      </c>
      <c r="Z110" s="10" t="n">
        <v>0.1257971707983936</v>
      </c>
      <c r="AA110" s="10" t="n"/>
    </row>
    <row r="111">
      <c r="A111" s="3" t="inlineStr">
        <is>
          <t>2025-T2</t>
        </is>
      </c>
      <c r="B111" s="12" t="n">
        <v>45838</v>
      </c>
      <c r="C111" s="13" t="n">
        <v>62.380001</v>
      </c>
      <c r="D111" s="13" t="n">
        <v>4.73</v>
      </c>
      <c r="E111" s="13" t="n">
        <v>3.6</v>
      </c>
      <c r="F111" s="14" t="n">
        <v>0.0424</v>
      </c>
      <c r="G111" s="14" t="n">
        <v>0.02377265107368087</v>
      </c>
      <c r="H111" s="14" t="n">
        <v>0.0608</v>
      </c>
      <c r="I111" s="15">
        <f>IFERROR(C111/D111,"")</f>
        <v/>
      </c>
      <c r="J111" s="8">
        <f>IFERROR(D111/C111,"")</f>
        <v/>
      </c>
      <c r="K111" s="8">
        <f>IFERROR(E111/C111,"")</f>
        <v/>
      </c>
      <c r="L111" s="8">
        <f>IFERROR(F111-G111,"")</f>
        <v/>
      </c>
      <c r="M111" s="8">
        <f>IFERROR(J111-F111,"")</f>
        <v/>
      </c>
      <c r="N111" s="8">
        <f>IFERROR(J111-L111,"")</f>
        <v/>
      </c>
      <c r="O111" s="8">
        <f>IFERROR(J111-H111,"")</f>
        <v/>
      </c>
      <c r="P111" s="8">
        <f>IFERROR(K111-F111,"")</f>
        <v/>
      </c>
      <c r="Q111" s="6" t="n">
        <v>0.2897350993377483</v>
      </c>
      <c r="R111" s="6" t="n">
        <v>0.07119205298013245</v>
      </c>
      <c r="S111" s="6" t="n">
        <v>0.09105960264900662</v>
      </c>
      <c r="T111" s="6" t="n">
        <v>0.1009933774834437</v>
      </c>
      <c r="U111" s="6" t="n">
        <v>0.3490853658536585</v>
      </c>
      <c r="V111" s="6" t="n">
        <v>0.1021341463414634</v>
      </c>
      <c r="W111" s="6" t="n">
        <v>0.693609022556391</v>
      </c>
      <c r="X111" s="6" t="n">
        <v>0.2425440953145491</v>
      </c>
      <c r="Y111" s="3">
        <f>IF(X111="","",IF(X111&gt;='Léeme'!$B$6,"barato",IF(X111&lt;'Léeme'!$B$7,"caro","medio")))</f>
        <v/>
      </c>
      <c r="Z111" s="10" t="n">
        <v>0.1970863626405268</v>
      </c>
      <c r="AA111" s="10" t="n"/>
    </row>
    <row r="112">
      <c r="A112" s="3" t="inlineStr">
        <is>
          <t>2025-T3</t>
        </is>
      </c>
      <c r="B112" s="12" t="n">
        <v>45930</v>
      </c>
      <c r="C112" s="13" t="n">
        <v>67.56999999999999</v>
      </c>
      <c r="D112" s="13" t="n">
        <v>4.84</v>
      </c>
      <c r="E112" s="13" t="n">
        <v>3.64</v>
      </c>
      <c r="F112" s="14" t="n">
        <v>0.0416</v>
      </c>
      <c r="G112" s="14" t="n">
        <v>0.02938591743031616</v>
      </c>
      <c r="H112" s="14" t="n">
        <v>0.0579</v>
      </c>
      <c r="I112" s="15">
        <f>IFERROR(C112/D112,"")</f>
        <v/>
      </c>
      <c r="J112" s="8">
        <f>IFERROR(D112/C112,"")</f>
        <v/>
      </c>
      <c r="K112" s="8">
        <f>IFERROR(E112/C112,"")</f>
        <v/>
      </c>
      <c r="L112" s="8">
        <f>IFERROR(F112-G112,"")</f>
        <v/>
      </c>
      <c r="M112" s="8">
        <f>IFERROR(J112-F112,"")</f>
        <v/>
      </c>
      <c r="N112" s="8">
        <f>IFERROR(J112-L112,"")</f>
        <v/>
      </c>
      <c r="O112" s="8">
        <f>IFERROR(J112-H112,"")</f>
        <v/>
      </c>
      <c r="P112" s="8">
        <f>IFERROR(K112-F112,"")</f>
        <v/>
      </c>
      <c r="Q112" s="6" t="n">
        <v>0.2278688524590164</v>
      </c>
      <c r="R112" s="6" t="n">
        <v>0.02459016393442623</v>
      </c>
      <c r="S112" s="6" t="n">
        <v>0.1327868852459016</v>
      </c>
      <c r="T112" s="6" t="n">
        <v>0.08360655737704918</v>
      </c>
      <c r="U112" s="6" t="n">
        <v>0.1706948640483384</v>
      </c>
      <c r="V112" s="6" t="n">
        <v>0.04984894259818731</v>
      </c>
      <c r="W112" s="6" t="n">
        <v>0.5148698884758365</v>
      </c>
      <c r="X112" s="6" t="n">
        <v>0.1720380220198222</v>
      </c>
      <c r="Y112" s="3">
        <f>IF(X112="","",IF(X112&gt;='Léeme'!$B$6,"barato",IF(X112&lt;'Léeme'!$B$7,"caro","medio")))</f>
        <v/>
      </c>
      <c r="Z112" s="10" t="n"/>
      <c r="AA112" s="10" t="n"/>
    </row>
    <row r="113">
      <c r="A113" s="3" t="inlineStr">
        <is>
          <t>2025-T4</t>
        </is>
      </c>
      <c r="B113" s="12" t="n">
        <v>46022</v>
      </c>
      <c r="C113" s="13" t="n">
        <v>64.360001</v>
      </c>
      <c r="D113" s="13" t="n">
        <v>4.91</v>
      </c>
      <c r="E113" s="13" t="n">
        <v>3.68</v>
      </c>
      <c r="F113" s="14" t="n">
        <v>0.0418</v>
      </c>
      <c r="G113" s="14" t="n">
        <v>0.02696443916493951</v>
      </c>
      <c r="H113" s="14" t="n">
        <v>0.05889999999999999</v>
      </c>
      <c r="I113" s="15">
        <f>IFERROR(C113/D113,"")</f>
        <v/>
      </c>
      <c r="J113" s="8">
        <f>IFERROR(D113/C113,"")</f>
        <v/>
      </c>
      <c r="K113" s="8">
        <f>IFERROR(E113/C113,"")</f>
        <v/>
      </c>
      <c r="L113" s="8">
        <f>IFERROR(F113-G113,"")</f>
        <v/>
      </c>
      <c r="M113" s="8">
        <f>IFERROR(J113-F113,"")</f>
        <v/>
      </c>
      <c r="N113" s="8">
        <f>IFERROR(J113-L113,"")</f>
        <v/>
      </c>
      <c r="O113" s="8">
        <f>IFERROR(J113-H113,"")</f>
        <v/>
      </c>
      <c r="P113" s="8">
        <f>IFERROR(K113-F113,"")</f>
        <v/>
      </c>
      <c r="Q113" s="6" t="n">
        <v>0.3198051948051948</v>
      </c>
      <c r="R113" s="6" t="n">
        <v>0.09902597402597403</v>
      </c>
      <c r="S113" s="6" t="n">
        <v>0.163961038961039</v>
      </c>
      <c r="T113" s="6" t="n">
        <v>0.1412337662337662</v>
      </c>
      <c r="U113" s="6" t="n">
        <v>0.342814371257485</v>
      </c>
      <c r="V113" s="6" t="n">
        <v>0.124251497005988</v>
      </c>
      <c r="W113" s="6" t="n">
        <v>0.6819852941176471</v>
      </c>
      <c r="X113" s="6" t="n">
        <v>0.2675824480581563</v>
      </c>
      <c r="Y113" s="3">
        <f>IF(X113="","",IF(X113&gt;='Léeme'!$B$6,"barato",IF(X113&lt;'Léeme'!$B$7,"caro","medio")))</f>
        <v/>
      </c>
      <c r="Z113" s="10" t="n"/>
      <c r="AA113" s="10" t="n"/>
    </row>
    <row r="114">
      <c r="A114" s="3" t="inlineStr">
        <is>
          <t>2026-T1</t>
        </is>
      </c>
      <c r="B114" s="12" t="n">
        <v>46112</v>
      </c>
      <c r="C114" s="13" t="n">
        <v>67.959999</v>
      </c>
      <c r="D114" s="13" t="n">
        <v>4.970000000000001</v>
      </c>
      <c r="E114" s="13" t="n">
        <v>3.72</v>
      </c>
      <c r="F114" s="14" t="n">
        <v>0.043</v>
      </c>
      <c r="G114" s="14" t="n">
        <v>0.02434004110373222</v>
      </c>
      <c r="H114" s="14" t="n">
        <v>0.0614</v>
      </c>
      <c r="I114" s="15">
        <f>IFERROR(C114/D114,"")</f>
        <v/>
      </c>
      <c r="J114" s="8">
        <f>IFERROR(D114/C114,"")</f>
        <v/>
      </c>
      <c r="K114" s="8">
        <f>IFERROR(E114/C114,"")</f>
        <v/>
      </c>
      <c r="L114" s="8">
        <f>IFERROR(F114-G114,"")</f>
        <v/>
      </c>
      <c r="M114" s="8">
        <f>IFERROR(J114-F114,"")</f>
        <v/>
      </c>
      <c r="N114" s="8">
        <f>IFERROR(J114-L114,"")</f>
        <v/>
      </c>
      <c r="O114" s="8">
        <f>IFERROR(J114-H114,"")</f>
        <v/>
      </c>
      <c r="P114" s="8">
        <f>IFERROR(K114-F114,"")</f>
        <v/>
      </c>
      <c r="Q114" s="6" t="n">
        <v>0.2556270096463023</v>
      </c>
      <c r="R114" s="6" t="n">
        <v>0.03376205787781351</v>
      </c>
      <c r="S114" s="6" t="n">
        <v>0.06913183279742766</v>
      </c>
      <c r="T114" s="6" t="n">
        <v>0.07234726688102894</v>
      </c>
      <c r="U114" s="6" t="n">
        <v>0.2181008902077151</v>
      </c>
      <c r="V114" s="6" t="n">
        <v>0.05192878338278932</v>
      </c>
      <c r="W114" s="6" t="n">
        <v>0.5727272727272728</v>
      </c>
      <c r="X114" s="6" t="n">
        <v>0.1819464447886214</v>
      </c>
      <c r="Y114" s="3">
        <f>IF(X114="","",IF(X114&gt;='Léeme'!$B$6,"barato",IF(X114&lt;'Léeme'!$B$7,"caro","medio")))</f>
        <v/>
      </c>
      <c r="Z114" s="10" t="n"/>
      <c r="AA114" s="10" t="n"/>
    </row>
    <row r="115">
      <c r="A115" s="3" t="inlineStr">
        <is>
          <t>2026-T2</t>
        </is>
      </c>
      <c r="B115" s="12" t="n">
        <v>46203</v>
      </c>
      <c r="C115" s="13" t="n">
        <v>71.5</v>
      </c>
      <c r="D115" s="13" t="n">
        <v>5.100000000000001</v>
      </c>
      <c r="E115" s="13" t="n">
        <v>3.76</v>
      </c>
      <c r="F115" s="14" t="n">
        <v>0.0444</v>
      </c>
      <c r="G115" s="14" t="n">
        <v>0.04166614684049641</v>
      </c>
      <c r="H115" s="14" t="n">
        <v>0.0593</v>
      </c>
      <c r="I115" s="15">
        <f>IFERROR(C115/D115,"")</f>
        <v/>
      </c>
      <c r="J115" s="8">
        <f>IFERROR(D115/C115,"")</f>
        <v/>
      </c>
      <c r="K115" s="8">
        <f>IFERROR(E115/C115,"")</f>
        <v/>
      </c>
      <c r="L115" s="8">
        <f>IFERROR(F115-G115,"")</f>
        <v/>
      </c>
      <c r="M115" s="8">
        <f>IFERROR(J115-F115,"")</f>
        <v/>
      </c>
      <c r="N115" s="8">
        <f>IFERROR(J115-L115,"")</f>
        <v/>
      </c>
      <c r="O115" s="8">
        <f>IFERROR(J115-H115,"")</f>
        <v/>
      </c>
      <c r="P115" s="8">
        <f>IFERROR(K115-F115,"")</f>
        <v/>
      </c>
      <c r="Q115" s="6" t="n">
        <v>0.2340764331210191</v>
      </c>
      <c r="R115" s="6" t="n">
        <v>0.0143312101910828</v>
      </c>
      <c r="S115" s="6" t="n">
        <v>0.3009554140127388</v>
      </c>
      <c r="T115" s="6" t="n">
        <v>0.08439490445859872</v>
      </c>
      <c r="U115" s="6" t="n">
        <v>0.1279411764705882</v>
      </c>
      <c r="V115" s="6" t="n">
        <v>0.0161764705882353</v>
      </c>
      <c r="W115" s="6" t="n">
        <v>0.4874100719424461</v>
      </c>
      <c r="X115" s="6" t="n">
        <v>0.1807550972549584</v>
      </c>
      <c r="Y115" s="3">
        <f>IF(X115="","",IF(X115&gt;='Léeme'!$B$6,"barato",IF(X115&lt;'Léeme'!$B$7,"caro","medio")))</f>
        <v/>
      </c>
      <c r="Z115" s="10" t="n"/>
      <c r="AA115" s="10" t="n"/>
    </row>
    <row r="116">
      <c r="A116" s="3" t="inlineStr">
        <is>
          <t>2026-T3</t>
        </is>
      </c>
      <c r="B116" s="12" t="n">
        <v>46293</v>
      </c>
      <c r="C116" s="13" t="n">
        <v>65.81999999999999</v>
      </c>
      <c r="D116" s="13" t="n">
        <v>5.16</v>
      </c>
      <c r="E116" s="13" t="n">
        <v>3.76</v>
      </c>
      <c r="F116" s="14" t="n">
        <v>0.0517</v>
      </c>
      <c r="G116" s="14" t="n">
        <v>0.03353016322755642</v>
      </c>
      <c r="H116" s="14" t="n">
        <v>0.0663</v>
      </c>
      <c r="I116" s="15">
        <f>IFERROR(C116/D116,"")</f>
        <v/>
      </c>
      <c r="J116" s="8">
        <f>IFERROR(D116/C116,"")</f>
        <v/>
      </c>
      <c r="K116" s="8">
        <f>IFERROR(E116/C116,"")</f>
        <v/>
      </c>
      <c r="L116" s="8">
        <f>IFERROR(F116-G116,"")</f>
        <v/>
      </c>
      <c r="M116" s="8">
        <f>IFERROR(J116-F116,"")</f>
        <v/>
      </c>
      <c r="N116" s="8">
        <f>IFERROR(J116-L116,"")</f>
        <v/>
      </c>
      <c r="O116" s="8">
        <f>IFERROR(J116-H116,"")</f>
        <v/>
      </c>
      <c r="P116" s="8">
        <f>IFERROR(K116-F116,"")</f>
        <v/>
      </c>
      <c r="Q116" s="6" t="n">
        <v>0.3675078864353312</v>
      </c>
      <c r="R116" s="6" t="n">
        <v>0.01735015772870662</v>
      </c>
      <c r="S116" s="6" t="n">
        <v>0.1593059936908517</v>
      </c>
      <c r="T116" s="6" t="n">
        <v>0.09305993690851735</v>
      </c>
      <c r="U116" s="6" t="n">
        <v>0.3571428571428572</v>
      </c>
      <c r="V116" s="6" t="n">
        <v>0.004373177842565598</v>
      </c>
      <c r="W116" s="6" t="n">
        <v>0.7384341637010676</v>
      </c>
      <c r="X116" s="6" t="n">
        <v>0.248167739064271</v>
      </c>
      <c r="Y116" s="3">
        <f>IF(X116="","",IF(X116&gt;='Léeme'!$B$6,"barato",IF(X116&lt;'Léeme'!$B$7,"caro","medio")))</f>
        <v/>
      </c>
      <c r="Z116" s="10" t="n"/>
      <c r="AA116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2026-09-29T05:05:03Z</dcterms:created>
  <dcterms:modified xmlns:dcterms="http://purl.org/dc/terms/" xmlns:xsi="http://www.w3.org/2001/XMLSchema-instance" xsi:type="dcterms:W3CDTF">2026-09-29T05:05:03Z</dcterms:modified>
</cp:coreProperties>
</file>